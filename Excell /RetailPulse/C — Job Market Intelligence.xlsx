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firstSheet="2" activeTab="7"/>
  </bookViews>
  <sheets>
    <sheet name="C1" sheetId="2" r:id="rId1"/>
    <sheet name="C2" sheetId="3" r:id="rId2"/>
    <sheet name="C3" sheetId="5" r:id="rId3"/>
    <sheet name="C4" sheetId="6" r:id="rId4"/>
    <sheet name="C5" sheetId="7" r:id="rId5"/>
    <sheet name="C6" sheetId="8" r:id="rId6"/>
    <sheet name="C7" sheetId="9" r:id="rId7"/>
    <sheet name="C8" sheetId="11" r:id="rId8"/>
    <sheet name="C8-Data" sheetId="10" r:id="rId9"/>
  </sheets>
  <definedNames>
    <definedName name="_xlnm._FilterDatabase" localSheetId="1" hidden="1">'C2'!$C$1:$D$21</definedName>
    <definedName name="Slicer_ExperienceLevel">#N/A</definedName>
    <definedName name="Slicer_RemoteOption">#N/A</definedName>
  </definedNames>
  <calcPr calcId="144525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2"/>
        <x14:slicerCache r:id="rId11"/>
      </x14:slicerCaches>
    </ext>
  </extLst>
</workbook>
</file>

<file path=xl/sharedStrings.xml><?xml version="1.0" encoding="utf-8"?>
<sst xmlns="http://schemas.openxmlformats.org/spreadsheetml/2006/main" count="3946" uniqueCount="426">
  <si>
    <t>Split</t>
  </si>
  <si>
    <t>SQL</t>
  </si>
  <si>
    <t xml:space="preserve"> Azure</t>
  </si>
  <si>
    <t xml:space="preserve"> Machine Learning</t>
  </si>
  <si>
    <t xml:space="preserve"> TensorFlow</t>
  </si>
  <si>
    <t xml:space="preserve"> Looker</t>
  </si>
  <si>
    <t xml:space="preserve"> R</t>
  </si>
  <si>
    <t>Power BI</t>
  </si>
  <si>
    <t xml:space="preserve"> Excel</t>
  </si>
  <si>
    <t xml:space="preserve"> NumPy</t>
  </si>
  <si>
    <t xml:space="preserve"> Git</t>
  </si>
  <si>
    <t xml:space="preserve"> Statistics</t>
  </si>
  <si>
    <t xml:space="preserve"> SQL</t>
  </si>
  <si>
    <t>TensorFlow</t>
  </si>
  <si>
    <t xml:space="preserve"> Tableau</t>
  </si>
  <si>
    <t xml:space="preserve"> ETL</t>
  </si>
  <si>
    <t>Azure</t>
  </si>
  <si>
    <t xml:space="preserve"> DAX</t>
  </si>
  <si>
    <t xml:space="preserve"> Power BI</t>
  </si>
  <si>
    <t>DAX</t>
  </si>
  <si>
    <t>AWS</t>
  </si>
  <si>
    <t xml:space="preserve"> dbt</t>
  </si>
  <si>
    <t xml:space="preserve"> Snowflake</t>
  </si>
  <si>
    <t xml:space="preserve"> Spark</t>
  </si>
  <si>
    <t xml:space="preserve"> Python</t>
  </si>
  <si>
    <t>Looker</t>
  </si>
  <si>
    <t>Machine Learning</t>
  </si>
  <si>
    <t>NumPy</t>
  </si>
  <si>
    <t xml:space="preserve"> AWS</t>
  </si>
  <si>
    <t>Excel</t>
  </si>
  <si>
    <t>Statistics</t>
  </si>
  <si>
    <t>ETL</t>
  </si>
  <si>
    <t>Snowflake</t>
  </si>
  <si>
    <t>Python</t>
  </si>
  <si>
    <t>Pandas</t>
  </si>
  <si>
    <t xml:space="preserve"> Pandas</t>
  </si>
  <si>
    <t>R</t>
  </si>
  <si>
    <t>dbt</t>
  </si>
  <si>
    <t>Git</t>
  </si>
  <si>
    <t>Spark</t>
  </si>
  <si>
    <t>Tableau</t>
  </si>
  <si>
    <t>Skills</t>
  </si>
  <si>
    <t>Trimed</t>
  </si>
  <si>
    <t>Uniques</t>
  </si>
  <si>
    <t>Count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</si>
  <si>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</si>
  <si>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</si>
  <si>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</si>
  <si>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</si>
  <si>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</si>
  <si>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</si>
  <si>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</si>
  <si>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</si>
  <si>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</si>
  <si>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</si>
  <si>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ExperienceLevel</t>
  </si>
  <si>
    <t>City</t>
  </si>
  <si>
    <t>MidSalary</t>
  </si>
  <si>
    <t>Ahmedabad</t>
  </si>
  <si>
    <t>Bangalore</t>
  </si>
  <si>
    <t>Chennai</t>
  </si>
  <si>
    <t>Delhi</t>
  </si>
  <si>
    <t>Gurugram</t>
  </si>
  <si>
    <t>Hyderabad</t>
  </si>
  <si>
    <t>Kolkata</t>
  </si>
  <si>
    <t>Mumbai</t>
  </si>
  <si>
    <t>Noida</t>
  </si>
  <si>
    <t>Pune</t>
  </si>
  <si>
    <t>Senior</t>
  </si>
  <si>
    <t>Entry</t>
  </si>
  <si>
    <t>Mid</t>
  </si>
  <si>
    <t>Average</t>
  </si>
  <si>
    <t>Avg Sal</t>
  </si>
  <si>
    <t>SQL, Azure, Machine Learning, TensorFlow, Looker, R</t>
  </si>
  <si>
    <t>Power BI, Excel, NumPy, Git, Statistics, Looker, TensorFlow, SQL</t>
  </si>
  <si>
    <t>TensorFlow, R, Looker, Git, Tableau, ETL</t>
  </si>
  <si>
    <t>MachineLearning</t>
  </si>
  <si>
    <t>Azure, Looker, DAX, ETL, R, Power BI, Tableau, Git</t>
  </si>
  <si>
    <t>DAX, Tableau, R, Looker</t>
  </si>
  <si>
    <t>AWS, Machine Learning, dbt</t>
  </si>
  <si>
    <t>Power BI, ETL, Snowflake, Spark</t>
  </si>
  <si>
    <t>AWS, ETL, Statistics, Azure, Machine Learning, Python, Git, Power BI</t>
  </si>
  <si>
    <t>Looker, dbt, Statistics, DAX</t>
  </si>
  <si>
    <t>Machine Learning, Power BI, Tableau, Snowflake</t>
  </si>
  <si>
    <t>NumPy, TensorFlow, DAX, AWS, Excel, dbt</t>
  </si>
  <si>
    <t>DAX, Looker, Power BI, Machine Learning, R, Git, NumPy</t>
  </si>
  <si>
    <t>Excel, Snowflake, NumPy, ETL, R</t>
  </si>
  <si>
    <t>Statistics, ETL, R, SQL</t>
  </si>
  <si>
    <t>ETL, Azure, Looker</t>
  </si>
  <si>
    <t>Azure, Git, Python</t>
  </si>
  <si>
    <t>Snowflake, Excel, Python, ETL, SQL, AWS, Looker, Power BI</t>
  </si>
  <si>
    <t>Python, DAX, Excel, Azure, Machine Learning, dbt</t>
  </si>
  <si>
    <t>ETL, Looker, SQL, Statistics, NumPy, TensorFlow, DAX</t>
  </si>
  <si>
    <t>Pandas, Python, Azure, Machine Learning</t>
  </si>
  <si>
    <t>Excel, DAX, Pandas, Power BI, Snowflake</t>
  </si>
  <si>
    <t>SQL, R, Git, Machine Learning, ETL, Spark, Python, TensorFlow</t>
  </si>
  <si>
    <t>R, Azure, Tableau, DAX, NumPy</t>
  </si>
  <si>
    <t>Azure, Power BI, TensorFlow, ETL, Looker, R</t>
  </si>
  <si>
    <t>dbt, Machine Learning, NumPy, ETL, AWS, Excel, R</t>
  </si>
  <si>
    <t>Azure, Python, Excel, Looker, R, Spark</t>
  </si>
  <si>
    <t>Excel, ETL, SQL, R, NumPy, Spark, Looker, TensorFlow</t>
  </si>
  <si>
    <t>SQL, Pandas, dbt, NumPy</t>
  </si>
  <si>
    <t>Statistics, AWS, Python, Spark, Excel, Machine Learning, Pandas, Git</t>
  </si>
  <si>
    <t>Git, Looker, Machine Learning, Tableau, dbt</t>
  </si>
  <si>
    <t>R, Pandas, SQL, Tableau, Machine Learning, dbt</t>
  </si>
  <si>
    <t>Spark, Tableau, Snowflake</t>
  </si>
  <si>
    <t>Statistics, Machine Learning, TensorFlow, Git, Pandas, ETL, Excel, Looker</t>
  </si>
  <si>
    <t>NumPy, Statistics, Snowflake, Power BI, ETL</t>
  </si>
  <si>
    <t>DAX, Looker, SQL, Statistics, Power BI</t>
  </si>
  <si>
    <t>Power BI, DAX, Statistics, R, NumPy, Git</t>
  </si>
  <si>
    <t>Statistics, Looker, Excel, Pandas</t>
  </si>
  <si>
    <t>Looker, Statistics, Pandas, SQL, TensorFlow, DAX, Snowflake</t>
  </si>
  <si>
    <t>Looker, ETL, TensorFlow, DAX, dbt, Python</t>
  </si>
  <si>
    <t>dbt, Azure, Machine Learning, Looker, Pandas, Snowflake, SQL, Spark</t>
  </si>
  <si>
    <t>ETL, Azure, NumPy, DAX, AWS, Statistics, Snowflake</t>
  </si>
  <si>
    <t>DAX, AWS, Python, Excel, ETL, TensorFlow</t>
  </si>
  <si>
    <t>Tableau, TensorFlow, NumPy, Azure</t>
  </si>
  <si>
    <t>ETL, Python, Tableau, Excel, Statistics</t>
  </si>
  <si>
    <t>Azure, Power BI, NumPy, Excel</t>
  </si>
  <si>
    <t>Python, ETL, TensorFlow, Machine Learning</t>
  </si>
  <si>
    <t>R, AWS, Azure, SQL, NumPy, Excel</t>
  </si>
  <si>
    <t>Spark, SQL, DAX, Git</t>
  </si>
  <si>
    <t>DAX, Snowflake, Statistics, TensorFlow, SQL, R, Pandas</t>
  </si>
  <si>
    <t>R, Statistics, Azure, dbt, Python, DAX, NumPy</t>
  </si>
  <si>
    <t>ETL, AWS, dbt, DAX, Pandas, Looker, Spark</t>
  </si>
  <si>
    <t>AWS, Snowflake, TensorFlow</t>
  </si>
  <si>
    <t>Machine Learning, Excel, AWS, R</t>
  </si>
  <si>
    <t>Azure, DAX, ETL, Excel, dbt, Git, Pandas</t>
  </si>
  <si>
    <t>R, Git, Statistics, AWS, SQL, Azure</t>
  </si>
  <si>
    <t>NumPy, Machine Learning, SQL, Spark, Tableau, AWS</t>
  </si>
  <si>
    <t>DAX, Spark, R</t>
  </si>
  <si>
    <t>Machine Learning, R, Pandas, ETL, Spark, Power BI, TensorFlow</t>
  </si>
  <si>
    <t>Pandas, Spark, Git, dbt, R, Looker</t>
  </si>
  <si>
    <t>Power BI, SQL, Python, NumPy, TensorFlow, Looker, Machine Learning, Snowflake</t>
  </si>
  <si>
    <t>Python, AWS, Statistics, Git, ETL, Machine Learning</t>
  </si>
  <si>
    <t>dbt, Excel, R, ETL, NumPy</t>
  </si>
  <si>
    <t>Power BI, Pandas, TensorFlow, Spark, Azure</t>
  </si>
  <si>
    <t>Git, Python, Tableau, Snowflake, AWS</t>
  </si>
  <si>
    <t>R, dbt, AWS, TensorFlow, Pandas, DAX, Tableau, Power BI</t>
  </si>
  <si>
    <t>SQL, Machine Learning, AWS, Tableau</t>
  </si>
  <si>
    <t>Git, R, ETL, Tableau, DAX, Azure</t>
  </si>
  <si>
    <t>SQL, Power BI, DAX, Spark, AWS, Excel</t>
  </si>
  <si>
    <t>Pandas, dbt, SQL, Looker, Spark, ETL</t>
  </si>
  <si>
    <t>Snowflake, Git, dbt, Power BI, Python</t>
  </si>
  <si>
    <t>Spark, Git, Pandas, R, Python, AWS, Tableau, Azure</t>
  </si>
  <si>
    <t>Spark, Git, TensorFlow, Pandas</t>
  </si>
  <si>
    <t>Power BI, TensorFlow, Machine Learning, Excel, Snowflake, AWS</t>
  </si>
  <si>
    <t>Machine Learning, dbt, Pandas, SQL, Azure, Statistics, Git, AWS</t>
  </si>
  <si>
    <t>AWS, Azure, Snowflake, Spark, DAX, Tableau, TensorFlow, dbt</t>
  </si>
  <si>
    <t>TensorFlow, Git, R, Snowflake, Power BI, Statistics, Machine Learning</t>
  </si>
  <si>
    <t>Machine Learning, Excel, Spark, Git</t>
  </si>
  <si>
    <t>Git, Machine Learning, Tableau, DAX, R</t>
  </si>
  <si>
    <t>TensorFlow, NumPy, Azure, Spark, Snowflake, Looker, dbt</t>
  </si>
  <si>
    <t>DAX, Pandas, AWS, NumPy, Statistics, TensorFlow, Machine Learning, SQL</t>
  </si>
  <si>
    <t>Machine Learning, Git, Azure, AWS, ETL, SQL, R, dbt</t>
  </si>
  <si>
    <t>Excel, Power BI, Spark, R, DAX</t>
  </si>
  <si>
    <t>Git, dbt, Statistics, Python, Excel</t>
  </si>
  <si>
    <t>Excel, TensorFlow, Tableau, Power BI, DAX</t>
  </si>
  <si>
    <t>Pandas, Spark, DAX</t>
  </si>
  <si>
    <t>DAX, ETL, Pandas</t>
  </si>
  <si>
    <t>Azure, Git, SQL, Tableau</t>
  </si>
  <si>
    <t>Python, Looker, ETL, SQL, NumPy, dbt, Azure</t>
  </si>
  <si>
    <t>dbt, Power BI, Snowflake</t>
  </si>
  <si>
    <t>Machine Learning, Power BI, NumPy, Azure, Pandas, Spark, ETL, dbt</t>
  </si>
  <si>
    <t>NumPy, SQL, Statistics, AWS, dbt, Looker, Git, Machine Learning</t>
  </si>
  <si>
    <t>dbt, DAX, Snowflake, Pandas</t>
  </si>
  <si>
    <t>Tableau, Machine Learning, AWS, R</t>
  </si>
  <si>
    <t>Spark, Machine Learning, dbt, AWS, R</t>
  </si>
  <si>
    <t>Excel, Statistics, SQL, Pandas, Machine Learning, TensorFlow</t>
  </si>
  <si>
    <t>Power BI, R, Looker</t>
  </si>
  <si>
    <t>ETL, DAX, NumPy, Machine Learning, Looker, Python, Statistics</t>
  </si>
  <si>
    <t>Statistics, NumPy, Git</t>
  </si>
  <si>
    <t>Power BI, Statistics, TensorFlow, SQL, Azure, ETL, DAX, R</t>
  </si>
  <si>
    <t>Tableau, TensorFlow, Python, Snowflake</t>
  </si>
  <si>
    <t>R, Looker, Tableau, Git</t>
  </si>
  <si>
    <t>ETL, Azure, DAX, SQL, Looker, R, TensorFlow, Spark</t>
  </si>
  <si>
    <t>Looker, R, dbt, Excel, SQL, Snowflake, Git</t>
  </si>
  <si>
    <t>Pandas, Tableau, SQL, AWS, TensorFlow, Spark, dbt</t>
  </si>
  <si>
    <t>Machine Learning, Tableau, Spark, Looker, dbt, Statistics, Power BI</t>
  </si>
  <si>
    <t>Azure, R, AWS, DAX</t>
  </si>
  <si>
    <t>dbt, Python, Statistics, Git</t>
  </si>
  <si>
    <t>SQL, dbt, TensorFlow, Snowflake, ETL</t>
  </si>
  <si>
    <t>Excel, Azure, Looker, DAX, Snowflake, Pandas</t>
  </si>
  <si>
    <t>Looker, Azure, Power BI, ETL, NumPy</t>
  </si>
  <si>
    <t>AWS, Tableau, ETL, Git, Pandas, Machine Learning, Azure</t>
  </si>
  <si>
    <t>Spark, SQL, Machine Learning, ETL, Tableau, AWS, NumPy, Azure</t>
  </si>
  <si>
    <t>R, Excel, Git, Spark, Tableau</t>
  </si>
  <si>
    <t>Looker, NumPy, TensorFlow, Pandas, DAX, Power BI</t>
  </si>
  <si>
    <t>Git, Power BI, Python, NumPy, Tableau, dbt, Spark, Pandas</t>
  </si>
  <si>
    <t>Power BI, Spark, Azure, Tableau, Statistics</t>
  </si>
  <si>
    <t>SQL, Excel, Looker, AWS, dbt</t>
  </si>
  <si>
    <t>Git, Pandas, Tableau, Power BI, DAX, dbt, Snowflake, SQL</t>
  </si>
  <si>
    <t>TensorFlow, AWS, Spark, Looker, Excel, Python, ETL, dbt</t>
  </si>
  <si>
    <t>Azure, Git, dbt</t>
  </si>
  <si>
    <t>TensorFlow, Spark, Git</t>
  </si>
  <si>
    <t>dbt, Statistics, Looker, Git, Python, AWS, TensorFlow</t>
  </si>
  <si>
    <t>Git, NumPy, Statistics, Python, ETL, DAX, Snowflake</t>
  </si>
  <si>
    <t>R, SQL, DAX, Excel, AWS, Pandas, Machine Learning</t>
  </si>
  <si>
    <t>Azure, Pandas, Python, DAX</t>
  </si>
  <si>
    <t>Statistics, ETL, R, TensorFlow, Power BI</t>
  </si>
  <si>
    <t>DAX, TensorFlow, R, Statistics, Machine Learning, Tableau</t>
  </si>
  <si>
    <t>SQL, Excel, Machine Learning, AWS, Looker</t>
  </si>
  <si>
    <t>Power BI, Statistics, Azure</t>
  </si>
  <si>
    <t>Excel, AWS, Power BI, DAX, Spark, TensorFlow</t>
  </si>
  <si>
    <t>Spark, Git, dbt, Pandas, Machine Learning, Power BI, SQL, Tableau</t>
  </si>
  <si>
    <t>NumPy, R, Looker, Statistics</t>
  </si>
  <si>
    <t>Spark, DAX, Snowflake, ETL, Power BI</t>
  </si>
  <si>
    <t>TensorFlow, Snowflake, DAX, Excel, Spark, ETL, R</t>
  </si>
  <si>
    <t>Pandas, TensorFlow, NumPy, Power BI, R, SQL, Azure</t>
  </si>
  <si>
    <t>ETL, Power BI, Azure, Snowflake, SQL, Git, AWS, Spark</t>
  </si>
  <si>
    <t>AWS, DAX, Spark, Looker, NumPy, Power BI, Statistics</t>
  </si>
  <si>
    <t>Power BI, Git, Looker</t>
  </si>
  <si>
    <t>SQL, TensorFlow, Excel, DAX</t>
  </si>
  <si>
    <t>Tableau, DAX, R, Excel, AWS, Snowflake</t>
  </si>
  <si>
    <t>Machine Learning, Spark, ETL, Power BI, DAX, dbt</t>
  </si>
  <si>
    <t>ETL, Excel, R, SQL, Looker, TensorFlow, Snowflake, Machine Learning</t>
  </si>
  <si>
    <t>Machine Learning, ETL, Excel, Tableau, dbt, AWS, Power BI</t>
  </si>
  <si>
    <t>Snowflake, Excel, AWS</t>
  </si>
  <si>
    <t>TensorFlow, Machine Learning, Tableau</t>
  </si>
  <si>
    <t>Power BI, DAX, Spark, ETL, Tableau, Excel, NumPy</t>
  </si>
  <si>
    <t>dbt, Excel, Looker, Power BI, DAX, Pandas, Azure, AWS</t>
  </si>
  <si>
    <t>Machine Learning, AWS, NumPy, Statistics, Snowflake, Git</t>
  </si>
  <si>
    <t>Statistics, AWS, TensorFlow, dbt, Python, Azure, NumPy</t>
  </si>
  <si>
    <t>DAX, Python, Snowflake, SQL</t>
  </si>
  <si>
    <t>JobTitle</t>
  </si>
  <si>
    <t>Company</t>
  </si>
  <si>
    <t>Large</t>
  </si>
  <si>
    <t>Index/Match</t>
  </si>
  <si>
    <t>Small</t>
  </si>
  <si>
    <t>Senior Data Analyst</t>
  </si>
  <si>
    <t>NovaSoft</t>
  </si>
  <si>
    <t>Quantify</t>
  </si>
  <si>
    <t>Data Analyst</t>
  </si>
  <si>
    <t>TechCorp</t>
  </si>
  <si>
    <t>Junior Data Analyst</t>
  </si>
  <si>
    <t>PrimeAnalytics</t>
  </si>
  <si>
    <t>DataBridge</t>
  </si>
  <si>
    <t>PulseTech</t>
  </si>
  <si>
    <t>MetricsMind</t>
  </si>
  <si>
    <t>DataPeak</t>
  </si>
  <si>
    <t>StreamlineIT</t>
  </si>
  <si>
    <t>CoreMetrics</t>
  </si>
  <si>
    <t>AnalytiQ</t>
  </si>
  <si>
    <t>DataVision</t>
  </si>
  <si>
    <t>NexGen</t>
  </si>
  <si>
    <t>InfoSys Analytics</t>
  </si>
  <si>
    <t>ClarityBI</t>
  </si>
  <si>
    <t>InsightHub</t>
  </si>
  <si>
    <t>ZetaData</t>
  </si>
  <si>
    <t>ByteWise</t>
  </si>
  <si>
    <t>VisionAI</t>
  </si>
  <si>
    <t>CloudBase</t>
  </si>
  <si>
    <t>SQL &amp; Python</t>
  </si>
  <si>
    <t>Python &amp; R</t>
  </si>
  <si>
    <t>Sum of Mid Salary</t>
  </si>
  <si>
    <t>Location</t>
  </si>
  <si>
    <t>(blank)</t>
  </si>
  <si>
    <t>Grand Total</t>
  </si>
  <si>
    <t>JobID</t>
  </si>
  <si>
    <t>Industry</t>
  </si>
  <si>
    <t>PostedDate</t>
  </si>
  <si>
    <t>SalaryMin</t>
  </si>
  <si>
    <t>SalaryMax</t>
  </si>
  <si>
    <t>RemoteOption</t>
  </si>
  <si>
    <t>Mid Salary</t>
  </si>
  <si>
    <t>JOB0001</t>
  </si>
  <si>
    <t>Retail</t>
  </si>
  <si>
    <t>Yes</t>
  </si>
  <si>
    <t>JOB0002</t>
  </si>
  <si>
    <t>E-Commerce</t>
  </si>
  <si>
    <t>Hybrid</t>
  </si>
  <si>
    <t>JOB0003</t>
  </si>
  <si>
    <t>BFSI</t>
  </si>
  <si>
    <t>No</t>
  </si>
  <si>
    <t>JOB0004</t>
  </si>
  <si>
    <t>JOB0005</t>
  </si>
  <si>
    <t>JOB0006</t>
  </si>
  <si>
    <t>SaaS</t>
  </si>
  <si>
    <t>JOB0007</t>
  </si>
  <si>
    <t>Fintech</t>
  </si>
  <si>
    <t>JOB0008</t>
  </si>
  <si>
    <t>EdTech</t>
  </si>
  <si>
    <t>JOB0009</t>
  </si>
  <si>
    <t>Logistics</t>
  </si>
  <si>
    <t>JOB0010</t>
  </si>
  <si>
    <t>JOB0011</t>
  </si>
  <si>
    <t>JOB0012</t>
  </si>
  <si>
    <t>Healthcare</t>
  </si>
  <si>
    <t>JOB0013</t>
  </si>
  <si>
    <t>JOB0014</t>
  </si>
  <si>
    <t>JOB0015</t>
  </si>
  <si>
    <t>JOB0016</t>
  </si>
  <si>
    <t>JOB0017</t>
  </si>
  <si>
    <t>JOB0018</t>
  </si>
  <si>
    <t>JOB0019</t>
  </si>
  <si>
    <t>JOB0020</t>
  </si>
  <si>
    <t>JOB0021</t>
  </si>
  <si>
    <t>JOB0022</t>
  </si>
  <si>
    <t>JOB0023</t>
  </si>
  <si>
    <t>JOB0024</t>
  </si>
  <si>
    <t>JOB0025</t>
  </si>
  <si>
    <t>JOB0026</t>
  </si>
  <si>
    <t>JOB0027</t>
  </si>
  <si>
    <t>JOB0028</t>
  </si>
  <si>
    <t>JOB0029</t>
  </si>
  <si>
    <t>JOB0030</t>
  </si>
  <si>
    <t>JOB0031</t>
  </si>
  <si>
    <t>JOB0032</t>
  </si>
  <si>
    <t>JOB0033</t>
  </si>
  <si>
    <t>JOB0034</t>
  </si>
  <si>
    <t>JOB0035</t>
  </si>
  <si>
    <t>JOB0036</t>
  </si>
  <si>
    <t>JOB0037</t>
  </si>
  <si>
    <t>JOB0038</t>
  </si>
  <si>
    <t>JOB0039</t>
  </si>
  <si>
    <t>JOB0040</t>
  </si>
  <si>
    <t>JOB0041</t>
  </si>
  <si>
    <t>JOB0042</t>
  </si>
  <si>
    <t>JOB0043</t>
  </si>
  <si>
    <t>JOB0044</t>
  </si>
  <si>
    <t>JOB0045</t>
  </si>
  <si>
    <t>JOB0046</t>
  </si>
  <si>
    <t>JOB0047</t>
  </si>
  <si>
    <t>JOB0048</t>
  </si>
  <si>
    <t>JOB0049</t>
  </si>
  <si>
    <t>JOB0050</t>
  </si>
  <si>
    <t>JOB0051</t>
  </si>
  <si>
    <t>JOB0052</t>
  </si>
  <si>
    <t>JOB0053</t>
  </si>
  <si>
    <t>JOB0054</t>
  </si>
  <si>
    <t>JOB0055</t>
  </si>
  <si>
    <t>JOB0056</t>
  </si>
  <si>
    <t>JOB0057</t>
  </si>
  <si>
    <t>JOB0058</t>
  </si>
  <si>
    <t>JOB0059</t>
  </si>
  <si>
    <t>JOB0060</t>
  </si>
  <si>
    <t>JOB0061</t>
  </si>
  <si>
    <t>JOB0062</t>
  </si>
  <si>
    <t>JOB0063</t>
  </si>
  <si>
    <t>JOB0064</t>
  </si>
  <si>
    <t>JOB0065</t>
  </si>
  <si>
    <t>JOB0066</t>
  </si>
  <si>
    <t>JOB0067</t>
  </si>
  <si>
    <t>JOB0068</t>
  </si>
  <si>
    <t>JOB0069</t>
  </si>
  <si>
    <t>JOB0070</t>
  </si>
  <si>
    <t>JOB0071</t>
  </si>
  <si>
    <t>JOB0072</t>
  </si>
  <si>
    <t>JOB0073</t>
  </si>
  <si>
    <t>JOB0074</t>
  </si>
  <si>
    <t>JOB0075</t>
  </si>
  <si>
    <t>JOB0076</t>
  </si>
  <si>
    <t>JOB0077</t>
  </si>
  <si>
    <t>JOB0078</t>
  </si>
  <si>
    <t>JOB0079</t>
  </si>
  <si>
    <t>JOB0080</t>
  </si>
  <si>
    <t>JOB0081</t>
  </si>
  <si>
    <t>JOB0082</t>
  </si>
  <si>
    <t>JOB0083</t>
  </si>
  <si>
    <t>JOB0084</t>
  </si>
  <si>
    <t>JOB0085</t>
  </si>
  <si>
    <t>JOB0086</t>
  </si>
  <si>
    <t>JOB0087</t>
  </si>
  <si>
    <t>JOB0088</t>
  </si>
  <si>
    <t>JOB0089</t>
  </si>
  <si>
    <t>JOB0090</t>
  </si>
  <si>
    <t>JOB0091</t>
  </si>
  <si>
    <t>JOB0092</t>
  </si>
  <si>
    <t>JOB0093</t>
  </si>
  <si>
    <t>JOB0094</t>
  </si>
  <si>
    <t>JOB0095</t>
  </si>
  <si>
    <t>JOB0096</t>
  </si>
  <si>
    <t>JOB0097</t>
  </si>
  <si>
    <t>JOB0098</t>
  </si>
  <si>
    <t>JOB0099</t>
  </si>
  <si>
    <t>JOB0100</t>
  </si>
  <si>
    <t>JOB0101</t>
  </si>
  <si>
    <t>JOB0102</t>
  </si>
  <si>
    <t>JOB0103</t>
  </si>
  <si>
    <t>JOB0104</t>
  </si>
  <si>
    <t>JOB0105</t>
  </si>
  <si>
    <t>JOB0106</t>
  </si>
  <si>
    <t>JOB0107</t>
  </si>
  <si>
    <t>JOB0108</t>
  </si>
  <si>
    <t>JOB0109</t>
  </si>
  <si>
    <t>JOB0110</t>
  </si>
  <si>
    <t>JOB0111</t>
  </si>
  <si>
    <t>JOB0112</t>
  </si>
  <si>
    <t>JOB0113</t>
  </si>
  <si>
    <t>JOB0114</t>
  </si>
  <si>
    <t>JOB0115</t>
  </si>
  <si>
    <t>JOB0116</t>
  </si>
  <si>
    <t>JOB0117</t>
  </si>
  <si>
    <t>JOB0118</t>
  </si>
  <si>
    <t>JOB0119</t>
  </si>
  <si>
    <t>JOB0120</t>
  </si>
  <si>
    <t>JOB0121</t>
  </si>
  <si>
    <t>JOB0122</t>
  </si>
  <si>
    <t>JOB0123</t>
  </si>
  <si>
    <t>JOB0124</t>
  </si>
  <si>
    <t>JOB0125</t>
  </si>
  <si>
    <t>JOB0126</t>
  </si>
  <si>
    <t>JOB0127</t>
  </si>
  <si>
    <t>JOB0128</t>
  </si>
  <si>
    <t>JOB0129</t>
  </si>
  <si>
    <t>JOB0130</t>
  </si>
  <si>
    <t>JOB0131</t>
  </si>
  <si>
    <t>JOB0132</t>
  </si>
  <si>
    <t>JOB0133</t>
  </si>
  <si>
    <t>JOB0134</t>
  </si>
  <si>
    <t>JOB0135</t>
  </si>
  <si>
    <t>JOB0136</t>
  </si>
  <si>
    <t>JOB0137</t>
  </si>
  <si>
    <t>JOB0138</t>
  </si>
  <si>
    <t>JOB0139</t>
  </si>
  <si>
    <t>JOB0140</t>
  </si>
  <si>
    <t>JOB0141</t>
  </si>
  <si>
    <t>JOB0142</t>
  </si>
  <si>
    <t>JOB0143</t>
  </si>
  <si>
    <t>JOB0144</t>
  </si>
  <si>
    <t>JOB0145</t>
  </si>
  <si>
    <t>JOB0146</t>
  </si>
  <si>
    <t>JOB0147</t>
  </si>
  <si>
    <t>JOB0148</t>
  </si>
  <si>
    <t>JOB0149</t>
  </si>
  <si>
    <t>JOB0150</t>
  </si>
</sst>
</file>

<file path=xl/styles.xml><?xml version="1.0" encoding="utf-8"?>
<styleSheet xmlns="http://schemas.openxmlformats.org/spreadsheetml/2006/main">
  <numFmts count="6">
    <numFmt numFmtId="176" formatCode="dd\-mm\-yyyy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sz val="11"/>
      <color theme="1"/>
      <name val="Microsoft Yahei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/>
      <top style="thin">
        <color theme="4" tint="0.39997558519241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8" fillId="19" borderId="24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0" fillId="8" borderId="21" applyNumberFormat="0" applyFont="0" applyAlignment="0" applyProtection="0">
      <alignment vertical="center"/>
    </xf>
    <xf numFmtId="0" fontId="20" fillId="22" borderId="2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9" borderId="23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18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0" fillId="0" borderId="0" xfId="0" applyNumberFormat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0"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'C7'!$B$1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'C7'!$A$2:$A$11</c:f>
              <c:strCache>
                <c:ptCount val="10"/>
                <c:pt idx="0">
                  <c:v>DAX</c:v>
                </c:pt>
                <c:pt idx="1">
                  <c:v>ETL</c:v>
                </c:pt>
                <c:pt idx="2">
                  <c:v>R</c:v>
                </c:pt>
                <c:pt idx="3">
                  <c:v>Power BI</c:v>
                </c:pt>
                <c:pt idx="4">
                  <c:v>TensorFlow</c:v>
                </c:pt>
                <c:pt idx="5">
                  <c:v>AWS</c:v>
                </c:pt>
                <c:pt idx="6">
                  <c:v>Machine Learning</c:v>
                </c:pt>
                <c:pt idx="7">
                  <c:v>Looker</c:v>
                </c:pt>
                <c:pt idx="8">
                  <c:v>dbt</c:v>
                </c:pt>
                <c:pt idx="9">
                  <c:v>Git</c:v>
                </c:pt>
              </c:strCache>
            </c:strRef>
          </c:cat>
          <c:val>
            <c:numRef>
              <c:f>'C7'!$B$2:$B$11</c:f>
              <c:numCache>
                <c:formatCode>General</c:formatCode>
                <c:ptCount val="10"/>
                <c:pt idx="0">
                  <c:v>53</c:v>
                </c:pt>
                <c:pt idx="1">
                  <c:v>48</c:v>
                </c:pt>
                <c:pt idx="2">
                  <c:v>48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199114"/>
        <c:axId val="725909968"/>
      </c:barChart>
      <c:catAx>
        <c:axId val="9391991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909968"/>
        <c:crosses val="autoZero"/>
        <c:auto val="1"/>
        <c:lblAlgn val="ctr"/>
        <c:lblOffset val="100"/>
        <c:noMultiLvlLbl val="0"/>
      </c:catAx>
      <c:valAx>
        <c:axId val="72590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1991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415925</xdr:colOff>
      <xdr:row>0</xdr:row>
      <xdr:rowOff>130175</xdr:rowOff>
    </xdr:from>
    <xdr:to>
      <xdr:col>8</xdr:col>
      <xdr:colOff>796925</xdr:colOff>
      <xdr:row>15</xdr:row>
      <xdr:rowOff>15875</xdr:rowOff>
    </xdr:to>
    <xdr:graphicFrame>
      <xdr:nvGraphicFramePr>
        <xdr:cNvPr id="4" name="Chart 3"/>
        <xdr:cNvGraphicFramePr/>
      </xdr:nvGraphicFramePr>
      <xdr:xfrm>
        <a:off x="2854325" y="1301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96520</xdr:colOff>
      <xdr:row>16</xdr:row>
      <xdr:rowOff>168275</xdr:rowOff>
    </xdr:from>
    <xdr:to>
      <xdr:col>1</xdr:col>
      <xdr:colOff>267970</xdr:colOff>
      <xdr:row>29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Experience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erience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20" y="32162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342900</xdr:colOff>
      <xdr:row>17</xdr:row>
      <xdr:rowOff>15875</xdr:rowOff>
    </xdr:from>
    <xdr:to>
      <xdr:col>2</xdr:col>
      <xdr:colOff>657225</xdr:colOff>
      <xdr:row>29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moteOp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moteOp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3254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6.4438425926" refreshedBy="idkjustpratham" recordCount="151">
  <cacheSource type="worksheet">
    <worksheetSource ref="A1:L1048576" sheet="C8-Data"/>
  </cacheSource>
  <cacheFields count="12">
    <cacheField name="JobID" numFmtId="0">
      <sharedItems containsBlank="1" count="151">
        <s v="JOB0001"/>
        <s v="JOB0002"/>
        <s v="JOB0003"/>
        <s v="JOB0004"/>
        <s v="JOB0005"/>
        <s v="JOB0006"/>
        <s v="JOB0007"/>
        <s v="JOB0008"/>
        <s v="JOB0009"/>
        <s v="JOB0010"/>
        <s v="JOB0011"/>
        <s v="JOB0012"/>
        <s v="JOB0013"/>
        <s v="JOB0014"/>
        <s v="JOB0015"/>
        <s v="JOB0016"/>
        <s v="JOB0017"/>
        <s v="JOB0018"/>
        <s v="JOB0019"/>
        <s v="JOB0020"/>
        <s v="JOB0021"/>
        <s v="JOB0022"/>
        <s v="JOB0023"/>
        <s v="JOB0024"/>
        <s v="JOB0025"/>
        <s v="JOB0026"/>
        <s v="JOB0027"/>
        <s v="JOB0028"/>
        <s v="JOB0029"/>
        <s v="JOB0030"/>
        <s v="JOB0031"/>
        <s v="JOB0032"/>
        <s v="JOB0033"/>
        <s v="JOB0034"/>
        <s v="JOB0035"/>
        <s v="JOB0036"/>
        <s v="JOB0037"/>
        <s v="JOB0038"/>
        <s v="JOB0039"/>
        <s v="JOB0040"/>
        <s v="JOB0041"/>
        <s v="JOB0042"/>
        <s v="JOB0043"/>
        <s v="JOB0044"/>
        <s v="JOB0045"/>
        <s v="JOB0046"/>
        <s v="JOB0047"/>
        <s v="JOB0048"/>
        <s v="JOB0049"/>
        <s v="JOB0050"/>
        <s v="JOB0051"/>
        <s v="JOB0052"/>
        <s v="JOB0053"/>
        <s v="JOB0054"/>
        <s v="JOB0055"/>
        <s v="JOB0056"/>
        <s v="JOB0057"/>
        <s v="JOB0058"/>
        <s v="JOB0059"/>
        <s v="JOB0060"/>
        <s v="JOB0061"/>
        <s v="JOB0062"/>
        <s v="JOB0063"/>
        <s v="JOB0064"/>
        <s v="JOB0065"/>
        <s v="JOB0066"/>
        <s v="JOB0067"/>
        <s v="JOB0068"/>
        <s v="JOB0069"/>
        <s v="JOB0070"/>
        <s v="JOB0071"/>
        <s v="JOB0072"/>
        <s v="JOB0073"/>
        <s v="JOB0074"/>
        <s v="JOB0075"/>
        <s v="JOB0076"/>
        <s v="JOB0077"/>
        <s v="JOB0078"/>
        <s v="JOB0079"/>
        <s v="JOB0080"/>
        <s v="JOB0081"/>
        <s v="JOB0082"/>
        <s v="JOB0083"/>
        <s v="JOB0084"/>
        <s v="JOB0085"/>
        <s v="JOB0086"/>
        <s v="JOB0087"/>
        <s v="JOB0088"/>
        <s v="JOB0089"/>
        <s v="JOB0090"/>
        <s v="JOB0091"/>
        <s v="JOB0092"/>
        <s v="JOB0093"/>
        <s v="JOB0094"/>
        <s v="JOB0095"/>
        <s v="JOB0096"/>
        <s v="JOB0097"/>
        <s v="JOB0098"/>
        <s v="JOB0099"/>
        <s v="JOB0100"/>
        <s v="JOB0101"/>
        <s v="JOB0102"/>
        <s v="JOB0103"/>
        <s v="JOB0104"/>
        <s v="JOB0105"/>
        <s v="JOB0106"/>
        <s v="JOB0107"/>
        <s v="JOB0108"/>
        <s v="JOB0109"/>
        <s v="JOB0110"/>
        <s v="JOB0111"/>
        <s v="JOB0112"/>
        <s v="JOB0113"/>
        <s v="JOB0114"/>
        <s v="JOB0115"/>
        <s v="JOB0116"/>
        <s v="JOB0117"/>
        <s v="JOB0118"/>
        <s v="JOB0119"/>
        <s v="JOB0120"/>
        <s v="JOB0121"/>
        <s v="JOB0122"/>
        <s v="JOB0123"/>
        <s v="JOB0124"/>
        <s v="JOB0125"/>
        <s v="JOB0126"/>
        <s v="JOB0127"/>
        <s v="JOB0128"/>
        <s v="JOB0129"/>
        <s v="JOB0130"/>
        <s v="JOB0131"/>
        <s v="JOB0132"/>
        <s v="JOB0133"/>
        <s v="JOB0134"/>
        <s v="JOB0135"/>
        <s v="JOB0136"/>
        <s v="JOB0137"/>
        <s v="JOB0138"/>
        <s v="JOB0139"/>
        <s v="JOB0140"/>
        <s v="JOB0141"/>
        <s v="JOB0142"/>
        <s v="JOB0143"/>
        <s v="JOB0144"/>
        <s v="JOB0145"/>
        <s v="JOB0146"/>
        <s v="JOB0147"/>
        <s v="JOB0148"/>
        <s v="JOB0149"/>
        <s v="JOB0150"/>
        <m/>
      </sharedItems>
    </cacheField>
    <cacheField name="JobTitle" numFmtId="0">
      <sharedItems containsBlank="1" count="4">
        <s v="Senior Data Analyst"/>
        <s v="Data Analyst"/>
        <s v="Junior Data Analyst"/>
        <m/>
      </sharedItems>
    </cacheField>
    <cacheField name="Company" numFmtId="0">
      <sharedItems containsBlank="1" count="21">
        <s v="NovaSoft"/>
        <s v="Quantify"/>
        <s v="TechCorp"/>
        <s v="PrimeAnalytics"/>
        <s v="DataBridge"/>
        <s v="PulseTech"/>
        <s v="MetricsMind"/>
        <s v="DataPeak"/>
        <s v="StreamlineIT"/>
        <s v="CoreMetrics"/>
        <s v="AnalytiQ"/>
        <s v="DataVision"/>
        <s v="NexGen"/>
        <s v="InfoSys Analytics"/>
        <s v="ClarityBI"/>
        <s v="InsightHub"/>
        <s v="ZetaData"/>
        <s v="ByteWise"/>
        <s v="VisionAI"/>
        <s v="CloudBase"/>
        <m/>
      </sharedItems>
    </cacheField>
    <cacheField name="Industry" numFmtId="0">
      <sharedItems containsBlank="1" count="9">
        <s v="Retail"/>
        <s v="E-Commerce"/>
        <s v="BFSI"/>
        <s v="SaaS"/>
        <s v="Fintech"/>
        <s v="EdTech"/>
        <s v="Logistics"/>
        <s v="Healthcare"/>
        <m/>
      </sharedItems>
    </cacheField>
    <cacheField name="Location" numFmtId="0">
      <sharedItems containsBlank="1" count="11">
        <s v="Ahmedabad"/>
        <s v="Hyderabad"/>
        <s v="Pune"/>
        <s v="Noida"/>
        <s v="Delhi"/>
        <s v="Bangalore"/>
        <s v="Gurugram"/>
        <s v="Kolkata"/>
        <s v="Chennai"/>
        <s v="Mumbai"/>
        <m/>
      </sharedItems>
    </cacheField>
    <cacheField name="PostedDate" numFmtId="0">
      <sharedItems containsString="0" containsBlank="1" containsNonDate="0" containsDate="1" minDate="2024-01-02T00:00:00" maxDate="2024-03-31T00:00:00" count="78">
        <d v="2024-03-24T00:00:00"/>
        <d v="2024-01-21T00:00:00"/>
        <d v="2024-03-11T00:00:00"/>
        <d v="2024-03-28T00:00:00"/>
        <d v="2024-03-01T00:00:00"/>
        <d v="2024-03-29T00:00:00"/>
        <d v="2024-02-14T00:00:00"/>
        <d v="2024-01-14T00:00:00"/>
        <d v="2024-03-14T00:00:00"/>
        <d v="2024-01-22T00:00:00"/>
        <d v="2024-03-12T00:00:00"/>
        <d v="2024-02-05T00:00:00"/>
        <d v="2024-01-04T00:00:00"/>
        <d v="2024-01-26T00:00:00"/>
        <d v="2024-01-02T00:00:00"/>
        <d v="2024-03-31T00:00:00"/>
        <d v="2024-03-19T00:00:00"/>
        <d v="2024-03-26T00:00:00"/>
        <d v="2024-01-12T00:00:00"/>
        <d v="2024-02-01T00:00:00"/>
        <d v="2024-01-29T00:00:00"/>
        <d v="2024-03-23T00:00:00"/>
        <d v="2024-03-30T00:00:00"/>
        <d v="2024-01-18T00:00:00"/>
        <d v="2024-02-21T00:00:00"/>
        <d v="2024-02-04T00:00:00"/>
        <d v="2024-03-25T00:00:00"/>
        <d v="2024-01-23T00:00:00"/>
        <d v="2024-02-17T00:00:00"/>
        <d v="2024-01-13T00:00:00"/>
        <d v="2024-03-03T00:00:00"/>
        <d v="2024-02-06T00:00:00"/>
        <d v="2024-01-11T00:00:00"/>
        <d v="2024-01-05T00:00:00"/>
        <d v="2024-03-06T00:00:00"/>
        <d v="2024-01-25T00:00:00"/>
        <d v="2024-02-25T00:00:00"/>
        <d v="2024-01-03T00:00:00"/>
        <d v="2024-01-09T00:00:00"/>
        <d v="2024-02-10T00:00:00"/>
        <d v="2024-01-31T00:00:00"/>
        <d v="2024-03-09T00:00:00"/>
        <d v="2024-02-12T00:00:00"/>
        <d v="2024-03-20T00:00:00"/>
        <d v="2024-03-13T00:00:00"/>
        <d v="2024-03-05T00:00:00"/>
        <d v="2024-02-23T00:00:00"/>
        <d v="2024-02-13T00:00:00"/>
        <d v="2024-03-15T00:00:00"/>
        <d v="2024-02-27T00:00:00"/>
        <d v="2024-03-27T00:00:00"/>
        <d v="2024-02-09T00:00:00"/>
        <d v="2024-02-08T00:00:00"/>
        <d v="2024-02-18T00:00:00"/>
        <d v="2024-03-02T00:00:00"/>
        <d v="2024-01-08T00:00:00"/>
        <d v="2024-02-22T00:00:00"/>
        <d v="2024-01-28T00:00:00"/>
        <d v="2024-01-16T00:00:00"/>
        <d v="2024-02-11T00:00:00"/>
        <d v="2024-01-15T00:00:00"/>
        <d v="2024-02-24T00:00:00"/>
        <d v="2024-01-07T00:00:00"/>
        <d v="2024-01-06T00:00:00"/>
        <d v="2024-03-17T00:00:00"/>
        <d v="2024-02-16T00:00:00"/>
        <d v="2024-01-17T00:00:00"/>
        <d v="2024-01-24T00:00:00"/>
        <d v="2024-03-08T00:00:00"/>
        <d v="2024-03-10T00:00:00"/>
        <d v="2024-03-21T00:00:00"/>
        <d v="2024-03-22T00:00:00"/>
        <d v="2024-03-16T00:00:00"/>
        <d v="2024-02-26T00:00:00"/>
        <d v="2024-02-28T00:00:00"/>
        <d v="2024-01-19T00:00:00"/>
        <d v="2024-02-07T00:00:00"/>
        <m/>
      </sharedItems>
    </cacheField>
    <cacheField name="SalaryMin" numFmtId="0">
      <sharedItems containsString="0" containsBlank="1" containsNumber="1" containsInteger="1" minValue="420000" maxValue="2080000" count="75">
        <n v="1990000"/>
        <n v="1980000"/>
        <n v="850000"/>
        <n v="510000"/>
        <n v="1040000"/>
        <n v="520000"/>
        <n v="1020000"/>
        <n v="1090000"/>
        <n v="440000"/>
        <n v="430000"/>
        <n v="960000"/>
        <n v="1050000"/>
        <n v="540000"/>
        <n v="480000"/>
        <n v="1900000"/>
        <n v="890000"/>
        <n v="860000"/>
        <n v="1570000"/>
        <n v="460000"/>
        <n v="940000"/>
        <n v="490000"/>
        <n v="930000"/>
        <n v="1800000"/>
        <n v="810000"/>
        <n v="1750000"/>
        <n v="530000"/>
        <n v="450000"/>
        <n v="970000"/>
        <n v="820000"/>
        <n v="1010000"/>
        <n v="1960000"/>
        <n v="1440000"/>
        <n v="1840000"/>
        <n v="1920000"/>
        <n v="1850000"/>
        <n v="420000"/>
        <n v="910000"/>
        <n v="950000"/>
        <n v="2080000"/>
        <n v="1820000"/>
        <n v="500000"/>
        <n v="1420000"/>
        <n v="1670000"/>
        <n v="1700000"/>
        <n v="1940000"/>
        <n v="1600000"/>
        <n v="1060000"/>
        <n v="1590000"/>
        <n v="1710000"/>
        <n v="800000"/>
        <n v="1560000"/>
        <n v="1770000"/>
        <n v="1860000"/>
        <n v="1910000"/>
        <n v="980000"/>
        <n v="830000"/>
        <n v="1890000"/>
        <n v="1030000"/>
        <n v="2000000"/>
        <n v="880000"/>
        <n v="1790000"/>
        <n v="990000"/>
        <n v="1950000"/>
        <n v="1720000"/>
        <n v="470000"/>
        <n v="840000"/>
        <n v="1760000"/>
        <n v="1970000"/>
        <n v="1470000"/>
        <n v="1530000"/>
        <n v="1450000"/>
        <n v="1550000"/>
        <n v="1870000"/>
        <n v="1580000"/>
        <m/>
      </sharedItems>
    </cacheField>
    <cacheField name="SalaryMax" numFmtId="0">
      <sharedItems containsString="0" containsBlank="1" containsNumber="1" containsInteger="1" minValue="541400" maxValue="2530181" count="151">
        <n v="2403907"/>
        <n v="2530181"/>
        <n v="970479"/>
        <n v="764257"/>
        <n v="1382682"/>
        <n v="655152"/>
        <n v="931665"/>
        <n v="1426429"/>
        <n v="1243646"/>
        <n v="541400"/>
        <n v="798280"/>
        <n v="1499693"/>
        <n v="1514432"/>
        <n v="1099430"/>
        <n v="752203"/>
        <n v="2208820"/>
        <n v="1238223"/>
        <n v="989385"/>
        <n v="2144860"/>
        <n v="604023"/>
        <n v="1333894"/>
        <n v="889932"/>
        <n v="960102"/>
        <n v="1395721"/>
        <n v="1981633"/>
        <n v="674428"/>
        <n v="1079015"/>
        <n v="906669"/>
        <n v="2102999"/>
        <n v="717233"/>
        <n v="830497"/>
        <n v="778877"/>
        <n v="908268"/>
        <n v="1540821"/>
        <n v="753531"/>
        <n v="708302"/>
        <n v="1214119"/>
        <n v="647496"/>
        <n v="1276479"/>
        <n v="1077130"/>
        <n v="1386179"/>
        <n v="1119184"/>
        <n v="689583"/>
        <n v="960126"/>
        <n v="1121735"/>
        <n v="2507869"/>
        <n v="1856996"/>
        <n v="1110933"/>
        <n v="2272803"/>
        <n v="2130434"/>
        <n v="942173"/>
        <n v="2167785"/>
        <n v="727486"/>
        <n v="1229246"/>
        <n v="1483134"/>
        <n v="2399204"/>
        <n v="2415708"/>
        <n v="889437"/>
        <n v="852829"/>
        <n v="802332"/>
        <n v="1749911"/>
        <n v="974108"/>
        <n v="610921"/>
        <n v="2067916"/>
        <n v="1960779"/>
        <n v="1363846"/>
        <n v="2252779"/>
        <n v="1243754"/>
        <n v="1886909"/>
        <n v="1195230"/>
        <n v="2051600"/>
        <n v="1841910"/>
        <n v="681030"/>
        <n v="1017579"/>
        <n v="1308769"/>
        <n v="1067356"/>
        <n v="2491257"/>
        <n v="1309004"/>
        <n v="1830750"/>
        <n v="2304756"/>
        <n v="1050212"/>
        <n v="2409002"/>
        <n v="2140991"/>
        <n v="1604235"/>
        <n v="1994564"/>
        <n v="983645"/>
        <n v="1254594"/>
        <n v="1356036"/>
        <n v="1315054"/>
        <n v="2309832"/>
        <n v="1406674"/>
        <n v="1008567"/>
        <n v="2180008"/>
        <n v="1101683"/>
        <n v="990134"/>
        <n v="899443"/>
        <n v="1008309"/>
        <n v="618464"/>
        <n v="1170250"/>
        <n v="801907"/>
        <n v="1199802"/>
        <n v="791631"/>
        <n v="2289770"/>
        <n v="1558864"/>
        <n v="1542544"/>
        <n v="1080956"/>
        <n v="1436660"/>
        <n v="748018"/>
        <n v="1316198"/>
        <n v="1300231"/>
        <n v="1013060"/>
        <n v="970408"/>
        <n v="2137426"/>
        <n v="755449"/>
        <n v="1929447"/>
        <n v="1830323"/>
        <n v="968765"/>
        <n v="1243775"/>
        <n v="2129403"/>
        <n v="1254527"/>
        <n v="946777"/>
        <n v="2303952"/>
        <n v="749111"/>
        <n v="1633266"/>
        <n v="2044747"/>
        <n v="2409889"/>
        <n v="855256"/>
        <n v="1068365"/>
        <n v="1674133"/>
        <n v="1443004"/>
        <n v="1446861"/>
        <n v="2367840"/>
        <n v="1314106"/>
        <n v="1680657"/>
        <n v="1791297"/>
        <n v="1683437"/>
        <n v="2132437"/>
        <n v="897991"/>
        <n v="2118168"/>
        <n v="1455122"/>
        <n v="676579"/>
        <n v="671009"/>
        <n v="725308"/>
        <n v="1236150"/>
        <n v="2141980"/>
        <n v="1310594"/>
        <n v="1045148"/>
        <n v="1131028"/>
        <n v="1443810"/>
        <n v="2374576"/>
        <m/>
      </sharedItems>
    </cacheField>
    <cacheField name="ExperienceLevel" numFmtId="0">
      <sharedItems containsBlank="1" count="4">
        <s v="Senior"/>
        <s v="Mid"/>
        <s v="Entry"/>
        <m/>
      </sharedItems>
    </cacheField>
    <cacheField name="RemoteOption" numFmtId="0">
      <sharedItems containsBlank="1" count="4">
        <s v="Yes"/>
        <s v="Hybrid"/>
        <s v="No"/>
        <m/>
      </sharedItems>
    </cacheField>
    <cacheField name="Skills" numFmtId="0">
      <sharedItems containsBlank="1" count="151">
        <s v="SQL, Azure, Machine Learning, TensorFlow, Looker, R"/>
        <s v="Power BI, Excel, NumPy, Git, Statistics, Looker, TensorFlow, SQL"/>
        <s v="TensorFlow, R, Looker, Git, Tableau, ETL"/>
        <s v="Azure, Looker, DAX, ETL, R, Power BI, Tableau, Git"/>
        <s v="DAX, Tableau, R, Looker"/>
        <s v="AWS, Machine Learning, dbt"/>
        <s v="Power BI, ETL, Snowflake, Spark"/>
        <s v="AWS, ETL, Statistics, Azure, Machine Learning, Python, Git, Power BI"/>
        <s v="Looker, dbt, Statistics, DAX"/>
        <s v="Machine Learning, Power BI, Tableau, Snowflake"/>
        <s v="NumPy, TensorFlow, DAX, AWS, Excel, dbt"/>
        <s v="DAX, Looker, Power BI, Machine Learning, R, Git, NumPy"/>
        <s v="Excel, Snowflake, NumPy, ETL, R"/>
        <s v="Statistics, ETL, R, SQL"/>
        <s v="ETL, Azure, Looker"/>
        <s v="Azure, Git, Python"/>
        <s v="Snowflake, Excel, Python, ETL, SQL, AWS, Looker, Power BI"/>
        <s v="Python, DAX, Excel, Azure, Machine Learning, dbt"/>
        <s v="ETL, Looker, SQL, Statistics, NumPy, TensorFlow, DAX"/>
        <s v="Pandas, Python, Azure, Machine Learning"/>
        <s v="Excel, DAX, Pandas, Power BI, Snowflake"/>
        <s v="SQL, R, Git, Machine Learning, ETL, Spark, Python, TensorFlow"/>
        <s v="R, Azure, Tableau, DAX, NumPy"/>
        <s v="Azure, Power BI, TensorFlow, ETL, Looker, R"/>
        <s v="dbt, Machine Learning, NumPy, ETL, AWS, Excel, R"/>
        <s v="Azure, Python, Excel, Looker, R, Spark"/>
        <s v="Excel, ETL, SQL, R, NumPy, Spark, Looker, TensorFlow"/>
        <s v="SQL, Pandas, dbt, NumPy"/>
        <s v="Statistics, AWS, Python, Spark, Excel, Machine Learning, Pandas, Git"/>
        <s v="Git, Looker, Machine Learning, Tableau, dbt"/>
        <s v="R, Pandas, SQL, Tableau, Machine Learning, dbt"/>
        <s v="Spark, Tableau, Snowflake"/>
        <s v="Statistics, Machine Learning, TensorFlow, Git, Pandas, ETL, Excel, Looker"/>
        <s v="NumPy, Statistics, Snowflake, Power BI, ETL"/>
        <s v="DAX, Looker, SQL, Statistics, Power BI"/>
        <s v="Power BI, DAX, Statistics, R, NumPy, Git"/>
        <s v="Statistics, Looker, Excel, Pandas"/>
        <s v="Looker, Statistics, Pandas, SQL, TensorFlow, DAX, Snowflake"/>
        <s v="Looker, ETL, TensorFlow, DAX, dbt, Python"/>
        <s v="dbt, Azure, Machine Learning, Looker, Pandas, Snowflake, SQL, Spark"/>
        <s v="ETL, Azure, NumPy, DAX, AWS, Statistics, Snowflake"/>
        <s v="DAX, AWS, Python, Excel, ETL, TensorFlow"/>
        <s v="Tableau, TensorFlow, NumPy, Azure"/>
        <s v="ETL, Python, Tableau, Excel, Statistics"/>
        <s v="Azure, Power BI, NumPy, Excel"/>
        <s v="Python, ETL, TensorFlow, Machine Learning"/>
        <s v="R, AWS, Azure, SQL, NumPy, Excel"/>
        <s v="Spark, SQL, DAX, Git"/>
        <s v="DAX, Snowflake, Statistics, TensorFlow, SQL, R, Pandas"/>
        <s v="R, Statistics, Azure, dbt, Python, DAX, NumPy"/>
        <s v="ETL, AWS, dbt, DAX, Pandas, Looker, Spark"/>
        <s v="AWS, Snowflake, TensorFlow"/>
        <s v="Machine Learning, Excel, AWS, R"/>
        <s v="Azure, DAX, ETL, Excel, dbt, Git, Pandas"/>
        <s v="R, Git, Statistics, AWS, SQL, Azure"/>
        <s v="NumPy, Machine Learning, SQL, Spark, Tableau, AWS"/>
        <s v="DAX, Spark, R"/>
        <s v="Machine Learning, R, Pandas, ETL, Spark, Power BI, TensorFlow"/>
        <s v="Pandas, Spark, Git, dbt, R, Looker"/>
        <s v="Power BI, SQL, Python, NumPy, TensorFlow, Looker, Machine Learning, Snowflake"/>
        <s v="Python, AWS, Statistics, Git, ETL, Machine Learning"/>
        <s v="dbt, Excel, R, ETL, NumPy"/>
        <s v="Power BI, Pandas, TensorFlow, Spark, Azure"/>
        <s v="Git, Python, Tableau, Snowflake, AWS"/>
        <s v="R, dbt, AWS, TensorFlow, Pandas, DAX, Tableau, Power BI"/>
        <s v="SQL, Machine Learning, AWS, Tableau"/>
        <s v="Git, R, ETL, Tableau, DAX, Azure"/>
        <s v="SQL, Power BI, DAX, Spark, AWS, Excel"/>
        <s v="Pandas, dbt, SQL, Looker, Spark, ETL"/>
        <s v="Snowflake, Git, dbt, Power BI, Python"/>
        <s v="Spark, Git, Pandas, R, Python, AWS, Tableau, Azure"/>
        <s v="Spark, Git, TensorFlow, Pandas"/>
        <s v="Power BI, TensorFlow, Machine Learning, Excel, Snowflake, AWS"/>
        <s v="Machine Learning, dbt, Pandas, SQL, Azure, Statistics, Git, AWS"/>
        <s v="AWS, Azure, Snowflake, Spark, DAX, Tableau, TensorFlow, dbt"/>
        <s v="TensorFlow, Git, R, Snowflake, Power BI, Statistics, Machine Learning"/>
        <s v="Machine Learning, Excel, Spark, Git"/>
        <s v="Git, Machine Learning, Tableau, DAX, R"/>
        <s v="TensorFlow, NumPy, Azure, Spark, Snowflake, Looker, dbt"/>
        <s v="DAX, Pandas, AWS, NumPy, Statistics, TensorFlow, Machine Learning, SQL"/>
        <s v="Machine Learning, Git, Azure, AWS, ETL, SQL, R, dbt"/>
        <s v="Excel, Power BI, Spark, R, DAX"/>
        <s v="Git, dbt, Statistics, Python, Excel"/>
        <s v="Excel, TensorFlow, Tableau, Power BI, DAX"/>
        <s v="Pandas, Spark, DAX"/>
        <s v="DAX, ETL, Pandas"/>
        <s v="Azure, Git, SQL, Tableau"/>
        <s v="Python, Looker, ETL, SQL, NumPy, dbt, Azure"/>
        <s v="dbt, Power BI, Snowflake"/>
        <s v="Machine Learning, Power BI, NumPy, Azure, Pandas, Spark, ETL, dbt"/>
        <s v="NumPy, SQL, Statistics, AWS, dbt, Looker, Git, Machine Learning"/>
        <s v="dbt, DAX, Snowflake, Pandas"/>
        <s v="Tableau, Machine Learning, AWS, R"/>
        <s v="Spark, Machine Learning, dbt, AWS, R"/>
        <s v="Excel, Statistics, SQL, Pandas, Machine Learning, TensorFlow"/>
        <s v="Power BI, R, Looker"/>
        <s v="ETL, DAX, NumPy, Machine Learning, Looker, Python, Statistics"/>
        <s v="Statistics, NumPy, Git"/>
        <s v="Power BI, Statistics, TensorFlow, SQL, Azure, ETL, DAX, R"/>
        <s v="Tableau, TensorFlow, Python, Snowflake"/>
        <s v="R, Looker, Tableau, Git"/>
        <s v="ETL, Azure, DAX, SQL, Looker, R, TensorFlow, Spark"/>
        <s v="Looker, R, dbt, Excel, SQL, Snowflake, Git"/>
        <s v="Pandas, Tableau, SQL, AWS, TensorFlow, Spark, dbt"/>
        <s v="Machine Learning, Tableau, Spark, Looker, dbt, Statistics, Power BI"/>
        <s v="Azure, R, AWS, DAX"/>
        <s v="dbt, Python, Statistics, Git"/>
        <s v="SQL, dbt, TensorFlow, Snowflake, ETL"/>
        <s v="Excel, Azure, Looker, DAX, Snowflake, Pandas"/>
        <s v="Looker, Azure, Power BI, ETL, NumPy"/>
        <s v="AWS, Tableau, ETL, Git, Pandas, Machine Learning, Azure"/>
        <s v="Spark, SQL, Machine Learning, ETL, Tableau, AWS, NumPy, Azure"/>
        <s v="R, Excel, Git, Spark, Tableau"/>
        <s v="Looker, NumPy, TensorFlow, Pandas, DAX, Power BI"/>
        <s v="Git, Power BI, Python, NumPy, Tableau, dbt, Spark, Pandas"/>
        <s v="Power BI, Spark, Azure, Tableau, Statistics"/>
        <s v="SQL, Excel, Looker, AWS, dbt"/>
        <s v="Git, Pandas, Tableau, Power BI, DAX, dbt, Snowflake, SQL"/>
        <s v="TensorFlow, AWS, Spark, Looker, Excel, Python, ETL, dbt"/>
        <s v="Azure, Git, dbt"/>
        <s v="TensorFlow, Spark, Git"/>
        <s v="dbt, Statistics, Looker, Git, Python, AWS, TensorFlow"/>
        <s v="Git, NumPy, Statistics, Python, ETL, DAX, Snowflake"/>
        <s v="R, SQL, DAX, Excel, AWS, Pandas, Machine Learning"/>
        <s v="Azure, Pandas, Python, DAX"/>
        <s v="Statistics, ETL, R, TensorFlow, Power BI"/>
        <s v="DAX, TensorFlow, R, Statistics, Machine Learning, Tableau"/>
        <s v="SQL, Excel, Machine Learning, AWS, Looker"/>
        <s v="Power BI, Statistics, Azure"/>
        <s v="Excel, AWS, Power BI, DAX, Spark, TensorFlow"/>
        <s v="Spark, Git, dbt, Pandas, Machine Learning, Power BI, SQL, Tableau"/>
        <s v="NumPy, R, Looker, Statistics"/>
        <s v="Spark, DAX, Snowflake, ETL, Power BI"/>
        <s v="TensorFlow, Snowflake, DAX, Excel, Spark, ETL, R"/>
        <s v="Pandas, TensorFlow, NumPy, Power BI, R, SQL, Azure"/>
        <s v="ETL, Power BI, Azure, Snowflake, SQL, Git, AWS, Spark"/>
        <s v="AWS, DAX, Spark, Looker, NumPy, Power BI, Statistics"/>
        <s v="Power BI, Git, Looker"/>
        <s v="SQL, TensorFlow, Excel, DAX"/>
        <s v="Tableau, DAX, R, Excel, AWS, Snowflake"/>
        <s v="Machine Learning, Spark, ETL, Power BI, DAX, dbt"/>
        <s v="ETL, Excel, R, SQL, Looker, TensorFlow, Snowflake, Machine Learning"/>
        <s v="Machine Learning, ETL, Excel, Tableau, dbt, AWS, Power BI"/>
        <s v="Snowflake, Excel, AWS"/>
        <s v="TensorFlow, Machine Learning, Tableau"/>
        <s v="Power BI, DAX, Spark, ETL, Tableau, Excel, NumPy"/>
        <s v="dbt, Excel, Looker, Power BI, DAX, Pandas, Azure, AWS"/>
        <s v="Machine Learning, AWS, NumPy, Statistics, Snowflake, Git"/>
        <s v="Statistics, AWS, TensorFlow, dbt, Python, Azure, NumPy"/>
        <s v="DAX, Python, Snowflake, SQL"/>
        <m/>
      </sharedItems>
    </cacheField>
    <cacheField name="Mid Salary" numFmtId="0">
      <sharedItems containsString="0" containsBlank="1" containsNumber="1" minValue="490700" maxValue="2255090.5" count="151">
        <n v="2196953.5"/>
        <n v="2255090.5"/>
        <n v="910239.5"/>
        <n v="637128.5"/>
        <n v="1211341"/>
        <n v="587576"/>
        <n v="725832.5"/>
        <n v="1223214.5"/>
        <n v="1166823"/>
        <n v="490700"/>
        <n v="614140"/>
        <n v="1229846.5"/>
        <n v="1282216"/>
        <n v="819715"/>
        <n v="616101.5"/>
        <n v="2054410"/>
        <n v="1064111.5"/>
        <n v="924692.5"/>
        <n v="1857430"/>
        <n v="532011.5"/>
        <n v="1136947"/>
        <n v="684966"/>
        <n v="725051"/>
        <n v="1162860.5"/>
        <n v="1890816.5"/>
        <n v="567214"/>
        <n v="944507.5"/>
        <n v="713334.5"/>
        <n v="1926499.5"/>
        <n v="623616.5"/>
        <n v="660248.5"/>
        <n v="614438.5"/>
        <n v="714134"/>
        <n v="1255410.5"/>
        <n v="606765.5"/>
        <n v="579151"/>
        <n v="1117059.5"/>
        <n v="563748"/>
        <n v="1068239.5"/>
        <n v="778565"/>
        <n v="1103089.5"/>
        <n v="1064592"/>
        <n v="614791.5"/>
        <n v="890063"/>
        <n v="1065867.5"/>
        <n v="2233934.5"/>
        <n v="1648498"/>
        <n v="1035466.5"/>
        <n v="2056401.5"/>
        <n v="2025217"/>
        <n v="696086.5"/>
        <n v="2008892.5"/>
        <n v="573743"/>
        <n v="1069623"/>
        <n v="1216567"/>
        <n v="2239602"/>
        <n v="2117854"/>
        <n v="694718.5"/>
        <n v="651414.5"/>
        <n v="631166"/>
        <n v="1584955.5"/>
        <n v="702054"/>
        <n v="535460.5"/>
        <n v="1868958"/>
        <n v="1830389.5"/>
        <n v="1146923"/>
        <n v="2096389.5"/>
        <n v="1066877"/>
        <n v="1743454.5"/>
        <n v="1127615"/>
        <n v="1820800"/>
        <n v="1775955"/>
        <n v="600515"/>
        <n v="763789.5"/>
        <n v="1184384.5"/>
        <n v="933678"/>
        <n v="2225628.5"/>
        <n v="1079502"/>
        <n v="1695375"/>
        <n v="2037378"/>
        <n v="995106"/>
        <n v="2134501"/>
        <n v="2025495.5"/>
        <n v="1312117.5"/>
        <n v="1797282"/>
        <n v="896822.5"/>
        <n v="1117297"/>
        <n v="1088018"/>
        <n v="1072527"/>
        <n v="2099916"/>
        <n v="1218337"/>
        <n v="734283.5"/>
        <n v="2090004"/>
        <n v="965841.5"/>
        <n v="710067"/>
        <n v="694721.5"/>
        <n v="764154.5"/>
        <n v="564232"/>
        <n v="1060125"/>
        <n v="615953.5"/>
        <n v="1039901"/>
        <n v="635815.5"/>
        <n v="2039885"/>
        <n v="1284432"/>
        <n v="1296272"/>
        <n v="965478"/>
        <n v="1213330"/>
        <n v="594009"/>
        <n v="1123099"/>
        <n v="1075115.5"/>
        <n v="931530"/>
        <n v="700204"/>
        <n v="2043713"/>
        <n v="627724.5"/>
        <n v="1824723.5"/>
        <n v="1715161.5"/>
        <n v="719382.5"/>
        <n v="1051887.5"/>
        <n v="1849701.5"/>
        <n v="1037263.5"/>
        <n v="893388.5"/>
        <n v="2106976"/>
        <n v="604555.5"/>
        <n v="1526633"/>
        <n v="1902373.5"/>
        <n v="2189944.5"/>
        <n v="637628"/>
        <n v="974182.5"/>
        <n v="1572066.5"/>
        <n v="1151502"/>
        <n v="1178430.5"/>
        <n v="2168920"/>
        <n v="1167053"/>
        <n v="1605328.5"/>
        <n v="1620648.5"/>
        <n v="1616718.5"/>
        <n v="2001218.5"/>
        <n v="693995.5"/>
        <n v="1849084"/>
        <n v="1222561"/>
        <n v="558289.5"/>
        <n v="605504.5"/>
        <n v="627654"/>
        <n v="1023075"/>
        <n v="1855990"/>
        <n v="1085297"/>
        <n v="782574"/>
        <n v="1045514"/>
        <n v="1266905"/>
        <n v="2182288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1"/>
    <x v="1"/>
  </r>
  <r>
    <x v="2"/>
    <x v="1"/>
    <x v="2"/>
    <x v="2"/>
    <x v="2"/>
    <x v="2"/>
    <x v="2"/>
    <x v="2"/>
    <x v="1"/>
    <x v="2"/>
    <x v="2"/>
    <x v="2"/>
  </r>
  <r>
    <x v="3"/>
    <x v="2"/>
    <x v="3"/>
    <x v="0"/>
    <x v="3"/>
    <x v="3"/>
    <x v="3"/>
    <x v="3"/>
    <x v="2"/>
    <x v="0"/>
    <x v="3"/>
    <x v="3"/>
  </r>
  <r>
    <x v="4"/>
    <x v="1"/>
    <x v="4"/>
    <x v="0"/>
    <x v="4"/>
    <x v="4"/>
    <x v="4"/>
    <x v="4"/>
    <x v="1"/>
    <x v="0"/>
    <x v="4"/>
    <x v="4"/>
  </r>
  <r>
    <x v="5"/>
    <x v="2"/>
    <x v="5"/>
    <x v="3"/>
    <x v="5"/>
    <x v="5"/>
    <x v="5"/>
    <x v="5"/>
    <x v="2"/>
    <x v="0"/>
    <x v="5"/>
    <x v="5"/>
  </r>
  <r>
    <x v="6"/>
    <x v="2"/>
    <x v="6"/>
    <x v="4"/>
    <x v="2"/>
    <x v="6"/>
    <x v="5"/>
    <x v="6"/>
    <x v="2"/>
    <x v="1"/>
    <x v="6"/>
    <x v="6"/>
  </r>
  <r>
    <x v="7"/>
    <x v="1"/>
    <x v="7"/>
    <x v="5"/>
    <x v="4"/>
    <x v="7"/>
    <x v="6"/>
    <x v="7"/>
    <x v="1"/>
    <x v="1"/>
    <x v="7"/>
    <x v="7"/>
  </r>
  <r>
    <x v="8"/>
    <x v="1"/>
    <x v="8"/>
    <x v="6"/>
    <x v="0"/>
    <x v="8"/>
    <x v="7"/>
    <x v="8"/>
    <x v="1"/>
    <x v="1"/>
    <x v="8"/>
    <x v="8"/>
  </r>
  <r>
    <x v="9"/>
    <x v="2"/>
    <x v="5"/>
    <x v="4"/>
    <x v="5"/>
    <x v="9"/>
    <x v="8"/>
    <x v="9"/>
    <x v="2"/>
    <x v="2"/>
    <x v="9"/>
    <x v="9"/>
  </r>
  <r>
    <x v="10"/>
    <x v="2"/>
    <x v="9"/>
    <x v="2"/>
    <x v="0"/>
    <x v="10"/>
    <x v="9"/>
    <x v="10"/>
    <x v="2"/>
    <x v="2"/>
    <x v="10"/>
    <x v="10"/>
  </r>
  <r>
    <x v="11"/>
    <x v="1"/>
    <x v="4"/>
    <x v="7"/>
    <x v="6"/>
    <x v="11"/>
    <x v="10"/>
    <x v="11"/>
    <x v="1"/>
    <x v="1"/>
    <x v="11"/>
    <x v="11"/>
  </r>
  <r>
    <x v="12"/>
    <x v="1"/>
    <x v="10"/>
    <x v="3"/>
    <x v="7"/>
    <x v="12"/>
    <x v="11"/>
    <x v="12"/>
    <x v="1"/>
    <x v="2"/>
    <x v="12"/>
    <x v="12"/>
  </r>
  <r>
    <x v="13"/>
    <x v="2"/>
    <x v="3"/>
    <x v="0"/>
    <x v="1"/>
    <x v="13"/>
    <x v="12"/>
    <x v="13"/>
    <x v="2"/>
    <x v="2"/>
    <x v="13"/>
    <x v="13"/>
  </r>
  <r>
    <x v="14"/>
    <x v="2"/>
    <x v="11"/>
    <x v="6"/>
    <x v="2"/>
    <x v="14"/>
    <x v="13"/>
    <x v="14"/>
    <x v="2"/>
    <x v="1"/>
    <x v="14"/>
    <x v="14"/>
  </r>
  <r>
    <x v="15"/>
    <x v="0"/>
    <x v="8"/>
    <x v="3"/>
    <x v="0"/>
    <x v="8"/>
    <x v="14"/>
    <x v="15"/>
    <x v="0"/>
    <x v="0"/>
    <x v="15"/>
    <x v="15"/>
  </r>
  <r>
    <x v="16"/>
    <x v="1"/>
    <x v="12"/>
    <x v="7"/>
    <x v="5"/>
    <x v="15"/>
    <x v="15"/>
    <x v="16"/>
    <x v="1"/>
    <x v="1"/>
    <x v="16"/>
    <x v="16"/>
  </r>
  <r>
    <x v="17"/>
    <x v="1"/>
    <x v="5"/>
    <x v="4"/>
    <x v="8"/>
    <x v="16"/>
    <x v="16"/>
    <x v="17"/>
    <x v="1"/>
    <x v="1"/>
    <x v="17"/>
    <x v="17"/>
  </r>
  <r>
    <x v="18"/>
    <x v="0"/>
    <x v="6"/>
    <x v="1"/>
    <x v="6"/>
    <x v="17"/>
    <x v="17"/>
    <x v="18"/>
    <x v="0"/>
    <x v="0"/>
    <x v="18"/>
    <x v="18"/>
  </r>
  <r>
    <x v="19"/>
    <x v="2"/>
    <x v="1"/>
    <x v="2"/>
    <x v="9"/>
    <x v="5"/>
    <x v="18"/>
    <x v="19"/>
    <x v="2"/>
    <x v="1"/>
    <x v="19"/>
    <x v="19"/>
  </r>
  <r>
    <x v="20"/>
    <x v="1"/>
    <x v="1"/>
    <x v="1"/>
    <x v="5"/>
    <x v="18"/>
    <x v="19"/>
    <x v="20"/>
    <x v="1"/>
    <x v="0"/>
    <x v="20"/>
    <x v="20"/>
  </r>
  <r>
    <x v="21"/>
    <x v="2"/>
    <x v="12"/>
    <x v="5"/>
    <x v="2"/>
    <x v="19"/>
    <x v="13"/>
    <x v="21"/>
    <x v="2"/>
    <x v="2"/>
    <x v="21"/>
    <x v="21"/>
  </r>
  <r>
    <x v="22"/>
    <x v="2"/>
    <x v="6"/>
    <x v="6"/>
    <x v="4"/>
    <x v="20"/>
    <x v="20"/>
    <x v="22"/>
    <x v="2"/>
    <x v="0"/>
    <x v="22"/>
    <x v="22"/>
  </r>
  <r>
    <x v="23"/>
    <x v="1"/>
    <x v="1"/>
    <x v="3"/>
    <x v="9"/>
    <x v="21"/>
    <x v="21"/>
    <x v="23"/>
    <x v="1"/>
    <x v="1"/>
    <x v="23"/>
    <x v="23"/>
  </r>
  <r>
    <x v="24"/>
    <x v="0"/>
    <x v="13"/>
    <x v="6"/>
    <x v="6"/>
    <x v="22"/>
    <x v="22"/>
    <x v="24"/>
    <x v="0"/>
    <x v="1"/>
    <x v="24"/>
    <x v="24"/>
  </r>
  <r>
    <x v="25"/>
    <x v="2"/>
    <x v="10"/>
    <x v="0"/>
    <x v="3"/>
    <x v="23"/>
    <x v="18"/>
    <x v="25"/>
    <x v="2"/>
    <x v="2"/>
    <x v="25"/>
    <x v="25"/>
  </r>
  <r>
    <x v="26"/>
    <x v="1"/>
    <x v="10"/>
    <x v="7"/>
    <x v="2"/>
    <x v="21"/>
    <x v="23"/>
    <x v="26"/>
    <x v="1"/>
    <x v="0"/>
    <x v="26"/>
    <x v="26"/>
  </r>
  <r>
    <x v="27"/>
    <x v="2"/>
    <x v="7"/>
    <x v="5"/>
    <x v="8"/>
    <x v="24"/>
    <x v="5"/>
    <x v="27"/>
    <x v="2"/>
    <x v="2"/>
    <x v="27"/>
    <x v="27"/>
  </r>
  <r>
    <x v="28"/>
    <x v="0"/>
    <x v="14"/>
    <x v="2"/>
    <x v="9"/>
    <x v="25"/>
    <x v="24"/>
    <x v="28"/>
    <x v="0"/>
    <x v="1"/>
    <x v="28"/>
    <x v="28"/>
  </r>
  <r>
    <x v="29"/>
    <x v="2"/>
    <x v="13"/>
    <x v="4"/>
    <x v="2"/>
    <x v="26"/>
    <x v="25"/>
    <x v="29"/>
    <x v="2"/>
    <x v="2"/>
    <x v="29"/>
    <x v="29"/>
  </r>
  <r>
    <x v="30"/>
    <x v="2"/>
    <x v="13"/>
    <x v="6"/>
    <x v="4"/>
    <x v="27"/>
    <x v="20"/>
    <x v="30"/>
    <x v="2"/>
    <x v="2"/>
    <x v="30"/>
    <x v="30"/>
  </r>
  <r>
    <x v="31"/>
    <x v="2"/>
    <x v="1"/>
    <x v="3"/>
    <x v="8"/>
    <x v="28"/>
    <x v="26"/>
    <x v="31"/>
    <x v="2"/>
    <x v="0"/>
    <x v="31"/>
    <x v="31"/>
  </r>
  <r>
    <x v="32"/>
    <x v="2"/>
    <x v="5"/>
    <x v="7"/>
    <x v="4"/>
    <x v="29"/>
    <x v="5"/>
    <x v="32"/>
    <x v="2"/>
    <x v="2"/>
    <x v="32"/>
    <x v="32"/>
  </r>
  <r>
    <x v="33"/>
    <x v="1"/>
    <x v="15"/>
    <x v="4"/>
    <x v="3"/>
    <x v="30"/>
    <x v="27"/>
    <x v="33"/>
    <x v="1"/>
    <x v="1"/>
    <x v="33"/>
    <x v="33"/>
  </r>
  <r>
    <x v="34"/>
    <x v="2"/>
    <x v="16"/>
    <x v="7"/>
    <x v="1"/>
    <x v="21"/>
    <x v="18"/>
    <x v="34"/>
    <x v="2"/>
    <x v="0"/>
    <x v="34"/>
    <x v="34"/>
  </r>
  <r>
    <x v="35"/>
    <x v="2"/>
    <x v="16"/>
    <x v="2"/>
    <x v="9"/>
    <x v="31"/>
    <x v="26"/>
    <x v="35"/>
    <x v="2"/>
    <x v="2"/>
    <x v="35"/>
    <x v="35"/>
  </r>
  <r>
    <x v="36"/>
    <x v="1"/>
    <x v="9"/>
    <x v="1"/>
    <x v="9"/>
    <x v="32"/>
    <x v="6"/>
    <x v="36"/>
    <x v="1"/>
    <x v="2"/>
    <x v="36"/>
    <x v="36"/>
  </r>
  <r>
    <x v="37"/>
    <x v="2"/>
    <x v="17"/>
    <x v="4"/>
    <x v="7"/>
    <x v="24"/>
    <x v="13"/>
    <x v="37"/>
    <x v="2"/>
    <x v="2"/>
    <x v="37"/>
    <x v="37"/>
  </r>
  <r>
    <x v="38"/>
    <x v="1"/>
    <x v="13"/>
    <x v="2"/>
    <x v="4"/>
    <x v="27"/>
    <x v="16"/>
    <x v="38"/>
    <x v="1"/>
    <x v="2"/>
    <x v="38"/>
    <x v="38"/>
  </r>
  <r>
    <x v="39"/>
    <x v="2"/>
    <x v="16"/>
    <x v="1"/>
    <x v="0"/>
    <x v="31"/>
    <x v="13"/>
    <x v="39"/>
    <x v="2"/>
    <x v="0"/>
    <x v="39"/>
    <x v="39"/>
  </r>
  <r>
    <x v="40"/>
    <x v="1"/>
    <x v="1"/>
    <x v="6"/>
    <x v="2"/>
    <x v="12"/>
    <x v="28"/>
    <x v="40"/>
    <x v="1"/>
    <x v="1"/>
    <x v="40"/>
    <x v="40"/>
  </r>
  <r>
    <x v="41"/>
    <x v="1"/>
    <x v="15"/>
    <x v="2"/>
    <x v="4"/>
    <x v="33"/>
    <x v="29"/>
    <x v="41"/>
    <x v="1"/>
    <x v="1"/>
    <x v="41"/>
    <x v="41"/>
  </r>
  <r>
    <x v="42"/>
    <x v="2"/>
    <x v="3"/>
    <x v="5"/>
    <x v="3"/>
    <x v="6"/>
    <x v="12"/>
    <x v="42"/>
    <x v="2"/>
    <x v="2"/>
    <x v="42"/>
    <x v="42"/>
  </r>
  <r>
    <x v="43"/>
    <x v="1"/>
    <x v="5"/>
    <x v="1"/>
    <x v="2"/>
    <x v="34"/>
    <x v="28"/>
    <x v="43"/>
    <x v="1"/>
    <x v="1"/>
    <x v="43"/>
    <x v="43"/>
  </r>
  <r>
    <x v="44"/>
    <x v="1"/>
    <x v="17"/>
    <x v="6"/>
    <x v="3"/>
    <x v="35"/>
    <x v="29"/>
    <x v="44"/>
    <x v="1"/>
    <x v="1"/>
    <x v="44"/>
    <x v="44"/>
  </r>
  <r>
    <x v="45"/>
    <x v="0"/>
    <x v="7"/>
    <x v="7"/>
    <x v="6"/>
    <x v="36"/>
    <x v="30"/>
    <x v="45"/>
    <x v="0"/>
    <x v="2"/>
    <x v="45"/>
    <x v="45"/>
  </r>
  <r>
    <x v="46"/>
    <x v="0"/>
    <x v="7"/>
    <x v="7"/>
    <x v="2"/>
    <x v="37"/>
    <x v="31"/>
    <x v="46"/>
    <x v="0"/>
    <x v="2"/>
    <x v="46"/>
    <x v="46"/>
  </r>
  <r>
    <x v="47"/>
    <x v="1"/>
    <x v="8"/>
    <x v="6"/>
    <x v="0"/>
    <x v="38"/>
    <x v="10"/>
    <x v="47"/>
    <x v="1"/>
    <x v="1"/>
    <x v="47"/>
    <x v="47"/>
  </r>
  <r>
    <x v="48"/>
    <x v="0"/>
    <x v="12"/>
    <x v="3"/>
    <x v="0"/>
    <x v="39"/>
    <x v="32"/>
    <x v="48"/>
    <x v="0"/>
    <x v="2"/>
    <x v="48"/>
    <x v="48"/>
  </r>
  <r>
    <x v="49"/>
    <x v="0"/>
    <x v="18"/>
    <x v="3"/>
    <x v="8"/>
    <x v="8"/>
    <x v="33"/>
    <x v="49"/>
    <x v="0"/>
    <x v="0"/>
    <x v="49"/>
    <x v="49"/>
  </r>
  <r>
    <x v="50"/>
    <x v="2"/>
    <x v="8"/>
    <x v="7"/>
    <x v="8"/>
    <x v="12"/>
    <x v="26"/>
    <x v="50"/>
    <x v="2"/>
    <x v="0"/>
    <x v="50"/>
    <x v="50"/>
  </r>
  <r>
    <x v="51"/>
    <x v="0"/>
    <x v="9"/>
    <x v="7"/>
    <x v="3"/>
    <x v="40"/>
    <x v="34"/>
    <x v="51"/>
    <x v="0"/>
    <x v="2"/>
    <x v="51"/>
    <x v="51"/>
  </r>
  <r>
    <x v="52"/>
    <x v="2"/>
    <x v="18"/>
    <x v="2"/>
    <x v="7"/>
    <x v="1"/>
    <x v="35"/>
    <x v="52"/>
    <x v="2"/>
    <x v="1"/>
    <x v="52"/>
    <x v="52"/>
  </r>
  <r>
    <x v="53"/>
    <x v="1"/>
    <x v="9"/>
    <x v="5"/>
    <x v="0"/>
    <x v="41"/>
    <x v="36"/>
    <x v="53"/>
    <x v="1"/>
    <x v="2"/>
    <x v="53"/>
    <x v="53"/>
  </r>
  <r>
    <x v="54"/>
    <x v="1"/>
    <x v="19"/>
    <x v="7"/>
    <x v="7"/>
    <x v="42"/>
    <x v="37"/>
    <x v="54"/>
    <x v="1"/>
    <x v="2"/>
    <x v="54"/>
    <x v="54"/>
  </r>
  <r>
    <x v="55"/>
    <x v="0"/>
    <x v="8"/>
    <x v="1"/>
    <x v="3"/>
    <x v="43"/>
    <x v="38"/>
    <x v="55"/>
    <x v="0"/>
    <x v="1"/>
    <x v="55"/>
    <x v="55"/>
  </r>
  <r>
    <x v="56"/>
    <x v="0"/>
    <x v="13"/>
    <x v="3"/>
    <x v="8"/>
    <x v="44"/>
    <x v="39"/>
    <x v="56"/>
    <x v="0"/>
    <x v="1"/>
    <x v="56"/>
    <x v="56"/>
  </r>
  <r>
    <x v="57"/>
    <x v="2"/>
    <x v="17"/>
    <x v="7"/>
    <x v="5"/>
    <x v="13"/>
    <x v="40"/>
    <x v="57"/>
    <x v="2"/>
    <x v="2"/>
    <x v="57"/>
    <x v="57"/>
  </r>
  <r>
    <x v="58"/>
    <x v="2"/>
    <x v="8"/>
    <x v="1"/>
    <x v="8"/>
    <x v="45"/>
    <x v="26"/>
    <x v="58"/>
    <x v="2"/>
    <x v="1"/>
    <x v="58"/>
    <x v="58"/>
  </r>
  <r>
    <x v="59"/>
    <x v="2"/>
    <x v="8"/>
    <x v="1"/>
    <x v="6"/>
    <x v="46"/>
    <x v="18"/>
    <x v="59"/>
    <x v="2"/>
    <x v="2"/>
    <x v="59"/>
    <x v="59"/>
  </r>
  <r>
    <x v="60"/>
    <x v="0"/>
    <x v="4"/>
    <x v="3"/>
    <x v="5"/>
    <x v="34"/>
    <x v="41"/>
    <x v="60"/>
    <x v="0"/>
    <x v="1"/>
    <x v="60"/>
    <x v="60"/>
  </r>
  <r>
    <x v="61"/>
    <x v="2"/>
    <x v="15"/>
    <x v="7"/>
    <x v="0"/>
    <x v="26"/>
    <x v="9"/>
    <x v="61"/>
    <x v="2"/>
    <x v="2"/>
    <x v="61"/>
    <x v="61"/>
  </r>
  <r>
    <x v="62"/>
    <x v="2"/>
    <x v="5"/>
    <x v="3"/>
    <x v="0"/>
    <x v="47"/>
    <x v="18"/>
    <x v="62"/>
    <x v="2"/>
    <x v="2"/>
    <x v="62"/>
    <x v="62"/>
  </r>
  <r>
    <x v="63"/>
    <x v="0"/>
    <x v="14"/>
    <x v="0"/>
    <x v="8"/>
    <x v="12"/>
    <x v="42"/>
    <x v="63"/>
    <x v="0"/>
    <x v="0"/>
    <x v="63"/>
    <x v="63"/>
  </r>
  <r>
    <x v="64"/>
    <x v="0"/>
    <x v="8"/>
    <x v="7"/>
    <x v="2"/>
    <x v="5"/>
    <x v="43"/>
    <x v="64"/>
    <x v="0"/>
    <x v="0"/>
    <x v="64"/>
    <x v="64"/>
  </r>
  <r>
    <x v="65"/>
    <x v="1"/>
    <x v="10"/>
    <x v="6"/>
    <x v="6"/>
    <x v="48"/>
    <x v="21"/>
    <x v="65"/>
    <x v="1"/>
    <x v="0"/>
    <x v="65"/>
    <x v="65"/>
  </r>
  <r>
    <x v="66"/>
    <x v="0"/>
    <x v="1"/>
    <x v="3"/>
    <x v="6"/>
    <x v="28"/>
    <x v="44"/>
    <x v="66"/>
    <x v="0"/>
    <x v="2"/>
    <x v="66"/>
    <x v="66"/>
  </r>
  <r>
    <x v="67"/>
    <x v="1"/>
    <x v="8"/>
    <x v="6"/>
    <x v="5"/>
    <x v="20"/>
    <x v="15"/>
    <x v="67"/>
    <x v="1"/>
    <x v="0"/>
    <x v="67"/>
    <x v="67"/>
  </r>
  <r>
    <x v="68"/>
    <x v="0"/>
    <x v="9"/>
    <x v="4"/>
    <x v="5"/>
    <x v="13"/>
    <x v="45"/>
    <x v="68"/>
    <x v="0"/>
    <x v="2"/>
    <x v="68"/>
    <x v="68"/>
  </r>
  <r>
    <x v="69"/>
    <x v="1"/>
    <x v="15"/>
    <x v="5"/>
    <x v="2"/>
    <x v="49"/>
    <x v="46"/>
    <x v="69"/>
    <x v="1"/>
    <x v="1"/>
    <x v="69"/>
    <x v="69"/>
  </r>
  <r>
    <x v="70"/>
    <x v="0"/>
    <x v="13"/>
    <x v="5"/>
    <x v="4"/>
    <x v="11"/>
    <x v="47"/>
    <x v="70"/>
    <x v="0"/>
    <x v="0"/>
    <x v="70"/>
    <x v="70"/>
  </r>
  <r>
    <x v="71"/>
    <x v="0"/>
    <x v="5"/>
    <x v="4"/>
    <x v="5"/>
    <x v="29"/>
    <x v="48"/>
    <x v="71"/>
    <x v="0"/>
    <x v="1"/>
    <x v="71"/>
    <x v="71"/>
  </r>
  <r>
    <x v="72"/>
    <x v="2"/>
    <x v="14"/>
    <x v="4"/>
    <x v="7"/>
    <x v="30"/>
    <x v="5"/>
    <x v="72"/>
    <x v="2"/>
    <x v="2"/>
    <x v="72"/>
    <x v="72"/>
  </r>
  <r>
    <x v="73"/>
    <x v="2"/>
    <x v="5"/>
    <x v="7"/>
    <x v="6"/>
    <x v="25"/>
    <x v="3"/>
    <x v="73"/>
    <x v="2"/>
    <x v="2"/>
    <x v="73"/>
    <x v="73"/>
  </r>
  <r>
    <x v="74"/>
    <x v="1"/>
    <x v="19"/>
    <x v="3"/>
    <x v="4"/>
    <x v="45"/>
    <x v="46"/>
    <x v="74"/>
    <x v="1"/>
    <x v="2"/>
    <x v="74"/>
    <x v="74"/>
  </r>
  <r>
    <x v="75"/>
    <x v="1"/>
    <x v="0"/>
    <x v="1"/>
    <x v="8"/>
    <x v="50"/>
    <x v="49"/>
    <x v="75"/>
    <x v="1"/>
    <x v="2"/>
    <x v="75"/>
    <x v="75"/>
  </r>
  <r>
    <x v="76"/>
    <x v="0"/>
    <x v="5"/>
    <x v="6"/>
    <x v="6"/>
    <x v="51"/>
    <x v="30"/>
    <x v="76"/>
    <x v="0"/>
    <x v="1"/>
    <x v="76"/>
    <x v="76"/>
  </r>
  <r>
    <x v="77"/>
    <x v="1"/>
    <x v="1"/>
    <x v="7"/>
    <x v="3"/>
    <x v="35"/>
    <x v="2"/>
    <x v="77"/>
    <x v="1"/>
    <x v="2"/>
    <x v="77"/>
    <x v="77"/>
  </r>
  <r>
    <x v="78"/>
    <x v="0"/>
    <x v="17"/>
    <x v="7"/>
    <x v="8"/>
    <x v="52"/>
    <x v="50"/>
    <x v="78"/>
    <x v="0"/>
    <x v="2"/>
    <x v="78"/>
    <x v="78"/>
  </r>
  <r>
    <x v="79"/>
    <x v="0"/>
    <x v="10"/>
    <x v="2"/>
    <x v="4"/>
    <x v="24"/>
    <x v="51"/>
    <x v="79"/>
    <x v="0"/>
    <x v="0"/>
    <x v="79"/>
    <x v="79"/>
  </r>
  <r>
    <x v="80"/>
    <x v="1"/>
    <x v="6"/>
    <x v="5"/>
    <x v="3"/>
    <x v="53"/>
    <x v="19"/>
    <x v="80"/>
    <x v="1"/>
    <x v="2"/>
    <x v="80"/>
    <x v="80"/>
  </r>
  <r>
    <x v="81"/>
    <x v="0"/>
    <x v="11"/>
    <x v="3"/>
    <x v="7"/>
    <x v="54"/>
    <x v="52"/>
    <x v="81"/>
    <x v="0"/>
    <x v="1"/>
    <x v="81"/>
    <x v="81"/>
  </r>
  <r>
    <x v="82"/>
    <x v="0"/>
    <x v="7"/>
    <x v="0"/>
    <x v="6"/>
    <x v="55"/>
    <x v="53"/>
    <x v="82"/>
    <x v="0"/>
    <x v="1"/>
    <x v="82"/>
    <x v="82"/>
  </r>
  <r>
    <x v="83"/>
    <x v="1"/>
    <x v="14"/>
    <x v="7"/>
    <x v="2"/>
    <x v="56"/>
    <x v="6"/>
    <x v="83"/>
    <x v="1"/>
    <x v="0"/>
    <x v="83"/>
    <x v="83"/>
  </r>
  <r>
    <x v="84"/>
    <x v="0"/>
    <x v="18"/>
    <x v="6"/>
    <x v="6"/>
    <x v="8"/>
    <x v="45"/>
    <x v="84"/>
    <x v="0"/>
    <x v="1"/>
    <x v="84"/>
    <x v="84"/>
  </r>
  <r>
    <x v="85"/>
    <x v="1"/>
    <x v="0"/>
    <x v="0"/>
    <x v="1"/>
    <x v="57"/>
    <x v="23"/>
    <x v="85"/>
    <x v="1"/>
    <x v="0"/>
    <x v="85"/>
    <x v="85"/>
  </r>
  <r>
    <x v="86"/>
    <x v="1"/>
    <x v="4"/>
    <x v="2"/>
    <x v="7"/>
    <x v="58"/>
    <x v="54"/>
    <x v="86"/>
    <x v="1"/>
    <x v="1"/>
    <x v="86"/>
    <x v="86"/>
  </r>
  <r>
    <x v="87"/>
    <x v="1"/>
    <x v="17"/>
    <x v="3"/>
    <x v="3"/>
    <x v="59"/>
    <x v="28"/>
    <x v="87"/>
    <x v="1"/>
    <x v="1"/>
    <x v="87"/>
    <x v="87"/>
  </r>
  <r>
    <x v="88"/>
    <x v="1"/>
    <x v="3"/>
    <x v="7"/>
    <x v="5"/>
    <x v="60"/>
    <x v="55"/>
    <x v="88"/>
    <x v="1"/>
    <x v="1"/>
    <x v="88"/>
    <x v="88"/>
  </r>
  <r>
    <x v="89"/>
    <x v="0"/>
    <x v="1"/>
    <x v="1"/>
    <x v="3"/>
    <x v="0"/>
    <x v="56"/>
    <x v="89"/>
    <x v="0"/>
    <x v="2"/>
    <x v="89"/>
    <x v="89"/>
  </r>
  <r>
    <x v="90"/>
    <x v="1"/>
    <x v="5"/>
    <x v="5"/>
    <x v="7"/>
    <x v="37"/>
    <x v="57"/>
    <x v="90"/>
    <x v="1"/>
    <x v="0"/>
    <x v="90"/>
    <x v="90"/>
  </r>
  <r>
    <x v="91"/>
    <x v="2"/>
    <x v="14"/>
    <x v="5"/>
    <x v="8"/>
    <x v="0"/>
    <x v="18"/>
    <x v="91"/>
    <x v="2"/>
    <x v="1"/>
    <x v="91"/>
    <x v="91"/>
  </r>
  <r>
    <x v="92"/>
    <x v="0"/>
    <x v="12"/>
    <x v="4"/>
    <x v="6"/>
    <x v="29"/>
    <x v="58"/>
    <x v="92"/>
    <x v="0"/>
    <x v="0"/>
    <x v="92"/>
    <x v="92"/>
  </r>
  <r>
    <x v="93"/>
    <x v="1"/>
    <x v="6"/>
    <x v="5"/>
    <x v="8"/>
    <x v="61"/>
    <x v="55"/>
    <x v="93"/>
    <x v="1"/>
    <x v="2"/>
    <x v="93"/>
    <x v="93"/>
  </r>
  <r>
    <x v="94"/>
    <x v="2"/>
    <x v="9"/>
    <x v="3"/>
    <x v="1"/>
    <x v="62"/>
    <x v="9"/>
    <x v="94"/>
    <x v="2"/>
    <x v="2"/>
    <x v="94"/>
    <x v="94"/>
  </r>
  <r>
    <x v="95"/>
    <x v="2"/>
    <x v="1"/>
    <x v="1"/>
    <x v="1"/>
    <x v="48"/>
    <x v="20"/>
    <x v="95"/>
    <x v="2"/>
    <x v="1"/>
    <x v="95"/>
    <x v="95"/>
  </r>
  <r>
    <x v="96"/>
    <x v="2"/>
    <x v="7"/>
    <x v="3"/>
    <x v="6"/>
    <x v="45"/>
    <x v="5"/>
    <x v="96"/>
    <x v="2"/>
    <x v="2"/>
    <x v="96"/>
    <x v="96"/>
  </r>
  <r>
    <x v="97"/>
    <x v="2"/>
    <x v="17"/>
    <x v="0"/>
    <x v="5"/>
    <x v="29"/>
    <x v="3"/>
    <x v="97"/>
    <x v="2"/>
    <x v="2"/>
    <x v="97"/>
    <x v="97"/>
  </r>
  <r>
    <x v="98"/>
    <x v="1"/>
    <x v="1"/>
    <x v="5"/>
    <x v="3"/>
    <x v="63"/>
    <x v="37"/>
    <x v="98"/>
    <x v="1"/>
    <x v="0"/>
    <x v="98"/>
    <x v="98"/>
  </r>
  <r>
    <x v="99"/>
    <x v="2"/>
    <x v="10"/>
    <x v="6"/>
    <x v="3"/>
    <x v="64"/>
    <x v="9"/>
    <x v="99"/>
    <x v="2"/>
    <x v="0"/>
    <x v="99"/>
    <x v="99"/>
  </r>
  <r>
    <x v="100"/>
    <x v="1"/>
    <x v="2"/>
    <x v="7"/>
    <x v="0"/>
    <x v="65"/>
    <x v="59"/>
    <x v="100"/>
    <x v="1"/>
    <x v="0"/>
    <x v="100"/>
    <x v="100"/>
  </r>
  <r>
    <x v="101"/>
    <x v="2"/>
    <x v="4"/>
    <x v="7"/>
    <x v="9"/>
    <x v="33"/>
    <x v="13"/>
    <x v="101"/>
    <x v="2"/>
    <x v="1"/>
    <x v="101"/>
    <x v="101"/>
  </r>
  <r>
    <x v="102"/>
    <x v="0"/>
    <x v="19"/>
    <x v="1"/>
    <x v="0"/>
    <x v="18"/>
    <x v="60"/>
    <x v="102"/>
    <x v="0"/>
    <x v="2"/>
    <x v="102"/>
    <x v="102"/>
  </r>
  <r>
    <x v="103"/>
    <x v="1"/>
    <x v="8"/>
    <x v="0"/>
    <x v="5"/>
    <x v="66"/>
    <x v="29"/>
    <x v="103"/>
    <x v="1"/>
    <x v="2"/>
    <x v="103"/>
    <x v="103"/>
  </r>
  <r>
    <x v="104"/>
    <x v="1"/>
    <x v="19"/>
    <x v="1"/>
    <x v="7"/>
    <x v="20"/>
    <x v="11"/>
    <x v="104"/>
    <x v="1"/>
    <x v="1"/>
    <x v="104"/>
    <x v="104"/>
  </r>
  <r>
    <x v="105"/>
    <x v="1"/>
    <x v="12"/>
    <x v="6"/>
    <x v="8"/>
    <x v="15"/>
    <x v="2"/>
    <x v="105"/>
    <x v="1"/>
    <x v="2"/>
    <x v="105"/>
    <x v="105"/>
  </r>
  <r>
    <x v="106"/>
    <x v="1"/>
    <x v="12"/>
    <x v="4"/>
    <x v="9"/>
    <x v="13"/>
    <x v="61"/>
    <x v="106"/>
    <x v="1"/>
    <x v="0"/>
    <x v="106"/>
    <x v="106"/>
  </r>
  <r>
    <x v="107"/>
    <x v="2"/>
    <x v="0"/>
    <x v="2"/>
    <x v="1"/>
    <x v="35"/>
    <x v="8"/>
    <x v="107"/>
    <x v="2"/>
    <x v="1"/>
    <x v="107"/>
    <x v="107"/>
  </r>
  <r>
    <x v="108"/>
    <x v="1"/>
    <x v="16"/>
    <x v="0"/>
    <x v="6"/>
    <x v="67"/>
    <x v="21"/>
    <x v="108"/>
    <x v="1"/>
    <x v="2"/>
    <x v="108"/>
    <x v="108"/>
  </r>
  <r>
    <x v="109"/>
    <x v="1"/>
    <x v="19"/>
    <x v="7"/>
    <x v="1"/>
    <x v="21"/>
    <x v="2"/>
    <x v="109"/>
    <x v="1"/>
    <x v="0"/>
    <x v="109"/>
    <x v="109"/>
  </r>
  <r>
    <x v="110"/>
    <x v="1"/>
    <x v="9"/>
    <x v="7"/>
    <x v="6"/>
    <x v="32"/>
    <x v="2"/>
    <x v="110"/>
    <x v="1"/>
    <x v="1"/>
    <x v="110"/>
    <x v="110"/>
  </r>
  <r>
    <x v="111"/>
    <x v="2"/>
    <x v="18"/>
    <x v="0"/>
    <x v="1"/>
    <x v="68"/>
    <x v="9"/>
    <x v="111"/>
    <x v="2"/>
    <x v="0"/>
    <x v="111"/>
    <x v="111"/>
  </r>
  <r>
    <x v="112"/>
    <x v="0"/>
    <x v="6"/>
    <x v="2"/>
    <x v="2"/>
    <x v="69"/>
    <x v="62"/>
    <x v="112"/>
    <x v="0"/>
    <x v="1"/>
    <x v="112"/>
    <x v="112"/>
  </r>
  <r>
    <x v="113"/>
    <x v="2"/>
    <x v="7"/>
    <x v="1"/>
    <x v="6"/>
    <x v="52"/>
    <x v="40"/>
    <x v="113"/>
    <x v="2"/>
    <x v="0"/>
    <x v="113"/>
    <x v="113"/>
  </r>
  <r>
    <x v="114"/>
    <x v="0"/>
    <x v="4"/>
    <x v="7"/>
    <x v="7"/>
    <x v="19"/>
    <x v="63"/>
    <x v="114"/>
    <x v="0"/>
    <x v="2"/>
    <x v="114"/>
    <x v="114"/>
  </r>
  <r>
    <x v="115"/>
    <x v="0"/>
    <x v="6"/>
    <x v="7"/>
    <x v="0"/>
    <x v="58"/>
    <x v="45"/>
    <x v="115"/>
    <x v="0"/>
    <x v="1"/>
    <x v="115"/>
    <x v="115"/>
  </r>
  <r>
    <x v="116"/>
    <x v="2"/>
    <x v="15"/>
    <x v="3"/>
    <x v="0"/>
    <x v="70"/>
    <x v="64"/>
    <x v="116"/>
    <x v="2"/>
    <x v="1"/>
    <x v="116"/>
    <x v="116"/>
  </r>
  <r>
    <x v="117"/>
    <x v="1"/>
    <x v="0"/>
    <x v="1"/>
    <x v="7"/>
    <x v="53"/>
    <x v="16"/>
    <x v="117"/>
    <x v="1"/>
    <x v="2"/>
    <x v="117"/>
    <x v="117"/>
  </r>
  <r>
    <x v="118"/>
    <x v="0"/>
    <x v="16"/>
    <x v="5"/>
    <x v="7"/>
    <x v="64"/>
    <x v="17"/>
    <x v="118"/>
    <x v="0"/>
    <x v="2"/>
    <x v="118"/>
    <x v="118"/>
  </r>
  <r>
    <x v="119"/>
    <x v="1"/>
    <x v="4"/>
    <x v="0"/>
    <x v="2"/>
    <x v="71"/>
    <x v="28"/>
    <x v="119"/>
    <x v="1"/>
    <x v="1"/>
    <x v="119"/>
    <x v="119"/>
  </r>
  <r>
    <x v="120"/>
    <x v="1"/>
    <x v="7"/>
    <x v="2"/>
    <x v="5"/>
    <x v="20"/>
    <x v="65"/>
    <x v="120"/>
    <x v="1"/>
    <x v="1"/>
    <x v="120"/>
    <x v="120"/>
  </r>
  <r>
    <x v="121"/>
    <x v="0"/>
    <x v="14"/>
    <x v="1"/>
    <x v="5"/>
    <x v="72"/>
    <x v="53"/>
    <x v="121"/>
    <x v="0"/>
    <x v="1"/>
    <x v="121"/>
    <x v="121"/>
  </r>
  <r>
    <x v="122"/>
    <x v="2"/>
    <x v="9"/>
    <x v="4"/>
    <x v="7"/>
    <x v="73"/>
    <x v="18"/>
    <x v="122"/>
    <x v="2"/>
    <x v="2"/>
    <x v="122"/>
    <x v="122"/>
  </r>
  <r>
    <x v="123"/>
    <x v="0"/>
    <x v="7"/>
    <x v="3"/>
    <x v="8"/>
    <x v="12"/>
    <x v="41"/>
    <x v="123"/>
    <x v="0"/>
    <x v="1"/>
    <x v="123"/>
    <x v="123"/>
  </r>
  <r>
    <x v="124"/>
    <x v="0"/>
    <x v="1"/>
    <x v="6"/>
    <x v="1"/>
    <x v="74"/>
    <x v="66"/>
    <x v="124"/>
    <x v="0"/>
    <x v="1"/>
    <x v="124"/>
    <x v="124"/>
  </r>
  <r>
    <x v="125"/>
    <x v="0"/>
    <x v="5"/>
    <x v="5"/>
    <x v="2"/>
    <x v="42"/>
    <x v="67"/>
    <x v="125"/>
    <x v="0"/>
    <x v="2"/>
    <x v="125"/>
    <x v="125"/>
  </r>
  <r>
    <x v="126"/>
    <x v="2"/>
    <x v="5"/>
    <x v="0"/>
    <x v="0"/>
    <x v="15"/>
    <x v="35"/>
    <x v="126"/>
    <x v="2"/>
    <x v="2"/>
    <x v="126"/>
    <x v="126"/>
  </r>
  <r>
    <x v="127"/>
    <x v="1"/>
    <x v="9"/>
    <x v="7"/>
    <x v="3"/>
    <x v="10"/>
    <x v="59"/>
    <x v="127"/>
    <x v="1"/>
    <x v="1"/>
    <x v="127"/>
    <x v="127"/>
  </r>
  <r>
    <x v="128"/>
    <x v="0"/>
    <x v="18"/>
    <x v="0"/>
    <x v="8"/>
    <x v="75"/>
    <x v="68"/>
    <x v="128"/>
    <x v="0"/>
    <x v="1"/>
    <x v="128"/>
    <x v="128"/>
  </r>
  <r>
    <x v="129"/>
    <x v="1"/>
    <x v="7"/>
    <x v="7"/>
    <x v="9"/>
    <x v="63"/>
    <x v="16"/>
    <x v="129"/>
    <x v="1"/>
    <x v="0"/>
    <x v="129"/>
    <x v="129"/>
  </r>
  <r>
    <x v="130"/>
    <x v="1"/>
    <x v="0"/>
    <x v="3"/>
    <x v="7"/>
    <x v="19"/>
    <x v="36"/>
    <x v="130"/>
    <x v="1"/>
    <x v="0"/>
    <x v="130"/>
    <x v="130"/>
  </r>
  <r>
    <x v="131"/>
    <x v="0"/>
    <x v="7"/>
    <x v="2"/>
    <x v="8"/>
    <x v="70"/>
    <x v="67"/>
    <x v="131"/>
    <x v="0"/>
    <x v="1"/>
    <x v="131"/>
    <x v="131"/>
  </r>
  <r>
    <x v="132"/>
    <x v="1"/>
    <x v="15"/>
    <x v="0"/>
    <x v="6"/>
    <x v="5"/>
    <x v="6"/>
    <x v="132"/>
    <x v="1"/>
    <x v="0"/>
    <x v="132"/>
    <x v="132"/>
  </r>
  <r>
    <x v="133"/>
    <x v="0"/>
    <x v="0"/>
    <x v="5"/>
    <x v="2"/>
    <x v="22"/>
    <x v="69"/>
    <x v="133"/>
    <x v="0"/>
    <x v="1"/>
    <x v="133"/>
    <x v="133"/>
  </r>
  <r>
    <x v="134"/>
    <x v="0"/>
    <x v="10"/>
    <x v="4"/>
    <x v="0"/>
    <x v="49"/>
    <x v="70"/>
    <x v="134"/>
    <x v="0"/>
    <x v="1"/>
    <x v="134"/>
    <x v="134"/>
  </r>
  <r>
    <x v="135"/>
    <x v="0"/>
    <x v="9"/>
    <x v="7"/>
    <x v="1"/>
    <x v="36"/>
    <x v="71"/>
    <x v="135"/>
    <x v="0"/>
    <x v="1"/>
    <x v="135"/>
    <x v="135"/>
  </r>
  <r>
    <x v="136"/>
    <x v="0"/>
    <x v="2"/>
    <x v="0"/>
    <x v="3"/>
    <x v="69"/>
    <x v="72"/>
    <x v="136"/>
    <x v="0"/>
    <x v="1"/>
    <x v="136"/>
    <x v="136"/>
  </r>
  <r>
    <x v="137"/>
    <x v="2"/>
    <x v="6"/>
    <x v="7"/>
    <x v="1"/>
    <x v="56"/>
    <x v="20"/>
    <x v="137"/>
    <x v="2"/>
    <x v="1"/>
    <x v="137"/>
    <x v="137"/>
  </r>
  <r>
    <x v="138"/>
    <x v="0"/>
    <x v="14"/>
    <x v="2"/>
    <x v="7"/>
    <x v="18"/>
    <x v="73"/>
    <x v="138"/>
    <x v="0"/>
    <x v="0"/>
    <x v="138"/>
    <x v="138"/>
  </r>
  <r>
    <x v="139"/>
    <x v="1"/>
    <x v="7"/>
    <x v="2"/>
    <x v="0"/>
    <x v="27"/>
    <x v="61"/>
    <x v="139"/>
    <x v="1"/>
    <x v="1"/>
    <x v="139"/>
    <x v="139"/>
  </r>
  <r>
    <x v="140"/>
    <x v="2"/>
    <x v="2"/>
    <x v="6"/>
    <x v="3"/>
    <x v="29"/>
    <x v="8"/>
    <x v="140"/>
    <x v="2"/>
    <x v="1"/>
    <x v="140"/>
    <x v="140"/>
  </r>
  <r>
    <x v="141"/>
    <x v="2"/>
    <x v="13"/>
    <x v="0"/>
    <x v="4"/>
    <x v="51"/>
    <x v="12"/>
    <x v="141"/>
    <x v="2"/>
    <x v="0"/>
    <x v="141"/>
    <x v="141"/>
  </r>
  <r>
    <x v="142"/>
    <x v="2"/>
    <x v="3"/>
    <x v="7"/>
    <x v="4"/>
    <x v="73"/>
    <x v="25"/>
    <x v="142"/>
    <x v="2"/>
    <x v="1"/>
    <x v="142"/>
    <x v="142"/>
  </r>
  <r>
    <x v="143"/>
    <x v="1"/>
    <x v="1"/>
    <x v="0"/>
    <x v="3"/>
    <x v="76"/>
    <x v="23"/>
    <x v="143"/>
    <x v="1"/>
    <x v="0"/>
    <x v="143"/>
    <x v="143"/>
  </r>
  <r>
    <x v="144"/>
    <x v="0"/>
    <x v="18"/>
    <x v="3"/>
    <x v="7"/>
    <x v="16"/>
    <x v="17"/>
    <x v="144"/>
    <x v="0"/>
    <x v="2"/>
    <x v="144"/>
    <x v="144"/>
  </r>
  <r>
    <x v="145"/>
    <x v="1"/>
    <x v="11"/>
    <x v="2"/>
    <x v="8"/>
    <x v="30"/>
    <x v="16"/>
    <x v="145"/>
    <x v="1"/>
    <x v="0"/>
    <x v="145"/>
    <x v="145"/>
  </r>
  <r>
    <x v="146"/>
    <x v="2"/>
    <x v="18"/>
    <x v="2"/>
    <x v="1"/>
    <x v="8"/>
    <x v="5"/>
    <x v="146"/>
    <x v="2"/>
    <x v="1"/>
    <x v="146"/>
    <x v="146"/>
  </r>
  <r>
    <x v="147"/>
    <x v="1"/>
    <x v="16"/>
    <x v="4"/>
    <x v="5"/>
    <x v="32"/>
    <x v="10"/>
    <x v="147"/>
    <x v="1"/>
    <x v="2"/>
    <x v="147"/>
    <x v="147"/>
  </r>
  <r>
    <x v="148"/>
    <x v="1"/>
    <x v="17"/>
    <x v="1"/>
    <x v="3"/>
    <x v="63"/>
    <x v="7"/>
    <x v="148"/>
    <x v="1"/>
    <x v="0"/>
    <x v="148"/>
    <x v="148"/>
  </r>
  <r>
    <x v="149"/>
    <x v="0"/>
    <x v="6"/>
    <x v="2"/>
    <x v="8"/>
    <x v="62"/>
    <x v="0"/>
    <x v="149"/>
    <x v="0"/>
    <x v="2"/>
    <x v="149"/>
    <x v="149"/>
  </r>
  <r>
    <x v="150"/>
    <x v="3"/>
    <x v="20"/>
    <x v="8"/>
    <x v="10"/>
    <x v="77"/>
    <x v="74"/>
    <x v="150"/>
    <x v="3"/>
    <x v="3"/>
    <x v="150"/>
    <x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16" firstHeaderRow="1" firstDataRow="2" firstDataCol="1"/>
  <pivotFields count="12">
    <pivotField compact="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22">
        <item x="10"/>
        <item x="17"/>
        <item x="14"/>
        <item x="19"/>
        <item x="9"/>
        <item x="4"/>
        <item x="7"/>
        <item x="11"/>
        <item x="13"/>
        <item x="15"/>
        <item x="6"/>
        <item x="12"/>
        <item x="0"/>
        <item x="3"/>
        <item x="5"/>
        <item x="1"/>
        <item x="8"/>
        <item x="2"/>
        <item x="18"/>
        <item x="16"/>
        <item x="20"/>
        <item t="default"/>
      </items>
    </pivotField>
    <pivotField compact="0" showAll="0">
      <items count="10">
        <item x="2"/>
        <item x="1"/>
        <item x="5"/>
        <item x="4"/>
        <item x="7"/>
        <item x="6"/>
        <item x="0"/>
        <item x="3"/>
        <item x="8"/>
        <item t="default"/>
      </items>
    </pivotField>
    <pivotField axis="axisRow" compact="0" showAll="0">
      <items count="12">
        <item x="0"/>
        <item x="5"/>
        <item x="8"/>
        <item x="4"/>
        <item x="6"/>
        <item x="1"/>
        <item x="7"/>
        <item x="9"/>
        <item x="3"/>
        <item x="2"/>
        <item x="10"/>
        <item t="default"/>
      </items>
    </pivotField>
    <pivotField compact="0" showAll="0">
      <items count="79">
        <item x="14"/>
        <item x="37"/>
        <item x="12"/>
        <item x="33"/>
        <item x="63"/>
        <item x="62"/>
        <item x="55"/>
        <item x="38"/>
        <item x="32"/>
        <item x="18"/>
        <item x="29"/>
        <item x="7"/>
        <item x="60"/>
        <item x="58"/>
        <item x="66"/>
        <item x="23"/>
        <item x="75"/>
        <item x="1"/>
        <item x="9"/>
        <item x="27"/>
        <item x="67"/>
        <item x="35"/>
        <item x="13"/>
        <item x="57"/>
        <item x="20"/>
        <item x="40"/>
        <item x="19"/>
        <item x="25"/>
        <item x="11"/>
        <item x="31"/>
        <item x="76"/>
        <item x="52"/>
        <item x="51"/>
        <item x="39"/>
        <item x="59"/>
        <item x="42"/>
        <item x="47"/>
        <item x="6"/>
        <item x="65"/>
        <item x="28"/>
        <item x="53"/>
        <item x="24"/>
        <item x="56"/>
        <item x="46"/>
        <item x="61"/>
        <item x="36"/>
        <item x="73"/>
        <item x="49"/>
        <item x="74"/>
        <item x="4"/>
        <item x="54"/>
        <item x="30"/>
        <item x="45"/>
        <item x="34"/>
        <item x="68"/>
        <item x="41"/>
        <item x="69"/>
        <item x="2"/>
        <item x="10"/>
        <item x="44"/>
        <item x="8"/>
        <item x="48"/>
        <item x="72"/>
        <item x="64"/>
        <item x="16"/>
        <item x="43"/>
        <item x="70"/>
        <item x="71"/>
        <item x="21"/>
        <item x="0"/>
        <item x="26"/>
        <item x="17"/>
        <item x="50"/>
        <item x="3"/>
        <item x="5"/>
        <item x="22"/>
        <item x="15"/>
        <item x="77"/>
        <item t="default"/>
      </items>
    </pivotField>
    <pivotField compact="0" showAll="0">
      <items count="76">
        <item x="35"/>
        <item x="9"/>
        <item x="8"/>
        <item x="26"/>
        <item x="18"/>
        <item x="64"/>
        <item x="13"/>
        <item x="20"/>
        <item x="40"/>
        <item x="3"/>
        <item x="5"/>
        <item x="25"/>
        <item x="12"/>
        <item x="49"/>
        <item x="23"/>
        <item x="28"/>
        <item x="55"/>
        <item x="65"/>
        <item x="2"/>
        <item x="16"/>
        <item x="59"/>
        <item x="15"/>
        <item x="36"/>
        <item x="21"/>
        <item x="19"/>
        <item x="37"/>
        <item x="10"/>
        <item x="27"/>
        <item x="54"/>
        <item x="61"/>
        <item x="29"/>
        <item x="6"/>
        <item x="57"/>
        <item x="4"/>
        <item x="11"/>
        <item x="46"/>
        <item x="7"/>
        <item x="41"/>
        <item x="31"/>
        <item x="70"/>
        <item x="68"/>
        <item x="69"/>
        <item x="71"/>
        <item x="50"/>
        <item x="17"/>
        <item x="73"/>
        <item x="47"/>
        <item x="45"/>
        <item x="42"/>
        <item x="43"/>
        <item x="48"/>
        <item x="63"/>
        <item x="24"/>
        <item x="66"/>
        <item x="51"/>
        <item x="60"/>
        <item x="22"/>
        <item x="39"/>
        <item x="32"/>
        <item x="34"/>
        <item x="52"/>
        <item x="72"/>
        <item x="56"/>
        <item x="14"/>
        <item x="53"/>
        <item x="33"/>
        <item x="44"/>
        <item x="62"/>
        <item x="30"/>
        <item x="67"/>
        <item x="1"/>
        <item x="0"/>
        <item x="58"/>
        <item x="38"/>
        <item x="74"/>
        <item t="default"/>
      </items>
    </pivotField>
    <pivotField compact="0" showAll="0">
      <items count="152">
        <item x="9"/>
        <item x="19"/>
        <item x="62"/>
        <item x="97"/>
        <item x="37"/>
        <item x="5"/>
        <item x="141"/>
        <item x="25"/>
        <item x="140"/>
        <item x="72"/>
        <item x="42"/>
        <item x="35"/>
        <item x="29"/>
        <item x="142"/>
        <item x="52"/>
        <item x="107"/>
        <item x="122"/>
        <item x="14"/>
        <item x="34"/>
        <item x="113"/>
        <item x="3"/>
        <item x="31"/>
        <item x="101"/>
        <item x="10"/>
        <item x="99"/>
        <item x="59"/>
        <item x="30"/>
        <item x="58"/>
        <item x="126"/>
        <item x="57"/>
        <item x="21"/>
        <item x="137"/>
        <item x="95"/>
        <item x="27"/>
        <item x="32"/>
        <item x="6"/>
        <item x="50"/>
        <item x="120"/>
        <item x="22"/>
        <item x="43"/>
        <item x="116"/>
        <item x="111"/>
        <item x="2"/>
        <item x="61"/>
        <item x="85"/>
        <item x="17"/>
        <item x="94"/>
        <item x="96"/>
        <item x="91"/>
        <item x="110"/>
        <item x="73"/>
        <item x="146"/>
        <item x="80"/>
        <item x="75"/>
        <item x="127"/>
        <item x="39"/>
        <item x="26"/>
        <item x="105"/>
        <item x="13"/>
        <item x="93"/>
        <item x="47"/>
        <item x="41"/>
        <item x="44"/>
        <item x="147"/>
        <item x="98"/>
        <item x="69"/>
        <item x="100"/>
        <item x="36"/>
        <item x="53"/>
        <item x="143"/>
        <item x="16"/>
        <item x="8"/>
        <item x="67"/>
        <item x="117"/>
        <item x="119"/>
        <item x="86"/>
        <item x="38"/>
        <item x="109"/>
        <item x="74"/>
        <item x="77"/>
        <item x="145"/>
        <item x="132"/>
        <item x="88"/>
        <item x="108"/>
        <item x="20"/>
        <item x="87"/>
        <item x="65"/>
        <item x="4"/>
        <item x="40"/>
        <item x="23"/>
        <item x="90"/>
        <item x="7"/>
        <item x="106"/>
        <item x="129"/>
        <item x="148"/>
        <item x="130"/>
        <item x="139"/>
        <item x="54"/>
        <item x="11"/>
        <item x="12"/>
        <item x="33"/>
        <item x="104"/>
        <item x="103"/>
        <item x="83"/>
        <item x="123"/>
        <item x="128"/>
        <item x="133"/>
        <item x="135"/>
        <item x="60"/>
        <item x="134"/>
        <item x="115"/>
        <item x="78"/>
        <item x="71"/>
        <item x="46"/>
        <item x="68"/>
        <item x="114"/>
        <item x="64"/>
        <item x="24"/>
        <item x="84"/>
        <item x="124"/>
        <item x="70"/>
        <item x="63"/>
        <item x="28"/>
        <item x="138"/>
        <item x="118"/>
        <item x="49"/>
        <item x="136"/>
        <item x="112"/>
        <item x="82"/>
        <item x="144"/>
        <item x="18"/>
        <item x="51"/>
        <item x="92"/>
        <item x="15"/>
        <item x="66"/>
        <item x="48"/>
        <item x="102"/>
        <item x="121"/>
        <item x="79"/>
        <item x="89"/>
        <item x="131"/>
        <item x="149"/>
        <item x="55"/>
        <item x="0"/>
        <item x="81"/>
        <item x="125"/>
        <item x="56"/>
        <item x="76"/>
        <item x="45"/>
        <item x="1"/>
        <item x="150"/>
        <item t="default"/>
      </items>
    </pivotField>
    <pivotField axis="axisCol" compact="0" showAll="0">
      <items count="5">
        <item x="2"/>
        <item x="1"/>
        <item x="0"/>
        <item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52">
        <item x="74"/>
        <item x="136"/>
        <item x="7"/>
        <item x="5"/>
        <item x="51"/>
        <item x="110"/>
        <item x="53"/>
        <item x="119"/>
        <item x="15"/>
        <item x="86"/>
        <item x="3"/>
        <item x="124"/>
        <item x="44"/>
        <item x="23"/>
        <item x="25"/>
        <item x="105"/>
        <item x="41"/>
        <item x="85"/>
        <item x="11"/>
        <item x="34"/>
        <item x="79"/>
        <item x="149"/>
        <item x="48"/>
        <item x="56"/>
        <item x="4"/>
        <item x="126"/>
        <item x="39"/>
        <item x="91"/>
        <item x="146"/>
        <item x="61"/>
        <item x="24"/>
        <item x="88"/>
        <item x="106"/>
        <item x="121"/>
        <item x="50"/>
        <item x="101"/>
        <item x="14"/>
        <item x="40"/>
        <item x="96"/>
        <item x="141"/>
        <item x="18"/>
        <item x="135"/>
        <item x="43"/>
        <item x="129"/>
        <item x="108"/>
        <item x="20"/>
        <item x="26"/>
        <item x="81"/>
        <item x="12"/>
        <item x="94"/>
        <item x="83"/>
        <item x="82"/>
        <item x="29"/>
        <item x="77"/>
        <item x="122"/>
        <item x="117"/>
        <item x="114"/>
        <item x="63"/>
        <item x="66"/>
        <item x="109"/>
        <item x="8"/>
        <item x="38"/>
        <item x="113"/>
        <item x="102"/>
        <item x="37"/>
        <item x="147"/>
        <item x="73"/>
        <item x="142"/>
        <item x="52"/>
        <item x="76"/>
        <item x="80"/>
        <item x="89"/>
        <item x="9"/>
        <item x="57"/>
        <item x="140"/>
        <item x="104"/>
        <item x="55"/>
        <item x="131"/>
        <item x="90"/>
        <item x="33"/>
        <item x="10"/>
        <item x="68"/>
        <item x="19"/>
        <item x="84"/>
        <item x="58"/>
        <item x="103"/>
        <item x="134"/>
        <item x="145"/>
        <item x="35"/>
        <item x="6"/>
        <item x="1"/>
        <item x="137"/>
        <item x="62"/>
        <item x="95"/>
        <item x="115"/>
        <item x="59"/>
        <item x="128"/>
        <item x="98"/>
        <item x="72"/>
        <item x="60"/>
        <item x="17"/>
        <item x="45"/>
        <item x="87"/>
        <item x="46"/>
        <item x="22"/>
        <item x="64"/>
        <item x="112"/>
        <item x="54"/>
        <item x="100"/>
        <item x="30"/>
        <item x="123"/>
        <item x="49"/>
        <item x="143"/>
        <item x="16"/>
        <item x="69"/>
        <item x="132"/>
        <item x="130"/>
        <item x="70"/>
        <item x="71"/>
        <item x="93"/>
        <item x="47"/>
        <item x="111"/>
        <item x="31"/>
        <item x="0"/>
        <item x="107"/>
        <item x="116"/>
        <item x="127"/>
        <item x="65"/>
        <item x="27"/>
        <item x="67"/>
        <item x="21"/>
        <item x="138"/>
        <item x="28"/>
        <item x="148"/>
        <item x="13"/>
        <item x="125"/>
        <item x="36"/>
        <item x="32"/>
        <item x="97"/>
        <item x="139"/>
        <item x="92"/>
        <item x="42"/>
        <item x="99"/>
        <item x="118"/>
        <item x="75"/>
        <item x="144"/>
        <item x="78"/>
        <item x="2"/>
        <item x="133"/>
        <item x="120"/>
        <item x="150"/>
        <item t="default"/>
      </items>
    </pivotField>
    <pivotField dataField="1" compact="0" showAll="0">
      <items count="152">
        <item x="9"/>
        <item x="19"/>
        <item x="62"/>
        <item x="140"/>
        <item x="37"/>
        <item x="97"/>
        <item x="25"/>
        <item x="52"/>
        <item x="35"/>
        <item x="5"/>
        <item x="107"/>
        <item x="72"/>
        <item x="122"/>
        <item x="141"/>
        <item x="34"/>
        <item x="10"/>
        <item x="31"/>
        <item x="42"/>
        <item x="99"/>
        <item x="14"/>
        <item x="29"/>
        <item x="142"/>
        <item x="113"/>
        <item x="59"/>
        <item x="101"/>
        <item x="3"/>
        <item x="126"/>
        <item x="58"/>
        <item x="30"/>
        <item x="21"/>
        <item x="137"/>
        <item x="57"/>
        <item x="95"/>
        <item x="50"/>
        <item x="111"/>
        <item x="61"/>
        <item x="94"/>
        <item x="27"/>
        <item x="32"/>
        <item x="116"/>
        <item x="22"/>
        <item x="6"/>
        <item x="91"/>
        <item x="73"/>
        <item x="96"/>
        <item x="39"/>
        <item x="146"/>
        <item x="13"/>
        <item x="43"/>
        <item x="120"/>
        <item x="85"/>
        <item x="2"/>
        <item x="17"/>
        <item x="110"/>
        <item x="75"/>
        <item x="26"/>
        <item x="105"/>
        <item x="93"/>
        <item x="127"/>
        <item x="80"/>
        <item x="143"/>
        <item x="47"/>
        <item x="119"/>
        <item x="100"/>
        <item x="147"/>
        <item x="117"/>
        <item x="98"/>
        <item x="16"/>
        <item x="41"/>
        <item x="44"/>
        <item x="67"/>
        <item x="38"/>
        <item x="53"/>
        <item x="88"/>
        <item x="109"/>
        <item x="77"/>
        <item x="145"/>
        <item x="87"/>
        <item x="40"/>
        <item x="36"/>
        <item x="86"/>
        <item x="108"/>
        <item x="69"/>
        <item x="20"/>
        <item x="65"/>
        <item x="129"/>
        <item x="23"/>
        <item x="8"/>
        <item x="132"/>
        <item x="130"/>
        <item x="74"/>
        <item x="4"/>
        <item x="106"/>
        <item x="54"/>
        <item x="90"/>
        <item x="139"/>
        <item x="7"/>
        <item x="11"/>
        <item x="33"/>
        <item x="148"/>
        <item x="12"/>
        <item x="103"/>
        <item x="104"/>
        <item x="83"/>
        <item x="123"/>
        <item x="128"/>
        <item x="60"/>
        <item x="133"/>
        <item x="135"/>
        <item x="134"/>
        <item x="46"/>
        <item x="78"/>
        <item x="115"/>
        <item x="68"/>
        <item x="71"/>
        <item x="84"/>
        <item x="70"/>
        <item x="114"/>
        <item x="64"/>
        <item x="138"/>
        <item x="118"/>
        <item x="144"/>
        <item x="18"/>
        <item x="63"/>
        <item x="24"/>
        <item x="124"/>
        <item x="28"/>
        <item x="136"/>
        <item x="51"/>
        <item x="49"/>
        <item x="82"/>
        <item x="79"/>
        <item x="102"/>
        <item x="112"/>
        <item x="15"/>
        <item x="48"/>
        <item x="92"/>
        <item x="66"/>
        <item x="89"/>
        <item x="121"/>
        <item x="56"/>
        <item x="81"/>
        <item x="131"/>
        <item x="149"/>
        <item x="125"/>
        <item x="0"/>
        <item x="76"/>
        <item x="45"/>
        <item x="55"/>
        <item x="1"/>
        <item x="150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Mid Salary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xperienceLevel" sourceName="ExperienceLevel">
  <pivotTables>
    <pivotTable tabId="11" name="PivotTable1"/>
  </pivotTables>
  <data>
    <tabular pivotCacheId="1">
      <items count="4">
        <i x="2" s="1"/>
        <i x="1" s="1"/>
        <i x="0" s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moteOption" sourceName="RemoteOption">
  <pivotTables>
    <pivotTable tabId="11" name="PivotTable1"/>
  </pivotTables>
  <data>
    <tabular pivotCacheId="1">
      <items count="4">
        <i x="1" s="1"/>
        <i x="2" s="1"/>
        <i x="0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xperienceLevel" cache="Slicer_ExperienceLevel" caption="ExperienceLevel" rowHeight="225425"/>
  <slicer name="RemoteOption" cache="Slicer_RemoteOption" caption="RemoteOption" rowHeight="225425"/>
</slicers>
</file>

<file path=xl/tables/table1.xml><?xml version="1.0" encoding="utf-8"?>
<table xmlns="http://schemas.openxmlformats.org/spreadsheetml/2006/main" id="1" name="Table4" displayName="Table4" ref="A1:L151" totalsRowShown="0">
  <autoFilter ref="A1:L151"/>
  <tableColumns count="12">
    <tableColumn id="1" name="JobID"/>
    <tableColumn id="2" name="JobTitle"/>
    <tableColumn id="3" name="Company"/>
    <tableColumn id="4" name="Industry"/>
    <tableColumn id="5" name="Location"/>
    <tableColumn id="6" name="PostedDate"/>
    <tableColumn id="7" name="SalaryMin"/>
    <tableColumn id="8" name="SalaryMax"/>
    <tableColumn id="9" name="ExperienceLevel"/>
    <tableColumn id="10" name="RemoteOption"/>
    <tableColumn id="11" name="Skills"/>
    <tableColumn id="12" name="Mid Sala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workbookViewId="0">
      <selection activeCell="H150" sqref="A1:H150"/>
    </sheetView>
  </sheetViews>
  <sheetFormatPr defaultColWidth="8.8" defaultRowHeight="15"/>
  <cols>
    <col min="1" max="1" width="15.2" customWidth="1"/>
    <col min="2" max="8" width="15.7" customWidth="1"/>
  </cols>
  <sheetData>
    <row r="1" spans="1:9">
      <c r="A1" s="32" t="s">
        <v>0</v>
      </c>
      <c r="B1" s="32"/>
      <c r="C1" s="32"/>
      <c r="D1" s="32"/>
      <c r="E1" s="32"/>
      <c r="F1" s="32"/>
      <c r="G1" s="32"/>
      <c r="H1" s="35"/>
      <c r="I1" s="36"/>
    </row>
    <row r="2" spans="1:9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/>
      <c r="H2" s="33"/>
      <c r="I2" s="37"/>
    </row>
    <row r="3" spans="1:9">
      <c r="A3" s="34" t="s">
        <v>7</v>
      </c>
      <c r="B3" s="34" t="s">
        <v>8</v>
      </c>
      <c r="C3" s="34" t="s">
        <v>9</v>
      </c>
      <c r="D3" s="34" t="s">
        <v>10</v>
      </c>
      <c r="E3" s="34" t="s">
        <v>11</v>
      </c>
      <c r="F3" s="34" t="s">
        <v>5</v>
      </c>
      <c r="G3" s="34" t="s">
        <v>4</v>
      </c>
      <c r="H3" s="34" t="s">
        <v>12</v>
      </c>
      <c r="I3" s="37"/>
    </row>
    <row r="4" spans="1:9">
      <c r="A4" s="33" t="s">
        <v>13</v>
      </c>
      <c r="B4" s="33" t="s">
        <v>6</v>
      </c>
      <c r="C4" s="33" t="s">
        <v>5</v>
      </c>
      <c r="D4" s="33" t="s">
        <v>10</v>
      </c>
      <c r="E4" s="33" t="s">
        <v>14</v>
      </c>
      <c r="F4" s="33" t="s">
        <v>15</v>
      </c>
      <c r="G4" s="33"/>
      <c r="H4" s="33"/>
      <c r="I4" s="37"/>
    </row>
    <row r="5" spans="1:9">
      <c r="A5" s="34" t="s">
        <v>16</v>
      </c>
      <c r="B5" s="34" t="s">
        <v>5</v>
      </c>
      <c r="C5" s="34" t="s">
        <v>17</v>
      </c>
      <c r="D5" s="34" t="s">
        <v>15</v>
      </c>
      <c r="E5" s="34" t="s">
        <v>6</v>
      </c>
      <c r="F5" s="34" t="s">
        <v>18</v>
      </c>
      <c r="G5" s="34" t="s">
        <v>14</v>
      </c>
      <c r="H5" s="34" t="s">
        <v>10</v>
      </c>
      <c r="I5" s="37"/>
    </row>
    <row r="6" spans="1:9">
      <c r="A6" s="33" t="s">
        <v>19</v>
      </c>
      <c r="B6" s="33" t="s">
        <v>14</v>
      </c>
      <c r="C6" s="33" t="s">
        <v>6</v>
      </c>
      <c r="D6" s="33" t="s">
        <v>5</v>
      </c>
      <c r="E6" s="33"/>
      <c r="F6" s="33"/>
      <c r="G6" s="33"/>
      <c r="H6" s="33"/>
      <c r="I6" s="37"/>
    </row>
    <row r="7" spans="1:9">
      <c r="A7" s="34" t="s">
        <v>20</v>
      </c>
      <c r="B7" s="34" t="s">
        <v>3</v>
      </c>
      <c r="C7" s="34" t="s">
        <v>21</v>
      </c>
      <c r="D7" s="34"/>
      <c r="E7" s="34"/>
      <c r="F7" s="34"/>
      <c r="G7" s="34"/>
      <c r="H7" s="34"/>
      <c r="I7" s="37"/>
    </row>
    <row r="8" spans="1:9">
      <c r="A8" s="33" t="s">
        <v>7</v>
      </c>
      <c r="B8" s="33" t="s">
        <v>15</v>
      </c>
      <c r="C8" s="33" t="s">
        <v>22</v>
      </c>
      <c r="D8" s="33" t="s">
        <v>23</v>
      </c>
      <c r="E8" s="33"/>
      <c r="F8" s="33"/>
      <c r="G8" s="33"/>
      <c r="H8" s="33"/>
      <c r="I8" s="37"/>
    </row>
    <row r="9" spans="1:9">
      <c r="A9" s="34" t="s">
        <v>20</v>
      </c>
      <c r="B9" s="34" t="s">
        <v>15</v>
      </c>
      <c r="C9" s="34" t="s">
        <v>11</v>
      </c>
      <c r="D9" s="34" t="s">
        <v>2</v>
      </c>
      <c r="E9" s="34" t="s">
        <v>3</v>
      </c>
      <c r="F9" s="34" t="s">
        <v>24</v>
      </c>
      <c r="G9" s="34" t="s">
        <v>10</v>
      </c>
      <c r="H9" s="34" t="s">
        <v>18</v>
      </c>
      <c r="I9" s="37"/>
    </row>
    <row r="10" spans="1:9">
      <c r="A10" s="33" t="s">
        <v>25</v>
      </c>
      <c r="B10" s="33" t="s">
        <v>21</v>
      </c>
      <c r="C10" s="33" t="s">
        <v>11</v>
      </c>
      <c r="D10" s="33" t="s">
        <v>17</v>
      </c>
      <c r="E10" s="33"/>
      <c r="F10" s="33"/>
      <c r="G10" s="33"/>
      <c r="H10" s="33"/>
      <c r="I10" s="37"/>
    </row>
    <row r="11" spans="1:9">
      <c r="A11" s="34" t="s">
        <v>26</v>
      </c>
      <c r="B11" s="34" t="s">
        <v>18</v>
      </c>
      <c r="C11" s="34" t="s">
        <v>14</v>
      </c>
      <c r="D11" s="34" t="s">
        <v>22</v>
      </c>
      <c r="E11" s="34"/>
      <c r="F11" s="34"/>
      <c r="G11" s="34"/>
      <c r="H11" s="34"/>
      <c r="I11" s="37"/>
    </row>
    <row r="12" spans="1:9">
      <c r="A12" s="33" t="s">
        <v>27</v>
      </c>
      <c r="B12" s="33" t="s">
        <v>4</v>
      </c>
      <c r="C12" s="33" t="s">
        <v>17</v>
      </c>
      <c r="D12" s="33" t="s">
        <v>28</v>
      </c>
      <c r="E12" s="33" t="s">
        <v>8</v>
      </c>
      <c r="F12" s="33" t="s">
        <v>21</v>
      </c>
      <c r="G12" s="33"/>
      <c r="H12" s="33"/>
      <c r="I12" s="37"/>
    </row>
    <row r="13" spans="1:9">
      <c r="A13" s="34" t="s">
        <v>19</v>
      </c>
      <c r="B13" s="34" t="s">
        <v>5</v>
      </c>
      <c r="C13" s="34" t="s">
        <v>18</v>
      </c>
      <c r="D13" s="34" t="s">
        <v>3</v>
      </c>
      <c r="E13" s="34" t="s">
        <v>6</v>
      </c>
      <c r="F13" s="34" t="s">
        <v>10</v>
      </c>
      <c r="G13" s="34" t="s">
        <v>9</v>
      </c>
      <c r="H13" s="34"/>
      <c r="I13" s="37"/>
    </row>
    <row r="14" spans="1:9">
      <c r="A14" s="33" t="s">
        <v>29</v>
      </c>
      <c r="B14" s="33" t="s">
        <v>22</v>
      </c>
      <c r="C14" s="33" t="s">
        <v>9</v>
      </c>
      <c r="D14" s="33" t="s">
        <v>15</v>
      </c>
      <c r="E14" s="33" t="s">
        <v>6</v>
      </c>
      <c r="F14" s="33"/>
      <c r="G14" s="33"/>
      <c r="H14" s="33"/>
      <c r="I14" s="37"/>
    </row>
    <row r="15" spans="1:9">
      <c r="A15" s="34" t="s">
        <v>30</v>
      </c>
      <c r="B15" s="34" t="s">
        <v>15</v>
      </c>
      <c r="C15" s="34" t="s">
        <v>6</v>
      </c>
      <c r="D15" s="34" t="s">
        <v>12</v>
      </c>
      <c r="E15" s="34"/>
      <c r="F15" s="34"/>
      <c r="G15" s="34"/>
      <c r="H15" s="34"/>
      <c r="I15" s="37"/>
    </row>
    <row r="16" spans="1:9">
      <c r="A16" s="33" t="s">
        <v>31</v>
      </c>
      <c r="B16" s="33" t="s">
        <v>2</v>
      </c>
      <c r="C16" s="33" t="s">
        <v>5</v>
      </c>
      <c r="D16" s="33"/>
      <c r="E16" s="33"/>
      <c r="F16" s="33"/>
      <c r="G16" s="33"/>
      <c r="H16" s="33"/>
      <c r="I16" s="37"/>
    </row>
    <row r="17" spans="1:9">
      <c r="A17" s="34" t="s">
        <v>16</v>
      </c>
      <c r="B17" s="34" t="s">
        <v>10</v>
      </c>
      <c r="C17" s="34" t="s">
        <v>24</v>
      </c>
      <c r="D17" s="34"/>
      <c r="E17" s="34"/>
      <c r="F17" s="34"/>
      <c r="G17" s="34"/>
      <c r="H17" s="34"/>
      <c r="I17" s="37"/>
    </row>
    <row r="18" spans="1:9">
      <c r="A18" s="33" t="s">
        <v>32</v>
      </c>
      <c r="B18" s="33" t="s">
        <v>8</v>
      </c>
      <c r="C18" s="33" t="s">
        <v>24</v>
      </c>
      <c r="D18" s="33" t="s">
        <v>15</v>
      </c>
      <c r="E18" s="33" t="s">
        <v>12</v>
      </c>
      <c r="F18" s="33" t="s">
        <v>28</v>
      </c>
      <c r="G18" s="33" t="s">
        <v>5</v>
      </c>
      <c r="H18" s="33" t="s">
        <v>18</v>
      </c>
      <c r="I18" s="37"/>
    </row>
    <row r="19" spans="1:9">
      <c r="A19" s="34" t="s">
        <v>33</v>
      </c>
      <c r="B19" s="34" t="s">
        <v>17</v>
      </c>
      <c r="C19" s="34" t="s">
        <v>8</v>
      </c>
      <c r="D19" s="34" t="s">
        <v>2</v>
      </c>
      <c r="E19" s="34" t="s">
        <v>3</v>
      </c>
      <c r="F19" s="34" t="s">
        <v>21</v>
      </c>
      <c r="G19" s="34"/>
      <c r="H19" s="34"/>
      <c r="I19" s="37"/>
    </row>
    <row r="20" spans="1:9">
      <c r="A20" s="33" t="s">
        <v>31</v>
      </c>
      <c r="B20" s="33" t="s">
        <v>5</v>
      </c>
      <c r="C20" s="33" t="s">
        <v>1</v>
      </c>
      <c r="D20" s="33" t="s">
        <v>11</v>
      </c>
      <c r="E20" s="33" t="s">
        <v>9</v>
      </c>
      <c r="F20" s="33" t="s">
        <v>4</v>
      </c>
      <c r="G20" s="33" t="s">
        <v>17</v>
      </c>
      <c r="H20" s="33"/>
      <c r="I20" s="37"/>
    </row>
    <row r="21" spans="1:9">
      <c r="A21" s="34" t="s">
        <v>34</v>
      </c>
      <c r="B21" s="34" t="s">
        <v>24</v>
      </c>
      <c r="C21" s="34" t="s">
        <v>2</v>
      </c>
      <c r="D21" s="34" t="s">
        <v>3</v>
      </c>
      <c r="E21" s="34"/>
      <c r="F21" s="34"/>
      <c r="G21" s="34"/>
      <c r="H21" s="34"/>
      <c r="I21" s="37"/>
    </row>
    <row r="22" spans="1:9">
      <c r="A22" s="33" t="s">
        <v>29</v>
      </c>
      <c r="B22" s="33" t="s">
        <v>17</v>
      </c>
      <c r="C22" s="33" t="s">
        <v>35</v>
      </c>
      <c r="D22" s="33" t="s">
        <v>18</v>
      </c>
      <c r="E22" s="33" t="s">
        <v>22</v>
      </c>
      <c r="F22" s="33"/>
      <c r="G22" s="33"/>
      <c r="H22" s="33"/>
      <c r="I22" s="37"/>
    </row>
    <row r="23" spans="1:9">
      <c r="A23" s="34" t="s">
        <v>1</v>
      </c>
      <c r="B23" s="34" t="s">
        <v>6</v>
      </c>
      <c r="C23" s="34" t="s">
        <v>10</v>
      </c>
      <c r="D23" s="34" t="s">
        <v>3</v>
      </c>
      <c r="E23" s="34" t="s">
        <v>15</v>
      </c>
      <c r="F23" s="34" t="s">
        <v>23</v>
      </c>
      <c r="G23" s="34" t="s">
        <v>24</v>
      </c>
      <c r="H23" s="34" t="s">
        <v>4</v>
      </c>
      <c r="I23" s="37"/>
    </row>
    <row r="24" spans="1:9">
      <c r="A24" s="33" t="s">
        <v>36</v>
      </c>
      <c r="B24" s="33" t="s">
        <v>2</v>
      </c>
      <c r="C24" s="33" t="s">
        <v>14</v>
      </c>
      <c r="D24" s="33" t="s">
        <v>17</v>
      </c>
      <c r="E24" s="33" t="s">
        <v>9</v>
      </c>
      <c r="F24" s="33"/>
      <c r="G24" s="33"/>
      <c r="H24" s="33"/>
      <c r="I24" s="37"/>
    </row>
    <row r="25" spans="1:9">
      <c r="A25" s="34" t="s">
        <v>16</v>
      </c>
      <c r="B25" s="34" t="s">
        <v>18</v>
      </c>
      <c r="C25" s="34" t="s">
        <v>4</v>
      </c>
      <c r="D25" s="34" t="s">
        <v>15</v>
      </c>
      <c r="E25" s="34" t="s">
        <v>5</v>
      </c>
      <c r="F25" s="34" t="s">
        <v>6</v>
      </c>
      <c r="G25" s="34"/>
      <c r="H25" s="34"/>
      <c r="I25" s="37"/>
    </row>
    <row r="26" spans="1:9">
      <c r="A26" s="33" t="s">
        <v>37</v>
      </c>
      <c r="B26" s="33" t="s">
        <v>3</v>
      </c>
      <c r="C26" s="33" t="s">
        <v>9</v>
      </c>
      <c r="D26" s="33" t="s">
        <v>15</v>
      </c>
      <c r="E26" s="33" t="s">
        <v>28</v>
      </c>
      <c r="F26" s="33" t="s">
        <v>8</v>
      </c>
      <c r="G26" s="33" t="s">
        <v>6</v>
      </c>
      <c r="H26" s="33"/>
      <c r="I26" s="37"/>
    </row>
    <row r="27" spans="1:9">
      <c r="A27" s="34" t="s">
        <v>16</v>
      </c>
      <c r="B27" s="34" t="s">
        <v>24</v>
      </c>
      <c r="C27" s="34" t="s">
        <v>8</v>
      </c>
      <c r="D27" s="34" t="s">
        <v>5</v>
      </c>
      <c r="E27" s="34" t="s">
        <v>6</v>
      </c>
      <c r="F27" s="34" t="s">
        <v>23</v>
      </c>
      <c r="G27" s="34"/>
      <c r="H27" s="34"/>
      <c r="I27" s="37"/>
    </row>
    <row r="28" spans="1:9">
      <c r="A28" s="33" t="s">
        <v>29</v>
      </c>
      <c r="B28" s="33" t="s">
        <v>15</v>
      </c>
      <c r="C28" s="33" t="s">
        <v>12</v>
      </c>
      <c r="D28" s="33" t="s">
        <v>6</v>
      </c>
      <c r="E28" s="33" t="s">
        <v>9</v>
      </c>
      <c r="F28" s="33" t="s">
        <v>23</v>
      </c>
      <c r="G28" s="33" t="s">
        <v>5</v>
      </c>
      <c r="H28" s="33" t="s">
        <v>4</v>
      </c>
      <c r="I28" s="37"/>
    </row>
    <row r="29" spans="1:9">
      <c r="A29" s="34" t="s">
        <v>1</v>
      </c>
      <c r="B29" s="34" t="s">
        <v>35</v>
      </c>
      <c r="C29" s="34" t="s">
        <v>21</v>
      </c>
      <c r="D29" s="34" t="s">
        <v>9</v>
      </c>
      <c r="E29" s="34"/>
      <c r="F29" s="34"/>
      <c r="G29" s="34"/>
      <c r="H29" s="34"/>
      <c r="I29" s="37"/>
    </row>
    <row r="30" spans="1:9">
      <c r="A30" s="33" t="s">
        <v>30</v>
      </c>
      <c r="B30" s="33" t="s">
        <v>28</v>
      </c>
      <c r="C30" s="33" t="s">
        <v>24</v>
      </c>
      <c r="D30" s="33" t="s">
        <v>23</v>
      </c>
      <c r="E30" s="33" t="s">
        <v>8</v>
      </c>
      <c r="F30" s="33" t="s">
        <v>3</v>
      </c>
      <c r="G30" s="33" t="s">
        <v>35</v>
      </c>
      <c r="H30" s="33" t="s">
        <v>10</v>
      </c>
      <c r="I30" s="37"/>
    </row>
    <row r="31" spans="1:9">
      <c r="A31" s="34" t="s">
        <v>38</v>
      </c>
      <c r="B31" s="34" t="s">
        <v>5</v>
      </c>
      <c r="C31" s="34" t="s">
        <v>3</v>
      </c>
      <c r="D31" s="34" t="s">
        <v>14</v>
      </c>
      <c r="E31" s="34" t="s">
        <v>21</v>
      </c>
      <c r="F31" s="34"/>
      <c r="G31" s="34"/>
      <c r="H31" s="34"/>
      <c r="I31" s="37"/>
    </row>
    <row r="32" spans="1:9">
      <c r="A32" s="33" t="s">
        <v>36</v>
      </c>
      <c r="B32" s="33" t="s">
        <v>35</v>
      </c>
      <c r="C32" s="33" t="s">
        <v>12</v>
      </c>
      <c r="D32" s="33" t="s">
        <v>14</v>
      </c>
      <c r="E32" s="33" t="s">
        <v>3</v>
      </c>
      <c r="F32" s="33" t="s">
        <v>21</v>
      </c>
      <c r="G32" s="33"/>
      <c r="H32" s="33"/>
      <c r="I32" s="37"/>
    </row>
    <row r="33" spans="1:9">
      <c r="A33" s="34" t="s">
        <v>39</v>
      </c>
      <c r="B33" s="34" t="s">
        <v>14</v>
      </c>
      <c r="C33" s="34" t="s">
        <v>22</v>
      </c>
      <c r="D33" s="34"/>
      <c r="E33" s="34"/>
      <c r="F33" s="34"/>
      <c r="G33" s="34"/>
      <c r="H33" s="34"/>
      <c r="I33" s="37"/>
    </row>
    <row r="34" spans="1:9">
      <c r="A34" s="33" t="s">
        <v>30</v>
      </c>
      <c r="B34" s="33" t="s">
        <v>3</v>
      </c>
      <c r="C34" s="33" t="s">
        <v>4</v>
      </c>
      <c r="D34" s="33" t="s">
        <v>10</v>
      </c>
      <c r="E34" s="33" t="s">
        <v>35</v>
      </c>
      <c r="F34" s="33" t="s">
        <v>15</v>
      </c>
      <c r="G34" s="33" t="s">
        <v>8</v>
      </c>
      <c r="H34" s="33" t="s">
        <v>5</v>
      </c>
      <c r="I34" s="37"/>
    </row>
    <row r="35" spans="1:9">
      <c r="A35" s="34" t="s">
        <v>27</v>
      </c>
      <c r="B35" s="34" t="s">
        <v>11</v>
      </c>
      <c r="C35" s="34" t="s">
        <v>22</v>
      </c>
      <c r="D35" s="34" t="s">
        <v>18</v>
      </c>
      <c r="E35" s="34" t="s">
        <v>15</v>
      </c>
      <c r="F35" s="34"/>
      <c r="G35" s="34"/>
      <c r="H35" s="34"/>
      <c r="I35" s="37"/>
    </row>
    <row r="36" spans="1:9">
      <c r="A36" s="33" t="s">
        <v>19</v>
      </c>
      <c r="B36" s="33" t="s">
        <v>5</v>
      </c>
      <c r="C36" s="33" t="s">
        <v>12</v>
      </c>
      <c r="D36" s="33" t="s">
        <v>11</v>
      </c>
      <c r="E36" s="33" t="s">
        <v>18</v>
      </c>
      <c r="F36" s="33"/>
      <c r="G36" s="33"/>
      <c r="H36" s="33"/>
      <c r="I36" s="37"/>
    </row>
    <row r="37" spans="1:9">
      <c r="A37" s="34" t="s">
        <v>7</v>
      </c>
      <c r="B37" s="34" t="s">
        <v>17</v>
      </c>
      <c r="C37" s="34" t="s">
        <v>11</v>
      </c>
      <c r="D37" s="34" t="s">
        <v>6</v>
      </c>
      <c r="E37" s="34" t="s">
        <v>9</v>
      </c>
      <c r="F37" s="34" t="s">
        <v>10</v>
      </c>
      <c r="G37" s="34"/>
      <c r="H37" s="34"/>
      <c r="I37" s="37"/>
    </row>
    <row r="38" spans="1:9">
      <c r="A38" s="33" t="s">
        <v>30</v>
      </c>
      <c r="B38" s="33" t="s">
        <v>5</v>
      </c>
      <c r="C38" s="33" t="s">
        <v>8</v>
      </c>
      <c r="D38" s="33" t="s">
        <v>35</v>
      </c>
      <c r="E38" s="33"/>
      <c r="F38" s="33"/>
      <c r="G38" s="33"/>
      <c r="H38" s="33"/>
      <c r="I38" s="37"/>
    </row>
    <row r="39" spans="1:9">
      <c r="A39" s="34" t="s">
        <v>25</v>
      </c>
      <c r="B39" s="34" t="s">
        <v>11</v>
      </c>
      <c r="C39" s="34" t="s">
        <v>35</v>
      </c>
      <c r="D39" s="34" t="s">
        <v>12</v>
      </c>
      <c r="E39" s="34" t="s">
        <v>4</v>
      </c>
      <c r="F39" s="34" t="s">
        <v>17</v>
      </c>
      <c r="G39" s="34" t="s">
        <v>22</v>
      </c>
      <c r="H39" s="34"/>
      <c r="I39" s="37"/>
    </row>
    <row r="40" spans="1:9">
      <c r="A40" s="33" t="s">
        <v>25</v>
      </c>
      <c r="B40" s="33" t="s">
        <v>15</v>
      </c>
      <c r="C40" s="33" t="s">
        <v>4</v>
      </c>
      <c r="D40" s="33" t="s">
        <v>17</v>
      </c>
      <c r="E40" s="33" t="s">
        <v>21</v>
      </c>
      <c r="F40" s="33" t="s">
        <v>24</v>
      </c>
      <c r="G40" s="33"/>
      <c r="H40" s="33"/>
      <c r="I40" s="37"/>
    </row>
    <row r="41" spans="1:9">
      <c r="A41" s="34" t="s">
        <v>37</v>
      </c>
      <c r="B41" s="34" t="s">
        <v>2</v>
      </c>
      <c r="C41" s="34" t="s">
        <v>3</v>
      </c>
      <c r="D41" s="34" t="s">
        <v>5</v>
      </c>
      <c r="E41" s="34" t="s">
        <v>35</v>
      </c>
      <c r="F41" s="34" t="s">
        <v>22</v>
      </c>
      <c r="G41" s="34" t="s">
        <v>12</v>
      </c>
      <c r="H41" s="34" t="s">
        <v>23</v>
      </c>
      <c r="I41" s="37"/>
    </row>
    <row r="42" spans="1:8">
      <c r="A42" s="33" t="s">
        <v>31</v>
      </c>
      <c r="B42" s="33" t="s">
        <v>2</v>
      </c>
      <c r="C42" s="33" t="s">
        <v>9</v>
      </c>
      <c r="D42" s="33" t="s">
        <v>17</v>
      </c>
      <c r="E42" s="33" t="s">
        <v>28</v>
      </c>
      <c r="F42" s="33" t="s">
        <v>11</v>
      </c>
      <c r="G42" s="33" t="s">
        <v>22</v>
      </c>
      <c r="H42" s="33"/>
    </row>
    <row r="43" spans="1:8">
      <c r="A43" s="34" t="s">
        <v>19</v>
      </c>
      <c r="B43" s="34" t="s">
        <v>28</v>
      </c>
      <c r="C43" s="34" t="s">
        <v>24</v>
      </c>
      <c r="D43" s="34" t="s">
        <v>8</v>
      </c>
      <c r="E43" s="34" t="s">
        <v>15</v>
      </c>
      <c r="F43" s="34" t="s">
        <v>4</v>
      </c>
      <c r="G43" s="34"/>
      <c r="H43" s="34"/>
    </row>
    <row r="44" spans="1:8">
      <c r="A44" s="33" t="s">
        <v>40</v>
      </c>
      <c r="B44" s="33" t="s">
        <v>4</v>
      </c>
      <c r="C44" s="33" t="s">
        <v>9</v>
      </c>
      <c r="D44" s="33" t="s">
        <v>2</v>
      </c>
      <c r="E44" s="33"/>
      <c r="F44" s="33"/>
      <c r="G44" s="33"/>
      <c r="H44" s="33"/>
    </row>
    <row r="45" spans="1:8">
      <c r="A45" s="34" t="s">
        <v>31</v>
      </c>
      <c r="B45" s="34" t="s">
        <v>24</v>
      </c>
      <c r="C45" s="34" t="s">
        <v>14</v>
      </c>
      <c r="D45" s="34" t="s">
        <v>8</v>
      </c>
      <c r="E45" s="34" t="s">
        <v>11</v>
      </c>
      <c r="F45" s="34"/>
      <c r="G45" s="34"/>
      <c r="H45" s="34"/>
    </row>
    <row r="46" spans="1:8">
      <c r="A46" s="33" t="s">
        <v>16</v>
      </c>
      <c r="B46" s="33" t="s">
        <v>18</v>
      </c>
      <c r="C46" s="33" t="s">
        <v>9</v>
      </c>
      <c r="D46" s="33" t="s">
        <v>8</v>
      </c>
      <c r="E46" s="33"/>
      <c r="F46" s="33"/>
      <c r="G46" s="33"/>
      <c r="H46" s="33"/>
    </row>
    <row r="47" spans="1:8">
      <c r="A47" s="34" t="s">
        <v>33</v>
      </c>
      <c r="B47" s="34" t="s">
        <v>15</v>
      </c>
      <c r="C47" s="34" t="s">
        <v>4</v>
      </c>
      <c r="D47" s="34" t="s">
        <v>3</v>
      </c>
      <c r="E47" s="34"/>
      <c r="F47" s="34"/>
      <c r="G47" s="34"/>
      <c r="H47" s="34"/>
    </row>
    <row r="48" spans="1:8">
      <c r="A48" s="33" t="s">
        <v>36</v>
      </c>
      <c r="B48" s="33" t="s">
        <v>28</v>
      </c>
      <c r="C48" s="33" t="s">
        <v>2</v>
      </c>
      <c r="D48" s="33" t="s">
        <v>12</v>
      </c>
      <c r="E48" s="33" t="s">
        <v>9</v>
      </c>
      <c r="F48" s="33" t="s">
        <v>8</v>
      </c>
      <c r="G48" s="33"/>
      <c r="H48" s="33"/>
    </row>
    <row r="49" spans="1:8">
      <c r="A49" s="34" t="s">
        <v>39</v>
      </c>
      <c r="B49" s="34" t="s">
        <v>12</v>
      </c>
      <c r="C49" s="34" t="s">
        <v>17</v>
      </c>
      <c r="D49" s="34" t="s">
        <v>10</v>
      </c>
      <c r="E49" s="34"/>
      <c r="F49" s="34"/>
      <c r="G49" s="34"/>
      <c r="H49" s="34"/>
    </row>
    <row r="50" spans="1:8">
      <c r="A50" s="33" t="s">
        <v>19</v>
      </c>
      <c r="B50" s="33" t="s">
        <v>22</v>
      </c>
      <c r="C50" s="33" t="s">
        <v>11</v>
      </c>
      <c r="D50" s="33" t="s">
        <v>4</v>
      </c>
      <c r="E50" s="33" t="s">
        <v>12</v>
      </c>
      <c r="F50" s="33" t="s">
        <v>6</v>
      </c>
      <c r="G50" s="33" t="s">
        <v>35</v>
      </c>
      <c r="H50" s="33"/>
    </row>
    <row r="51" spans="1:8">
      <c r="A51" s="34" t="s">
        <v>36</v>
      </c>
      <c r="B51" s="34" t="s">
        <v>11</v>
      </c>
      <c r="C51" s="34" t="s">
        <v>2</v>
      </c>
      <c r="D51" s="34" t="s">
        <v>21</v>
      </c>
      <c r="E51" s="34" t="s">
        <v>24</v>
      </c>
      <c r="F51" s="34" t="s">
        <v>17</v>
      </c>
      <c r="G51" s="34" t="s">
        <v>9</v>
      </c>
      <c r="H51" s="34"/>
    </row>
    <row r="52" spans="1:8">
      <c r="A52" s="33" t="s">
        <v>31</v>
      </c>
      <c r="B52" s="33" t="s">
        <v>28</v>
      </c>
      <c r="C52" s="33" t="s">
        <v>21</v>
      </c>
      <c r="D52" s="33" t="s">
        <v>17</v>
      </c>
      <c r="E52" s="33" t="s">
        <v>35</v>
      </c>
      <c r="F52" s="33" t="s">
        <v>5</v>
      </c>
      <c r="G52" s="33" t="s">
        <v>23</v>
      </c>
      <c r="H52" s="33"/>
    </row>
    <row r="53" spans="1:8">
      <c r="A53" s="34" t="s">
        <v>20</v>
      </c>
      <c r="B53" s="34" t="s">
        <v>22</v>
      </c>
      <c r="C53" s="34" t="s">
        <v>4</v>
      </c>
      <c r="D53" s="34"/>
      <c r="E53" s="34"/>
      <c r="F53" s="34"/>
      <c r="G53" s="34"/>
      <c r="H53" s="34"/>
    </row>
    <row r="54" spans="1:8">
      <c r="A54" s="33" t="s">
        <v>26</v>
      </c>
      <c r="B54" s="33" t="s">
        <v>8</v>
      </c>
      <c r="C54" s="33" t="s">
        <v>28</v>
      </c>
      <c r="D54" s="33" t="s">
        <v>6</v>
      </c>
      <c r="E54" s="33"/>
      <c r="F54" s="33"/>
      <c r="G54" s="33"/>
      <c r="H54" s="33"/>
    </row>
    <row r="55" spans="1:8">
      <c r="A55" s="34" t="s">
        <v>16</v>
      </c>
      <c r="B55" s="34" t="s">
        <v>17</v>
      </c>
      <c r="C55" s="34" t="s">
        <v>15</v>
      </c>
      <c r="D55" s="34" t="s">
        <v>8</v>
      </c>
      <c r="E55" s="34" t="s">
        <v>21</v>
      </c>
      <c r="F55" s="34" t="s">
        <v>10</v>
      </c>
      <c r="G55" s="34" t="s">
        <v>35</v>
      </c>
      <c r="H55" s="34"/>
    </row>
    <row r="56" spans="1:8">
      <c r="A56" s="33" t="s">
        <v>36</v>
      </c>
      <c r="B56" s="33" t="s">
        <v>10</v>
      </c>
      <c r="C56" s="33" t="s">
        <v>11</v>
      </c>
      <c r="D56" s="33" t="s">
        <v>28</v>
      </c>
      <c r="E56" s="33" t="s">
        <v>12</v>
      </c>
      <c r="F56" s="33" t="s">
        <v>2</v>
      </c>
      <c r="G56" s="33"/>
      <c r="H56" s="33"/>
    </row>
    <row r="57" spans="1:8">
      <c r="A57" s="34" t="s">
        <v>27</v>
      </c>
      <c r="B57" s="34" t="s">
        <v>3</v>
      </c>
      <c r="C57" s="34" t="s">
        <v>12</v>
      </c>
      <c r="D57" s="34" t="s">
        <v>23</v>
      </c>
      <c r="E57" s="34" t="s">
        <v>14</v>
      </c>
      <c r="F57" s="34" t="s">
        <v>28</v>
      </c>
      <c r="G57" s="34"/>
      <c r="H57" s="34"/>
    </row>
    <row r="58" spans="1:8">
      <c r="A58" s="33" t="s">
        <v>19</v>
      </c>
      <c r="B58" s="33" t="s">
        <v>23</v>
      </c>
      <c r="C58" s="33" t="s">
        <v>6</v>
      </c>
      <c r="D58" s="33"/>
      <c r="E58" s="33"/>
      <c r="F58" s="33"/>
      <c r="G58" s="33"/>
      <c r="H58" s="33"/>
    </row>
    <row r="59" spans="1:8">
      <c r="A59" s="34" t="s">
        <v>26</v>
      </c>
      <c r="B59" s="34" t="s">
        <v>6</v>
      </c>
      <c r="C59" s="34" t="s">
        <v>35</v>
      </c>
      <c r="D59" s="34" t="s">
        <v>15</v>
      </c>
      <c r="E59" s="34" t="s">
        <v>23</v>
      </c>
      <c r="F59" s="34" t="s">
        <v>18</v>
      </c>
      <c r="G59" s="34" t="s">
        <v>4</v>
      </c>
      <c r="H59" s="34"/>
    </row>
    <row r="60" spans="1:8">
      <c r="A60" s="33" t="s">
        <v>34</v>
      </c>
      <c r="B60" s="33" t="s">
        <v>23</v>
      </c>
      <c r="C60" s="33" t="s">
        <v>10</v>
      </c>
      <c r="D60" s="33" t="s">
        <v>21</v>
      </c>
      <c r="E60" s="33" t="s">
        <v>6</v>
      </c>
      <c r="F60" s="33" t="s">
        <v>5</v>
      </c>
      <c r="G60" s="33"/>
      <c r="H60" s="33"/>
    </row>
    <row r="61" spans="1:8">
      <c r="A61" s="34" t="s">
        <v>7</v>
      </c>
      <c r="B61" s="34" t="s">
        <v>12</v>
      </c>
      <c r="C61" s="34" t="s">
        <v>24</v>
      </c>
      <c r="D61" s="34" t="s">
        <v>9</v>
      </c>
      <c r="E61" s="34" t="s">
        <v>4</v>
      </c>
      <c r="F61" s="34" t="s">
        <v>5</v>
      </c>
      <c r="G61" s="34" t="s">
        <v>3</v>
      </c>
      <c r="H61" s="34" t="s">
        <v>22</v>
      </c>
    </row>
    <row r="62" spans="1:8">
      <c r="A62" s="33" t="s">
        <v>33</v>
      </c>
      <c r="B62" s="33" t="s">
        <v>28</v>
      </c>
      <c r="C62" s="33" t="s">
        <v>11</v>
      </c>
      <c r="D62" s="33" t="s">
        <v>10</v>
      </c>
      <c r="E62" s="33" t="s">
        <v>15</v>
      </c>
      <c r="F62" s="33" t="s">
        <v>3</v>
      </c>
      <c r="G62" s="33"/>
      <c r="H62" s="33"/>
    </row>
    <row r="63" spans="1:8">
      <c r="A63" s="34" t="s">
        <v>37</v>
      </c>
      <c r="B63" s="34" t="s">
        <v>8</v>
      </c>
      <c r="C63" s="34" t="s">
        <v>6</v>
      </c>
      <c r="D63" s="34" t="s">
        <v>15</v>
      </c>
      <c r="E63" s="34" t="s">
        <v>9</v>
      </c>
      <c r="F63" s="34"/>
      <c r="G63" s="34"/>
      <c r="H63" s="34"/>
    </row>
    <row r="64" spans="1:8">
      <c r="A64" s="33" t="s">
        <v>7</v>
      </c>
      <c r="B64" s="33" t="s">
        <v>35</v>
      </c>
      <c r="C64" s="33" t="s">
        <v>4</v>
      </c>
      <c r="D64" s="33" t="s">
        <v>23</v>
      </c>
      <c r="E64" s="33" t="s">
        <v>2</v>
      </c>
      <c r="F64" s="33"/>
      <c r="G64" s="33"/>
      <c r="H64" s="33"/>
    </row>
    <row r="65" spans="1:8">
      <c r="A65" s="34" t="s">
        <v>38</v>
      </c>
      <c r="B65" s="34" t="s">
        <v>24</v>
      </c>
      <c r="C65" s="34" t="s">
        <v>14</v>
      </c>
      <c r="D65" s="34" t="s">
        <v>22</v>
      </c>
      <c r="E65" s="34" t="s">
        <v>28</v>
      </c>
      <c r="F65" s="34"/>
      <c r="G65" s="34"/>
      <c r="H65" s="34"/>
    </row>
    <row r="66" spans="1:8">
      <c r="A66" s="33" t="s">
        <v>36</v>
      </c>
      <c r="B66" s="33" t="s">
        <v>21</v>
      </c>
      <c r="C66" s="33" t="s">
        <v>28</v>
      </c>
      <c r="D66" s="33" t="s">
        <v>4</v>
      </c>
      <c r="E66" s="33" t="s">
        <v>35</v>
      </c>
      <c r="F66" s="33" t="s">
        <v>17</v>
      </c>
      <c r="G66" s="33" t="s">
        <v>14</v>
      </c>
      <c r="H66" s="33" t="s">
        <v>18</v>
      </c>
    </row>
    <row r="67" spans="1:8">
      <c r="A67" s="34" t="s">
        <v>1</v>
      </c>
      <c r="B67" s="34" t="s">
        <v>3</v>
      </c>
      <c r="C67" s="34" t="s">
        <v>28</v>
      </c>
      <c r="D67" s="34" t="s">
        <v>14</v>
      </c>
      <c r="E67" s="34"/>
      <c r="F67" s="34"/>
      <c r="G67" s="34"/>
      <c r="H67" s="34"/>
    </row>
    <row r="68" spans="1:8">
      <c r="A68" s="33" t="s">
        <v>38</v>
      </c>
      <c r="B68" s="33" t="s">
        <v>6</v>
      </c>
      <c r="C68" s="33" t="s">
        <v>15</v>
      </c>
      <c r="D68" s="33" t="s">
        <v>14</v>
      </c>
      <c r="E68" s="33" t="s">
        <v>17</v>
      </c>
      <c r="F68" s="33" t="s">
        <v>2</v>
      </c>
      <c r="G68" s="33"/>
      <c r="H68" s="33"/>
    </row>
    <row r="69" spans="1:8">
      <c r="A69" s="34" t="s">
        <v>1</v>
      </c>
      <c r="B69" s="34" t="s">
        <v>18</v>
      </c>
      <c r="C69" s="34" t="s">
        <v>17</v>
      </c>
      <c r="D69" s="34" t="s">
        <v>23</v>
      </c>
      <c r="E69" s="34" t="s">
        <v>28</v>
      </c>
      <c r="F69" s="34" t="s">
        <v>8</v>
      </c>
      <c r="G69" s="34"/>
      <c r="H69" s="34"/>
    </row>
    <row r="70" spans="1:8">
      <c r="A70" s="33" t="s">
        <v>34</v>
      </c>
      <c r="B70" s="33" t="s">
        <v>21</v>
      </c>
      <c r="C70" s="33" t="s">
        <v>12</v>
      </c>
      <c r="D70" s="33" t="s">
        <v>5</v>
      </c>
      <c r="E70" s="33" t="s">
        <v>23</v>
      </c>
      <c r="F70" s="33" t="s">
        <v>15</v>
      </c>
      <c r="G70" s="33"/>
      <c r="H70" s="33"/>
    </row>
    <row r="71" spans="1:8">
      <c r="A71" s="34" t="s">
        <v>32</v>
      </c>
      <c r="B71" s="34" t="s">
        <v>10</v>
      </c>
      <c r="C71" s="34" t="s">
        <v>21</v>
      </c>
      <c r="D71" s="34" t="s">
        <v>18</v>
      </c>
      <c r="E71" s="34" t="s">
        <v>24</v>
      </c>
      <c r="F71" s="34"/>
      <c r="G71" s="34"/>
      <c r="H71" s="34"/>
    </row>
    <row r="72" spans="1:8">
      <c r="A72" s="33" t="s">
        <v>39</v>
      </c>
      <c r="B72" s="33" t="s">
        <v>10</v>
      </c>
      <c r="C72" s="33" t="s">
        <v>35</v>
      </c>
      <c r="D72" s="33" t="s">
        <v>6</v>
      </c>
      <c r="E72" s="33" t="s">
        <v>24</v>
      </c>
      <c r="F72" s="33" t="s">
        <v>28</v>
      </c>
      <c r="G72" s="33" t="s">
        <v>14</v>
      </c>
      <c r="H72" s="33" t="s">
        <v>2</v>
      </c>
    </row>
    <row r="73" spans="1:8">
      <c r="A73" s="34" t="s">
        <v>39</v>
      </c>
      <c r="B73" s="34" t="s">
        <v>10</v>
      </c>
      <c r="C73" s="34" t="s">
        <v>4</v>
      </c>
      <c r="D73" s="34" t="s">
        <v>35</v>
      </c>
      <c r="E73" s="34"/>
      <c r="F73" s="34"/>
      <c r="G73" s="34"/>
      <c r="H73" s="34"/>
    </row>
    <row r="74" spans="1:8">
      <c r="A74" s="33" t="s">
        <v>7</v>
      </c>
      <c r="B74" s="33" t="s">
        <v>4</v>
      </c>
      <c r="C74" s="33" t="s">
        <v>3</v>
      </c>
      <c r="D74" s="33" t="s">
        <v>8</v>
      </c>
      <c r="E74" s="33" t="s">
        <v>22</v>
      </c>
      <c r="F74" s="33" t="s">
        <v>28</v>
      </c>
      <c r="G74" s="33"/>
      <c r="H74" s="33"/>
    </row>
    <row r="75" spans="1:8">
      <c r="A75" s="34" t="s">
        <v>26</v>
      </c>
      <c r="B75" s="34" t="s">
        <v>21</v>
      </c>
      <c r="C75" s="34" t="s">
        <v>35</v>
      </c>
      <c r="D75" s="34" t="s">
        <v>12</v>
      </c>
      <c r="E75" s="34" t="s">
        <v>2</v>
      </c>
      <c r="F75" s="34" t="s">
        <v>11</v>
      </c>
      <c r="G75" s="34" t="s">
        <v>10</v>
      </c>
      <c r="H75" s="34" t="s">
        <v>28</v>
      </c>
    </row>
    <row r="76" spans="1:8">
      <c r="A76" s="33" t="s">
        <v>20</v>
      </c>
      <c r="B76" s="33" t="s">
        <v>2</v>
      </c>
      <c r="C76" s="33" t="s">
        <v>22</v>
      </c>
      <c r="D76" s="33" t="s">
        <v>23</v>
      </c>
      <c r="E76" s="33" t="s">
        <v>17</v>
      </c>
      <c r="F76" s="33" t="s">
        <v>14</v>
      </c>
      <c r="G76" s="33" t="s">
        <v>4</v>
      </c>
      <c r="H76" s="33" t="s">
        <v>21</v>
      </c>
    </row>
    <row r="77" spans="1:8">
      <c r="A77" s="34" t="s">
        <v>13</v>
      </c>
      <c r="B77" s="34" t="s">
        <v>10</v>
      </c>
      <c r="C77" s="34" t="s">
        <v>6</v>
      </c>
      <c r="D77" s="34" t="s">
        <v>22</v>
      </c>
      <c r="E77" s="34" t="s">
        <v>18</v>
      </c>
      <c r="F77" s="34" t="s">
        <v>11</v>
      </c>
      <c r="G77" s="34" t="s">
        <v>3</v>
      </c>
      <c r="H77" s="34"/>
    </row>
    <row r="78" spans="1:8">
      <c r="A78" s="33" t="s">
        <v>26</v>
      </c>
      <c r="B78" s="33" t="s">
        <v>8</v>
      </c>
      <c r="C78" s="33" t="s">
        <v>23</v>
      </c>
      <c r="D78" s="33" t="s">
        <v>10</v>
      </c>
      <c r="E78" s="33"/>
      <c r="F78" s="33"/>
      <c r="G78" s="33"/>
      <c r="H78" s="33"/>
    </row>
    <row r="79" spans="1:8">
      <c r="A79" s="34" t="s">
        <v>38</v>
      </c>
      <c r="B79" s="34" t="s">
        <v>3</v>
      </c>
      <c r="C79" s="34" t="s">
        <v>14</v>
      </c>
      <c r="D79" s="34" t="s">
        <v>17</v>
      </c>
      <c r="E79" s="34" t="s">
        <v>6</v>
      </c>
      <c r="F79" s="34"/>
      <c r="G79" s="34"/>
      <c r="H79" s="34"/>
    </row>
    <row r="80" spans="1:8">
      <c r="A80" s="33" t="s">
        <v>13</v>
      </c>
      <c r="B80" s="33" t="s">
        <v>9</v>
      </c>
      <c r="C80" s="33" t="s">
        <v>2</v>
      </c>
      <c r="D80" s="33" t="s">
        <v>23</v>
      </c>
      <c r="E80" s="33" t="s">
        <v>22</v>
      </c>
      <c r="F80" s="33" t="s">
        <v>5</v>
      </c>
      <c r="G80" s="33" t="s">
        <v>21</v>
      </c>
      <c r="H80" s="33"/>
    </row>
    <row r="81" spans="1:8">
      <c r="A81" s="34" t="s">
        <v>19</v>
      </c>
      <c r="B81" s="34" t="s">
        <v>35</v>
      </c>
      <c r="C81" s="34" t="s">
        <v>28</v>
      </c>
      <c r="D81" s="34" t="s">
        <v>9</v>
      </c>
      <c r="E81" s="34" t="s">
        <v>11</v>
      </c>
      <c r="F81" s="34" t="s">
        <v>4</v>
      </c>
      <c r="G81" s="34" t="s">
        <v>3</v>
      </c>
      <c r="H81" s="34" t="s">
        <v>12</v>
      </c>
    </row>
    <row r="82" spans="1:8">
      <c r="A82" s="33" t="s">
        <v>26</v>
      </c>
      <c r="B82" s="33" t="s">
        <v>10</v>
      </c>
      <c r="C82" s="33" t="s">
        <v>2</v>
      </c>
      <c r="D82" s="33" t="s">
        <v>28</v>
      </c>
      <c r="E82" s="33" t="s">
        <v>15</v>
      </c>
      <c r="F82" s="33" t="s">
        <v>12</v>
      </c>
      <c r="G82" s="33" t="s">
        <v>6</v>
      </c>
      <c r="H82" s="33" t="s">
        <v>21</v>
      </c>
    </row>
    <row r="83" spans="1:8">
      <c r="A83" s="34" t="s">
        <v>29</v>
      </c>
      <c r="B83" s="34" t="s">
        <v>18</v>
      </c>
      <c r="C83" s="34" t="s">
        <v>23</v>
      </c>
      <c r="D83" s="34" t="s">
        <v>6</v>
      </c>
      <c r="E83" s="34" t="s">
        <v>17</v>
      </c>
      <c r="F83" s="34"/>
      <c r="G83" s="34"/>
      <c r="H83" s="34"/>
    </row>
    <row r="84" spans="1:8">
      <c r="A84" s="33" t="s">
        <v>38</v>
      </c>
      <c r="B84" s="33" t="s">
        <v>21</v>
      </c>
      <c r="C84" s="33" t="s">
        <v>11</v>
      </c>
      <c r="D84" s="33" t="s">
        <v>24</v>
      </c>
      <c r="E84" s="33" t="s">
        <v>8</v>
      </c>
      <c r="F84" s="33"/>
      <c r="G84" s="33"/>
      <c r="H84" s="33"/>
    </row>
    <row r="85" spans="1:8">
      <c r="A85" s="34" t="s">
        <v>29</v>
      </c>
      <c r="B85" s="34" t="s">
        <v>4</v>
      </c>
      <c r="C85" s="34" t="s">
        <v>14</v>
      </c>
      <c r="D85" s="34" t="s">
        <v>18</v>
      </c>
      <c r="E85" s="34" t="s">
        <v>17</v>
      </c>
      <c r="F85" s="34"/>
      <c r="G85" s="34"/>
      <c r="H85" s="34"/>
    </row>
    <row r="86" spans="1:8">
      <c r="A86" s="33" t="s">
        <v>34</v>
      </c>
      <c r="B86" s="33" t="s">
        <v>23</v>
      </c>
      <c r="C86" s="33" t="s">
        <v>17</v>
      </c>
      <c r="D86" s="33"/>
      <c r="E86" s="33"/>
      <c r="F86" s="33"/>
      <c r="G86" s="33"/>
      <c r="H86" s="33"/>
    </row>
    <row r="87" spans="1:8">
      <c r="A87" s="34" t="s">
        <v>19</v>
      </c>
      <c r="B87" s="34" t="s">
        <v>15</v>
      </c>
      <c r="C87" s="34" t="s">
        <v>35</v>
      </c>
      <c r="D87" s="34"/>
      <c r="E87" s="34"/>
      <c r="F87" s="34"/>
      <c r="G87" s="34"/>
      <c r="H87" s="34"/>
    </row>
    <row r="88" spans="1:8">
      <c r="A88" s="33" t="s">
        <v>16</v>
      </c>
      <c r="B88" s="33" t="s">
        <v>10</v>
      </c>
      <c r="C88" s="33" t="s">
        <v>12</v>
      </c>
      <c r="D88" s="33" t="s">
        <v>14</v>
      </c>
      <c r="E88" s="33"/>
      <c r="F88" s="33"/>
      <c r="G88" s="33"/>
      <c r="H88" s="33"/>
    </row>
    <row r="89" spans="1:8">
      <c r="A89" s="34" t="s">
        <v>33</v>
      </c>
      <c r="B89" s="34" t="s">
        <v>5</v>
      </c>
      <c r="C89" s="34" t="s">
        <v>15</v>
      </c>
      <c r="D89" s="34" t="s">
        <v>12</v>
      </c>
      <c r="E89" s="34" t="s">
        <v>9</v>
      </c>
      <c r="F89" s="34" t="s">
        <v>21</v>
      </c>
      <c r="G89" s="34" t="s">
        <v>2</v>
      </c>
      <c r="H89" s="34"/>
    </row>
    <row r="90" spans="1:8">
      <c r="A90" s="33" t="s">
        <v>37</v>
      </c>
      <c r="B90" s="33" t="s">
        <v>18</v>
      </c>
      <c r="C90" s="33" t="s">
        <v>22</v>
      </c>
      <c r="D90" s="33"/>
      <c r="E90" s="33"/>
      <c r="F90" s="33"/>
      <c r="G90" s="33"/>
      <c r="H90" s="33"/>
    </row>
    <row r="91" spans="1:8">
      <c r="A91" s="34" t="s">
        <v>26</v>
      </c>
      <c r="B91" s="34" t="s">
        <v>18</v>
      </c>
      <c r="C91" s="34" t="s">
        <v>9</v>
      </c>
      <c r="D91" s="34" t="s">
        <v>2</v>
      </c>
      <c r="E91" s="34" t="s">
        <v>35</v>
      </c>
      <c r="F91" s="34" t="s">
        <v>23</v>
      </c>
      <c r="G91" s="34" t="s">
        <v>15</v>
      </c>
      <c r="H91" s="34" t="s">
        <v>21</v>
      </c>
    </row>
    <row r="92" spans="1:8">
      <c r="A92" s="33" t="s">
        <v>27</v>
      </c>
      <c r="B92" s="33" t="s">
        <v>12</v>
      </c>
      <c r="C92" s="33" t="s">
        <v>11</v>
      </c>
      <c r="D92" s="33" t="s">
        <v>28</v>
      </c>
      <c r="E92" s="33" t="s">
        <v>21</v>
      </c>
      <c r="F92" s="33" t="s">
        <v>5</v>
      </c>
      <c r="G92" s="33" t="s">
        <v>10</v>
      </c>
      <c r="H92" s="33" t="s">
        <v>3</v>
      </c>
    </row>
    <row r="93" spans="1:8">
      <c r="A93" s="34" t="s">
        <v>37</v>
      </c>
      <c r="B93" s="34" t="s">
        <v>17</v>
      </c>
      <c r="C93" s="34" t="s">
        <v>22</v>
      </c>
      <c r="D93" s="34" t="s">
        <v>35</v>
      </c>
      <c r="E93" s="34"/>
      <c r="F93" s="34"/>
      <c r="G93" s="34"/>
      <c r="H93" s="34"/>
    </row>
    <row r="94" spans="1:8">
      <c r="A94" s="33" t="s">
        <v>40</v>
      </c>
      <c r="B94" s="33" t="s">
        <v>3</v>
      </c>
      <c r="C94" s="33" t="s">
        <v>28</v>
      </c>
      <c r="D94" s="33" t="s">
        <v>6</v>
      </c>
      <c r="E94" s="33"/>
      <c r="F94" s="33"/>
      <c r="G94" s="33"/>
      <c r="H94" s="33"/>
    </row>
    <row r="95" spans="1:8">
      <c r="A95" s="34" t="s">
        <v>39</v>
      </c>
      <c r="B95" s="34" t="s">
        <v>3</v>
      </c>
      <c r="C95" s="34" t="s">
        <v>21</v>
      </c>
      <c r="D95" s="34" t="s">
        <v>28</v>
      </c>
      <c r="E95" s="34" t="s">
        <v>6</v>
      </c>
      <c r="F95" s="34"/>
      <c r="G95" s="34"/>
      <c r="H95" s="34"/>
    </row>
    <row r="96" spans="1:8">
      <c r="A96" s="33" t="s">
        <v>29</v>
      </c>
      <c r="B96" s="33" t="s">
        <v>11</v>
      </c>
      <c r="C96" s="33" t="s">
        <v>12</v>
      </c>
      <c r="D96" s="33" t="s">
        <v>35</v>
      </c>
      <c r="E96" s="33" t="s">
        <v>3</v>
      </c>
      <c r="F96" s="33" t="s">
        <v>4</v>
      </c>
      <c r="G96" s="33"/>
      <c r="H96" s="33"/>
    </row>
    <row r="97" spans="1:8">
      <c r="A97" s="34" t="s">
        <v>7</v>
      </c>
      <c r="B97" s="34" t="s">
        <v>6</v>
      </c>
      <c r="C97" s="34" t="s">
        <v>5</v>
      </c>
      <c r="D97" s="34"/>
      <c r="E97" s="34"/>
      <c r="F97" s="34"/>
      <c r="G97" s="34"/>
      <c r="H97" s="34"/>
    </row>
    <row r="98" spans="1:8">
      <c r="A98" s="33" t="s">
        <v>31</v>
      </c>
      <c r="B98" s="33" t="s">
        <v>17</v>
      </c>
      <c r="C98" s="33" t="s">
        <v>9</v>
      </c>
      <c r="D98" s="33" t="s">
        <v>3</v>
      </c>
      <c r="E98" s="33" t="s">
        <v>5</v>
      </c>
      <c r="F98" s="33" t="s">
        <v>24</v>
      </c>
      <c r="G98" s="33" t="s">
        <v>11</v>
      </c>
      <c r="H98" s="33"/>
    </row>
    <row r="99" spans="1:8">
      <c r="A99" s="34" t="s">
        <v>30</v>
      </c>
      <c r="B99" s="34" t="s">
        <v>9</v>
      </c>
      <c r="C99" s="34" t="s">
        <v>10</v>
      </c>
      <c r="D99" s="34"/>
      <c r="E99" s="34"/>
      <c r="F99" s="34"/>
      <c r="G99" s="34"/>
      <c r="H99" s="34"/>
    </row>
    <row r="100" spans="1:8">
      <c r="A100" s="33" t="s">
        <v>7</v>
      </c>
      <c r="B100" s="33" t="s">
        <v>11</v>
      </c>
      <c r="C100" s="33" t="s">
        <v>4</v>
      </c>
      <c r="D100" s="33" t="s">
        <v>12</v>
      </c>
      <c r="E100" s="33" t="s">
        <v>2</v>
      </c>
      <c r="F100" s="33" t="s">
        <v>15</v>
      </c>
      <c r="G100" s="33" t="s">
        <v>17</v>
      </c>
      <c r="H100" s="33" t="s">
        <v>6</v>
      </c>
    </row>
    <row r="101" spans="1:8">
      <c r="A101" s="34" t="s">
        <v>40</v>
      </c>
      <c r="B101" s="34" t="s">
        <v>4</v>
      </c>
      <c r="C101" s="34" t="s">
        <v>24</v>
      </c>
      <c r="D101" s="34" t="s">
        <v>22</v>
      </c>
      <c r="E101" s="34"/>
      <c r="F101" s="34"/>
      <c r="G101" s="34"/>
      <c r="H101" s="34"/>
    </row>
    <row r="102" spans="1:8">
      <c r="A102" s="33" t="s">
        <v>36</v>
      </c>
      <c r="B102" s="33" t="s">
        <v>5</v>
      </c>
      <c r="C102" s="33" t="s">
        <v>14</v>
      </c>
      <c r="D102" s="33" t="s">
        <v>10</v>
      </c>
      <c r="E102" s="33"/>
      <c r="F102" s="33"/>
      <c r="G102" s="33"/>
      <c r="H102" s="33"/>
    </row>
    <row r="103" spans="1:8">
      <c r="A103" s="34" t="s">
        <v>31</v>
      </c>
      <c r="B103" s="34" t="s">
        <v>2</v>
      </c>
      <c r="C103" s="34" t="s">
        <v>17</v>
      </c>
      <c r="D103" s="34" t="s">
        <v>12</v>
      </c>
      <c r="E103" s="34" t="s">
        <v>5</v>
      </c>
      <c r="F103" s="34" t="s">
        <v>6</v>
      </c>
      <c r="G103" s="34" t="s">
        <v>4</v>
      </c>
      <c r="H103" s="34" t="s">
        <v>23</v>
      </c>
    </row>
    <row r="104" spans="1:8">
      <c r="A104" s="33" t="s">
        <v>25</v>
      </c>
      <c r="B104" s="33" t="s">
        <v>6</v>
      </c>
      <c r="C104" s="33" t="s">
        <v>21</v>
      </c>
      <c r="D104" s="33" t="s">
        <v>8</v>
      </c>
      <c r="E104" s="33" t="s">
        <v>12</v>
      </c>
      <c r="F104" s="33" t="s">
        <v>22</v>
      </c>
      <c r="G104" s="33" t="s">
        <v>10</v>
      </c>
      <c r="H104" s="33"/>
    </row>
    <row r="105" spans="1:8">
      <c r="A105" s="34" t="s">
        <v>34</v>
      </c>
      <c r="B105" s="34" t="s">
        <v>14</v>
      </c>
      <c r="C105" s="34" t="s">
        <v>12</v>
      </c>
      <c r="D105" s="34" t="s">
        <v>28</v>
      </c>
      <c r="E105" s="34" t="s">
        <v>4</v>
      </c>
      <c r="F105" s="34" t="s">
        <v>23</v>
      </c>
      <c r="G105" s="34" t="s">
        <v>21</v>
      </c>
      <c r="H105" s="34"/>
    </row>
    <row r="106" spans="1:8">
      <c r="A106" s="33" t="s">
        <v>26</v>
      </c>
      <c r="B106" s="33" t="s">
        <v>14</v>
      </c>
      <c r="C106" s="33" t="s">
        <v>23</v>
      </c>
      <c r="D106" s="33" t="s">
        <v>5</v>
      </c>
      <c r="E106" s="33" t="s">
        <v>21</v>
      </c>
      <c r="F106" s="33" t="s">
        <v>11</v>
      </c>
      <c r="G106" s="33" t="s">
        <v>18</v>
      </c>
      <c r="H106" s="33"/>
    </row>
    <row r="107" spans="1:8">
      <c r="A107" s="34" t="s">
        <v>16</v>
      </c>
      <c r="B107" s="34" t="s">
        <v>6</v>
      </c>
      <c r="C107" s="34" t="s">
        <v>28</v>
      </c>
      <c r="D107" s="34" t="s">
        <v>17</v>
      </c>
      <c r="E107" s="34"/>
      <c r="F107" s="34"/>
      <c r="G107" s="34"/>
      <c r="H107" s="34"/>
    </row>
    <row r="108" spans="1:8">
      <c r="A108" s="33" t="s">
        <v>37</v>
      </c>
      <c r="B108" s="33" t="s">
        <v>24</v>
      </c>
      <c r="C108" s="33" t="s">
        <v>11</v>
      </c>
      <c r="D108" s="33" t="s">
        <v>10</v>
      </c>
      <c r="E108" s="33"/>
      <c r="F108" s="33"/>
      <c r="G108" s="33"/>
      <c r="H108" s="33"/>
    </row>
    <row r="109" spans="1:8">
      <c r="A109" s="34" t="s">
        <v>1</v>
      </c>
      <c r="B109" s="34" t="s">
        <v>21</v>
      </c>
      <c r="C109" s="34" t="s">
        <v>4</v>
      </c>
      <c r="D109" s="34" t="s">
        <v>22</v>
      </c>
      <c r="E109" s="34" t="s">
        <v>15</v>
      </c>
      <c r="F109" s="34"/>
      <c r="G109" s="34"/>
      <c r="H109" s="34"/>
    </row>
    <row r="110" spans="1:8">
      <c r="A110" s="33" t="s">
        <v>29</v>
      </c>
      <c r="B110" s="33" t="s">
        <v>2</v>
      </c>
      <c r="C110" s="33" t="s">
        <v>5</v>
      </c>
      <c r="D110" s="33" t="s">
        <v>17</v>
      </c>
      <c r="E110" s="33" t="s">
        <v>22</v>
      </c>
      <c r="F110" s="33" t="s">
        <v>35</v>
      </c>
      <c r="G110" s="33"/>
      <c r="H110" s="33"/>
    </row>
    <row r="111" spans="1:8">
      <c r="A111" s="34" t="s">
        <v>25</v>
      </c>
      <c r="B111" s="34" t="s">
        <v>2</v>
      </c>
      <c r="C111" s="34" t="s">
        <v>18</v>
      </c>
      <c r="D111" s="34" t="s">
        <v>15</v>
      </c>
      <c r="E111" s="34" t="s">
        <v>9</v>
      </c>
      <c r="F111" s="34"/>
      <c r="G111" s="34"/>
      <c r="H111" s="34"/>
    </row>
    <row r="112" spans="1:8">
      <c r="A112" s="33" t="s">
        <v>20</v>
      </c>
      <c r="B112" s="33" t="s">
        <v>14</v>
      </c>
      <c r="C112" s="33" t="s">
        <v>15</v>
      </c>
      <c r="D112" s="33" t="s">
        <v>10</v>
      </c>
      <c r="E112" s="33" t="s">
        <v>35</v>
      </c>
      <c r="F112" s="33" t="s">
        <v>3</v>
      </c>
      <c r="G112" s="33" t="s">
        <v>2</v>
      </c>
      <c r="H112" s="33"/>
    </row>
    <row r="113" spans="1:8">
      <c r="A113" s="34" t="s">
        <v>39</v>
      </c>
      <c r="B113" s="34" t="s">
        <v>12</v>
      </c>
      <c r="C113" s="34" t="s">
        <v>3</v>
      </c>
      <c r="D113" s="34" t="s">
        <v>15</v>
      </c>
      <c r="E113" s="34" t="s">
        <v>14</v>
      </c>
      <c r="F113" s="34" t="s">
        <v>28</v>
      </c>
      <c r="G113" s="34" t="s">
        <v>9</v>
      </c>
      <c r="H113" s="34" t="s">
        <v>2</v>
      </c>
    </row>
    <row r="114" spans="1:8">
      <c r="A114" s="33" t="s">
        <v>36</v>
      </c>
      <c r="B114" s="33" t="s">
        <v>8</v>
      </c>
      <c r="C114" s="33" t="s">
        <v>10</v>
      </c>
      <c r="D114" s="33" t="s">
        <v>23</v>
      </c>
      <c r="E114" s="33" t="s">
        <v>14</v>
      </c>
      <c r="F114" s="33"/>
      <c r="G114" s="33"/>
      <c r="H114" s="33"/>
    </row>
    <row r="115" spans="1:8">
      <c r="A115" s="34" t="s">
        <v>25</v>
      </c>
      <c r="B115" s="34" t="s">
        <v>9</v>
      </c>
      <c r="C115" s="34" t="s">
        <v>4</v>
      </c>
      <c r="D115" s="34" t="s">
        <v>35</v>
      </c>
      <c r="E115" s="34" t="s">
        <v>17</v>
      </c>
      <c r="F115" s="34" t="s">
        <v>18</v>
      </c>
      <c r="G115" s="34"/>
      <c r="H115" s="34"/>
    </row>
    <row r="116" spans="1:8">
      <c r="A116" s="33" t="s">
        <v>38</v>
      </c>
      <c r="B116" s="33" t="s">
        <v>18</v>
      </c>
      <c r="C116" s="33" t="s">
        <v>24</v>
      </c>
      <c r="D116" s="33" t="s">
        <v>9</v>
      </c>
      <c r="E116" s="33" t="s">
        <v>14</v>
      </c>
      <c r="F116" s="33" t="s">
        <v>21</v>
      </c>
      <c r="G116" s="33" t="s">
        <v>23</v>
      </c>
      <c r="H116" s="33" t="s">
        <v>35</v>
      </c>
    </row>
    <row r="117" spans="1:8">
      <c r="A117" s="34" t="s">
        <v>7</v>
      </c>
      <c r="B117" s="34" t="s">
        <v>23</v>
      </c>
      <c r="C117" s="34" t="s">
        <v>2</v>
      </c>
      <c r="D117" s="34" t="s">
        <v>14</v>
      </c>
      <c r="E117" s="34" t="s">
        <v>11</v>
      </c>
      <c r="F117" s="34"/>
      <c r="G117" s="34"/>
      <c r="H117" s="34"/>
    </row>
    <row r="118" spans="1:8">
      <c r="A118" s="33" t="s">
        <v>1</v>
      </c>
      <c r="B118" s="33" t="s">
        <v>8</v>
      </c>
      <c r="C118" s="33" t="s">
        <v>5</v>
      </c>
      <c r="D118" s="33" t="s">
        <v>28</v>
      </c>
      <c r="E118" s="33" t="s">
        <v>21</v>
      </c>
      <c r="F118" s="33"/>
      <c r="G118" s="33"/>
      <c r="H118" s="33"/>
    </row>
    <row r="119" spans="1:8">
      <c r="A119" s="34" t="s">
        <v>38</v>
      </c>
      <c r="B119" s="34" t="s">
        <v>35</v>
      </c>
      <c r="C119" s="34" t="s">
        <v>14</v>
      </c>
      <c r="D119" s="34" t="s">
        <v>18</v>
      </c>
      <c r="E119" s="34" t="s">
        <v>17</v>
      </c>
      <c r="F119" s="34" t="s">
        <v>21</v>
      </c>
      <c r="G119" s="34" t="s">
        <v>22</v>
      </c>
      <c r="H119" s="34" t="s">
        <v>12</v>
      </c>
    </row>
    <row r="120" spans="1:8">
      <c r="A120" s="33" t="s">
        <v>13</v>
      </c>
      <c r="B120" s="33" t="s">
        <v>28</v>
      </c>
      <c r="C120" s="33" t="s">
        <v>23</v>
      </c>
      <c r="D120" s="33" t="s">
        <v>5</v>
      </c>
      <c r="E120" s="33" t="s">
        <v>8</v>
      </c>
      <c r="F120" s="33" t="s">
        <v>24</v>
      </c>
      <c r="G120" s="33" t="s">
        <v>15</v>
      </c>
      <c r="H120" s="33" t="s">
        <v>21</v>
      </c>
    </row>
    <row r="121" spans="1:8">
      <c r="A121" s="34" t="s">
        <v>16</v>
      </c>
      <c r="B121" s="34" t="s">
        <v>10</v>
      </c>
      <c r="C121" s="34" t="s">
        <v>21</v>
      </c>
      <c r="D121" s="34"/>
      <c r="E121" s="34"/>
      <c r="F121" s="34"/>
      <c r="G121" s="34"/>
      <c r="H121" s="34"/>
    </row>
    <row r="122" spans="1:8">
      <c r="A122" s="33" t="s">
        <v>13</v>
      </c>
      <c r="B122" s="33" t="s">
        <v>23</v>
      </c>
      <c r="C122" s="33" t="s">
        <v>10</v>
      </c>
      <c r="D122" s="33"/>
      <c r="E122" s="33"/>
      <c r="F122" s="33"/>
      <c r="G122" s="33"/>
      <c r="H122" s="33"/>
    </row>
    <row r="123" spans="1:8">
      <c r="A123" s="34" t="s">
        <v>37</v>
      </c>
      <c r="B123" s="34" t="s">
        <v>11</v>
      </c>
      <c r="C123" s="34" t="s">
        <v>5</v>
      </c>
      <c r="D123" s="34" t="s">
        <v>10</v>
      </c>
      <c r="E123" s="34" t="s">
        <v>24</v>
      </c>
      <c r="F123" s="34" t="s">
        <v>28</v>
      </c>
      <c r="G123" s="34" t="s">
        <v>4</v>
      </c>
      <c r="H123" s="34"/>
    </row>
    <row r="124" spans="1:8">
      <c r="A124" s="33" t="s">
        <v>38</v>
      </c>
      <c r="B124" s="33" t="s">
        <v>9</v>
      </c>
      <c r="C124" s="33" t="s">
        <v>11</v>
      </c>
      <c r="D124" s="33" t="s">
        <v>24</v>
      </c>
      <c r="E124" s="33" t="s">
        <v>15</v>
      </c>
      <c r="F124" s="33" t="s">
        <v>17</v>
      </c>
      <c r="G124" s="33" t="s">
        <v>22</v>
      </c>
      <c r="H124" s="33"/>
    </row>
    <row r="125" spans="1:8">
      <c r="A125" s="34" t="s">
        <v>36</v>
      </c>
      <c r="B125" s="34" t="s">
        <v>12</v>
      </c>
      <c r="C125" s="34" t="s">
        <v>17</v>
      </c>
      <c r="D125" s="34" t="s">
        <v>8</v>
      </c>
      <c r="E125" s="34" t="s">
        <v>28</v>
      </c>
      <c r="F125" s="34" t="s">
        <v>35</v>
      </c>
      <c r="G125" s="34" t="s">
        <v>3</v>
      </c>
      <c r="H125" s="34"/>
    </row>
    <row r="126" spans="1:8">
      <c r="A126" s="33" t="s">
        <v>16</v>
      </c>
      <c r="B126" s="33" t="s">
        <v>35</v>
      </c>
      <c r="C126" s="33" t="s">
        <v>24</v>
      </c>
      <c r="D126" s="33" t="s">
        <v>17</v>
      </c>
      <c r="E126" s="33"/>
      <c r="F126" s="33"/>
      <c r="G126" s="33"/>
      <c r="H126" s="33"/>
    </row>
    <row r="127" spans="1:8">
      <c r="A127" s="34" t="s">
        <v>30</v>
      </c>
      <c r="B127" s="34" t="s">
        <v>15</v>
      </c>
      <c r="C127" s="34" t="s">
        <v>6</v>
      </c>
      <c r="D127" s="34" t="s">
        <v>4</v>
      </c>
      <c r="E127" s="34" t="s">
        <v>18</v>
      </c>
      <c r="F127" s="34"/>
      <c r="G127" s="34"/>
      <c r="H127" s="34"/>
    </row>
    <row r="128" spans="1:8">
      <c r="A128" s="33" t="s">
        <v>19</v>
      </c>
      <c r="B128" s="33" t="s">
        <v>4</v>
      </c>
      <c r="C128" s="33" t="s">
        <v>6</v>
      </c>
      <c r="D128" s="33" t="s">
        <v>11</v>
      </c>
      <c r="E128" s="33" t="s">
        <v>3</v>
      </c>
      <c r="F128" s="33" t="s">
        <v>14</v>
      </c>
      <c r="G128" s="33"/>
      <c r="H128" s="33"/>
    </row>
    <row r="129" spans="1:8">
      <c r="A129" s="34" t="s">
        <v>1</v>
      </c>
      <c r="B129" s="34" t="s">
        <v>8</v>
      </c>
      <c r="C129" s="34" t="s">
        <v>3</v>
      </c>
      <c r="D129" s="34" t="s">
        <v>28</v>
      </c>
      <c r="E129" s="34" t="s">
        <v>5</v>
      </c>
      <c r="F129" s="34"/>
      <c r="G129" s="34"/>
      <c r="H129" s="34"/>
    </row>
    <row r="130" spans="1:8">
      <c r="A130" s="33" t="s">
        <v>7</v>
      </c>
      <c r="B130" s="33" t="s">
        <v>11</v>
      </c>
      <c r="C130" s="33" t="s">
        <v>2</v>
      </c>
      <c r="D130" s="33"/>
      <c r="E130" s="33"/>
      <c r="F130" s="33"/>
      <c r="G130" s="33"/>
      <c r="H130" s="33"/>
    </row>
    <row r="131" spans="1:8">
      <c r="A131" s="34" t="s">
        <v>29</v>
      </c>
      <c r="B131" s="34" t="s">
        <v>28</v>
      </c>
      <c r="C131" s="34" t="s">
        <v>18</v>
      </c>
      <c r="D131" s="34" t="s">
        <v>17</v>
      </c>
      <c r="E131" s="34" t="s">
        <v>23</v>
      </c>
      <c r="F131" s="34" t="s">
        <v>4</v>
      </c>
      <c r="G131" s="34"/>
      <c r="H131" s="34"/>
    </row>
    <row r="132" spans="1:8">
      <c r="A132" s="33" t="s">
        <v>39</v>
      </c>
      <c r="B132" s="33" t="s">
        <v>10</v>
      </c>
      <c r="C132" s="33" t="s">
        <v>21</v>
      </c>
      <c r="D132" s="33" t="s">
        <v>35</v>
      </c>
      <c r="E132" s="33" t="s">
        <v>3</v>
      </c>
      <c r="F132" s="33" t="s">
        <v>18</v>
      </c>
      <c r="G132" s="33" t="s">
        <v>12</v>
      </c>
      <c r="H132" s="33" t="s">
        <v>14</v>
      </c>
    </row>
    <row r="133" spans="1:8">
      <c r="A133" s="34" t="s">
        <v>27</v>
      </c>
      <c r="B133" s="34" t="s">
        <v>6</v>
      </c>
      <c r="C133" s="34" t="s">
        <v>5</v>
      </c>
      <c r="D133" s="34" t="s">
        <v>11</v>
      </c>
      <c r="E133" s="34"/>
      <c r="F133" s="34"/>
      <c r="G133" s="34"/>
      <c r="H133" s="34"/>
    </row>
    <row r="134" spans="1:8">
      <c r="A134" s="33" t="s">
        <v>39</v>
      </c>
      <c r="B134" s="33" t="s">
        <v>17</v>
      </c>
      <c r="C134" s="33" t="s">
        <v>22</v>
      </c>
      <c r="D134" s="33" t="s">
        <v>15</v>
      </c>
      <c r="E134" s="33" t="s">
        <v>18</v>
      </c>
      <c r="F134" s="33"/>
      <c r="G134" s="33"/>
      <c r="H134" s="33"/>
    </row>
    <row r="135" spans="1:8">
      <c r="A135" s="34" t="s">
        <v>13</v>
      </c>
      <c r="B135" s="34" t="s">
        <v>22</v>
      </c>
      <c r="C135" s="34" t="s">
        <v>17</v>
      </c>
      <c r="D135" s="34" t="s">
        <v>8</v>
      </c>
      <c r="E135" s="34" t="s">
        <v>23</v>
      </c>
      <c r="F135" s="34" t="s">
        <v>15</v>
      </c>
      <c r="G135" s="34" t="s">
        <v>6</v>
      </c>
      <c r="H135" s="34"/>
    </row>
    <row r="136" spans="1:8">
      <c r="A136" s="33" t="s">
        <v>34</v>
      </c>
      <c r="B136" s="33" t="s">
        <v>4</v>
      </c>
      <c r="C136" s="33" t="s">
        <v>9</v>
      </c>
      <c r="D136" s="33" t="s">
        <v>18</v>
      </c>
      <c r="E136" s="33" t="s">
        <v>6</v>
      </c>
      <c r="F136" s="33" t="s">
        <v>12</v>
      </c>
      <c r="G136" s="33" t="s">
        <v>2</v>
      </c>
      <c r="H136" s="33"/>
    </row>
    <row r="137" spans="1:8">
      <c r="A137" s="34" t="s">
        <v>31</v>
      </c>
      <c r="B137" s="34" t="s">
        <v>18</v>
      </c>
      <c r="C137" s="34" t="s">
        <v>2</v>
      </c>
      <c r="D137" s="34" t="s">
        <v>22</v>
      </c>
      <c r="E137" s="34" t="s">
        <v>12</v>
      </c>
      <c r="F137" s="34" t="s">
        <v>10</v>
      </c>
      <c r="G137" s="34" t="s">
        <v>28</v>
      </c>
      <c r="H137" s="34" t="s">
        <v>23</v>
      </c>
    </row>
    <row r="138" spans="1:8">
      <c r="A138" s="33" t="s">
        <v>20</v>
      </c>
      <c r="B138" s="33" t="s">
        <v>17</v>
      </c>
      <c r="C138" s="33" t="s">
        <v>23</v>
      </c>
      <c r="D138" s="33" t="s">
        <v>5</v>
      </c>
      <c r="E138" s="33" t="s">
        <v>9</v>
      </c>
      <c r="F138" s="33" t="s">
        <v>18</v>
      </c>
      <c r="G138" s="33" t="s">
        <v>11</v>
      </c>
      <c r="H138" s="33"/>
    </row>
    <row r="139" spans="1:8">
      <c r="A139" s="34" t="s">
        <v>7</v>
      </c>
      <c r="B139" s="34" t="s">
        <v>10</v>
      </c>
      <c r="C139" s="34" t="s">
        <v>5</v>
      </c>
      <c r="D139" s="34"/>
      <c r="E139" s="34"/>
      <c r="F139" s="34"/>
      <c r="G139" s="34"/>
      <c r="H139" s="34"/>
    </row>
    <row r="140" spans="1:8">
      <c r="A140" s="33" t="s">
        <v>1</v>
      </c>
      <c r="B140" s="33" t="s">
        <v>4</v>
      </c>
      <c r="C140" s="33" t="s">
        <v>8</v>
      </c>
      <c r="D140" s="33" t="s">
        <v>17</v>
      </c>
      <c r="E140" s="33"/>
      <c r="F140" s="33"/>
      <c r="G140" s="33"/>
      <c r="H140" s="33"/>
    </row>
    <row r="141" spans="1:8">
      <c r="A141" s="34" t="s">
        <v>40</v>
      </c>
      <c r="B141" s="34" t="s">
        <v>17</v>
      </c>
      <c r="C141" s="34" t="s">
        <v>6</v>
      </c>
      <c r="D141" s="34" t="s">
        <v>8</v>
      </c>
      <c r="E141" s="34" t="s">
        <v>28</v>
      </c>
      <c r="F141" s="34" t="s">
        <v>22</v>
      </c>
      <c r="G141" s="34"/>
      <c r="H141" s="34"/>
    </row>
    <row r="142" spans="1:8">
      <c r="A142" s="33" t="s">
        <v>26</v>
      </c>
      <c r="B142" s="33" t="s">
        <v>23</v>
      </c>
      <c r="C142" s="33" t="s">
        <v>15</v>
      </c>
      <c r="D142" s="33" t="s">
        <v>18</v>
      </c>
      <c r="E142" s="33" t="s">
        <v>17</v>
      </c>
      <c r="F142" s="33" t="s">
        <v>21</v>
      </c>
      <c r="G142" s="33"/>
      <c r="H142" s="33"/>
    </row>
    <row r="143" spans="1:8">
      <c r="A143" s="34" t="s">
        <v>31</v>
      </c>
      <c r="B143" s="34" t="s">
        <v>8</v>
      </c>
      <c r="C143" s="34" t="s">
        <v>6</v>
      </c>
      <c r="D143" s="34" t="s">
        <v>12</v>
      </c>
      <c r="E143" s="34" t="s">
        <v>5</v>
      </c>
      <c r="F143" s="34" t="s">
        <v>4</v>
      </c>
      <c r="G143" s="34" t="s">
        <v>22</v>
      </c>
      <c r="H143" s="34" t="s">
        <v>3</v>
      </c>
    </row>
    <row r="144" spans="1:8">
      <c r="A144" s="33" t="s">
        <v>26</v>
      </c>
      <c r="B144" s="33" t="s">
        <v>15</v>
      </c>
      <c r="C144" s="33" t="s">
        <v>8</v>
      </c>
      <c r="D144" s="33" t="s">
        <v>14</v>
      </c>
      <c r="E144" s="33" t="s">
        <v>21</v>
      </c>
      <c r="F144" s="33" t="s">
        <v>28</v>
      </c>
      <c r="G144" s="33" t="s">
        <v>18</v>
      </c>
      <c r="H144" s="33"/>
    </row>
    <row r="145" spans="1:8">
      <c r="A145" s="34" t="s">
        <v>32</v>
      </c>
      <c r="B145" s="34" t="s">
        <v>8</v>
      </c>
      <c r="C145" s="34" t="s">
        <v>28</v>
      </c>
      <c r="D145" s="34"/>
      <c r="E145" s="34"/>
      <c r="F145" s="34"/>
      <c r="G145" s="34"/>
      <c r="H145" s="34"/>
    </row>
    <row r="146" spans="1:8">
      <c r="A146" s="33" t="s">
        <v>13</v>
      </c>
      <c r="B146" s="33" t="s">
        <v>3</v>
      </c>
      <c r="C146" s="33" t="s">
        <v>14</v>
      </c>
      <c r="D146" s="33"/>
      <c r="E146" s="33"/>
      <c r="F146" s="33"/>
      <c r="G146" s="33"/>
      <c r="H146" s="33"/>
    </row>
    <row r="147" spans="1:8">
      <c r="A147" s="34" t="s">
        <v>7</v>
      </c>
      <c r="B147" s="34" t="s">
        <v>17</v>
      </c>
      <c r="C147" s="34" t="s">
        <v>23</v>
      </c>
      <c r="D147" s="34" t="s">
        <v>15</v>
      </c>
      <c r="E147" s="34" t="s">
        <v>14</v>
      </c>
      <c r="F147" s="34" t="s">
        <v>8</v>
      </c>
      <c r="G147" s="34" t="s">
        <v>9</v>
      </c>
      <c r="H147" s="34"/>
    </row>
    <row r="148" spans="1:8">
      <c r="A148" s="33" t="s">
        <v>37</v>
      </c>
      <c r="B148" s="33" t="s">
        <v>8</v>
      </c>
      <c r="C148" s="33" t="s">
        <v>5</v>
      </c>
      <c r="D148" s="33" t="s">
        <v>18</v>
      </c>
      <c r="E148" s="33" t="s">
        <v>17</v>
      </c>
      <c r="F148" s="33" t="s">
        <v>35</v>
      </c>
      <c r="G148" s="33" t="s">
        <v>2</v>
      </c>
      <c r="H148" s="33" t="s">
        <v>28</v>
      </c>
    </row>
    <row r="149" spans="1:8">
      <c r="A149" s="34" t="s">
        <v>26</v>
      </c>
      <c r="B149" s="34" t="s">
        <v>28</v>
      </c>
      <c r="C149" s="34" t="s">
        <v>9</v>
      </c>
      <c r="D149" s="34" t="s">
        <v>11</v>
      </c>
      <c r="E149" s="34" t="s">
        <v>22</v>
      </c>
      <c r="F149" s="34" t="s">
        <v>10</v>
      </c>
      <c r="G149" s="34"/>
      <c r="H149" s="34"/>
    </row>
    <row r="150" spans="1:8">
      <c r="A150" s="33" t="s">
        <v>30</v>
      </c>
      <c r="B150" s="33" t="s">
        <v>28</v>
      </c>
      <c r="C150" s="33" t="s">
        <v>4</v>
      </c>
      <c r="D150" s="33" t="s">
        <v>21</v>
      </c>
      <c r="E150" s="33" t="s">
        <v>24</v>
      </c>
      <c r="F150" s="33" t="s">
        <v>2</v>
      </c>
      <c r="G150" s="33" t="s">
        <v>9</v>
      </c>
      <c r="H150" s="33"/>
    </row>
    <row r="151" spans="1:8">
      <c r="A151" s="31" t="s">
        <v>19</v>
      </c>
      <c r="B151" s="31" t="s">
        <v>24</v>
      </c>
      <c r="C151" s="31" t="s">
        <v>22</v>
      </c>
      <c r="D151" s="31" t="s">
        <v>12</v>
      </c>
      <c r="E151" s="31"/>
      <c r="F151" s="31"/>
      <c r="G151" s="31"/>
      <c r="H151" s="31"/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7"/>
  <sheetViews>
    <sheetView topLeftCell="A2" workbookViewId="0">
      <selection activeCell="C1" sqref="C1:E21"/>
    </sheetView>
  </sheetViews>
  <sheetFormatPr defaultColWidth="8.8" defaultRowHeight="15" outlineLevelCol="4"/>
  <cols>
    <col min="3" max="3" width="15.2" customWidth="1"/>
  </cols>
  <sheetData>
    <row r="1" spans="1:4">
      <c r="A1" t="s">
        <v>41</v>
      </c>
      <c r="B1" t="s">
        <v>42</v>
      </c>
      <c r="C1" s="5" t="s">
        <v>43</v>
      </c>
      <c r="D1" s="5" t="s">
        <v>44</v>
      </c>
    </row>
    <row r="2" spans="1:5">
      <c r="A2" s="29" t="s">
        <v>1</v>
      </c>
      <c r="B2" s="30" t="str">
        <f>TRIM(A2)</f>
        <v>SQL</v>
      </c>
      <c r="C2" s="4" t="s">
        <v>19</v>
      </c>
      <c r="D2" s="5">
        <f>COUNTIF($B$2:$B$1197,C2)</f>
        <v>53</v>
      </c>
      <c r="E2" s="6" t="s">
        <v>45</v>
      </c>
    </row>
    <row r="3" spans="1:5">
      <c r="A3" s="29" t="s">
        <v>7</v>
      </c>
      <c r="B3" s="30" t="str">
        <f t="shared" ref="B3:B66" si="0">TRIM(A3)</f>
        <v>Power BI</v>
      </c>
      <c r="C3" s="4" t="s">
        <v>31</v>
      </c>
      <c r="D3" s="5">
        <f>COUNTIF($B$2:$B$1197,C3)</f>
        <v>48</v>
      </c>
      <c r="E3" s="6" t="s">
        <v>46</v>
      </c>
    </row>
    <row r="4" spans="1:5">
      <c r="A4" s="29" t="s">
        <v>13</v>
      </c>
      <c r="B4" s="30" t="str">
        <f t="shared" si="0"/>
        <v>TensorFlow</v>
      </c>
      <c r="C4" s="4" t="s">
        <v>36</v>
      </c>
      <c r="D4" s="5">
        <f>COUNTIF($B$2:$B$1197,C4)</f>
        <v>48</v>
      </c>
      <c r="E4" s="6" t="s">
        <v>47</v>
      </c>
    </row>
    <row r="5" spans="1:5">
      <c r="A5" s="29" t="s">
        <v>16</v>
      </c>
      <c r="B5" s="30" t="str">
        <f t="shared" si="0"/>
        <v>Azure</v>
      </c>
      <c r="C5" s="4" t="s">
        <v>7</v>
      </c>
      <c r="D5" s="5">
        <f>COUNTIF($B$2:$B$1197,C5)</f>
        <v>46</v>
      </c>
      <c r="E5" s="6" t="s">
        <v>48</v>
      </c>
    </row>
    <row r="6" spans="1:5">
      <c r="A6" s="29" t="s">
        <v>19</v>
      </c>
      <c r="B6" s="30" t="str">
        <f t="shared" si="0"/>
        <v>DAX</v>
      </c>
      <c r="C6" s="4" t="s">
        <v>13</v>
      </c>
      <c r="D6" s="5">
        <f>COUNTIF($B$2:$B$1197,C6)</f>
        <v>46</v>
      </c>
      <c r="E6" s="6" t="s">
        <v>49</v>
      </c>
    </row>
    <row r="7" spans="1:5">
      <c r="A7" s="29" t="s">
        <v>20</v>
      </c>
      <c r="B7" s="30" t="str">
        <f t="shared" si="0"/>
        <v>AWS</v>
      </c>
      <c r="C7" s="4" t="s">
        <v>20</v>
      </c>
      <c r="D7" s="5">
        <f>COUNTIF($B$2:$B$1197,C7)</f>
        <v>46</v>
      </c>
      <c r="E7" s="6" t="s">
        <v>50</v>
      </c>
    </row>
    <row r="8" spans="1:5">
      <c r="A8" s="29" t="s">
        <v>7</v>
      </c>
      <c r="B8" s="30" t="str">
        <f t="shared" si="0"/>
        <v>Power BI</v>
      </c>
      <c r="C8" s="4" t="s">
        <v>26</v>
      </c>
      <c r="D8" s="5">
        <f>COUNTIF($B$2:$B$1197,C8)</f>
        <v>46</v>
      </c>
      <c r="E8" s="6" t="s">
        <v>51</v>
      </c>
    </row>
    <row r="9" spans="1:5">
      <c r="A9" s="29" t="s">
        <v>20</v>
      </c>
      <c r="B9" s="30" t="str">
        <f t="shared" si="0"/>
        <v>AWS</v>
      </c>
      <c r="C9" s="4" t="s">
        <v>25</v>
      </c>
      <c r="D9" s="5">
        <f>COUNTIF($B$2:$B$1197,C9)</f>
        <v>45</v>
      </c>
      <c r="E9" s="6" t="s">
        <v>52</v>
      </c>
    </row>
    <row r="10" spans="1:5">
      <c r="A10" s="29" t="s">
        <v>25</v>
      </c>
      <c r="B10" s="30" t="str">
        <f t="shared" si="0"/>
        <v>Looker</v>
      </c>
      <c r="C10" s="4" t="s">
        <v>37</v>
      </c>
      <c r="D10" s="5">
        <f>COUNTIF($B$2:$B$1197,C10)</f>
        <v>45</v>
      </c>
      <c r="E10" s="6" t="s">
        <v>53</v>
      </c>
    </row>
    <row r="11" spans="1:5">
      <c r="A11" s="29" t="s">
        <v>26</v>
      </c>
      <c r="B11" s="30" t="str">
        <f t="shared" si="0"/>
        <v>Machine Learning</v>
      </c>
      <c r="C11" s="4" t="s">
        <v>38</v>
      </c>
      <c r="D11" s="5">
        <f>COUNTIF($B$2:$B$1197,C11)</f>
        <v>45</v>
      </c>
      <c r="E11" s="6" t="s">
        <v>54</v>
      </c>
    </row>
    <row r="12" spans="1:5">
      <c r="A12" s="29" t="s">
        <v>27</v>
      </c>
      <c r="B12" s="30" t="str">
        <f t="shared" si="0"/>
        <v>NumPy</v>
      </c>
      <c r="C12" s="4" t="s">
        <v>1</v>
      </c>
      <c r="D12" s="5">
        <f>COUNTIF($B$2:$B$1197,C12)</f>
        <v>44</v>
      </c>
      <c r="E12" s="6"/>
    </row>
    <row r="13" spans="1:4">
      <c r="A13" s="29" t="s">
        <v>19</v>
      </c>
      <c r="B13" s="30" t="str">
        <f t="shared" si="0"/>
        <v>DAX</v>
      </c>
      <c r="C13" s="4" t="s">
        <v>16</v>
      </c>
      <c r="D13" s="5">
        <f>COUNTIF($B$2:$B$1197,C13)</f>
        <v>43</v>
      </c>
    </row>
    <row r="14" spans="1:4">
      <c r="A14" s="29" t="s">
        <v>29</v>
      </c>
      <c r="B14" s="30" t="str">
        <f t="shared" si="0"/>
        <v>Excel</v>
      </c>
      <c r="C14" s="4" t="s">
        <v>29</v>
      </c>
      <c r="D14" s="5">
        <f>COUNTIF($B$2:$B$1197,C14)</f>
        <v>42</v>
      </c>
    </row>
    <row r="15" spans="1:4">
      <c r="A15" s="29" t="s">
        <v>30</v>
      </c>
      <c r="B15" s="30" t="str">
        <f t="shared" si="0"/>
        <v>Statistics</v>
      </c>
      <c r="C15" s="4" t="s">
        <v>39</v>
      </c>
      <c r="D15" s="5">
        <f>COUNTIF($B$2:$B$1197,C15)</f>
        <v>42</v>
      </c>
    </row>
    <row r="16" spans="1:4">
      <c r="A16" s="29" t="s">
        <v>31</v>
      </c>
      <c r="B16" s="30" t="str">
        <f t="shared" si="0"/>
        <v>ETL</v>
      </c>
      <c r="C16" s="4" t="s">
        <v>30</v>
      </c>
      <c r="D16" s="5">
        <f>COUNTIF($B$2:$B$1197,C16)</f>
        <v>39</v>
      </c>
    </row>
    <row r="17" spans="1:4">
      <c r="A17" s="29" t="s">
        <v>16</v>
      </c>
      <c r="B17" s="30" t="str">
        <f t="shared" si="0"/>
        <v>Azure</v>
      </c>
      <c r="C17" s="4" t="s">
        <v>27</v>
      </c>
      <c r="D17" s="5">
        <f>COUNTIF($B$2:$B$1197,C17)</f>
        <v>37</v>
      </c>
    </row>
    <row r="18" spans="1:4">
      <c r="A18" s="29" t="s">
        <v>32</v>
      </c>
      <c r="B18" s="30" t="str">
        <f t="shared" si="0"/>
        <v>Snowflake</v>
      </c>
      <c r="C18" s="4" t="s">
        <v>34</v>
      </c>
      <c r="D18" s="5">
        <f>COUNTIF($B$2:$B$1197,C18)</f>
        <v>37</v>
      </c>
    </row>
    <row r="19" spans="1:4">
      <c r="A19" s="29" t="s">
        <v>33</v>
      </c>
      <c r="B19" s="30" t="str">
        <f t="shared" si="0"/>
        <v>Python</v>
      </c>
      <c r="C19" s="4" t="s">
        <v>40</v>
      </c>
      <c r="D19" s="5">
        <f>COUNTIF($B$2:$B$1197,C19)</f>
        <v>37</v>
      </c>
    </row>
    <row r="20" spans="1:4">
      <c r="A20" s="29" t="s">
        <v>31</v>
      </c>
      <c r="B20" s="30" t="str">
        <f t="shared" si="0"/>
        <v>ETL</v>
      </c>
      <c r="C20" s="4" t="s">
        <v>32</v>
      </c>
      <c r="D20" s="5">
        <f>COUNTIF($B$2:$B$1197,C20)</f>
        <v>35</v>
      </c>
    </row>
    <row r="21" spans="1:4">
      <c r="A21" s="29" t="s">
        <v>34</v>
      </c>
      <c r="B21" s="30" t="str">
        <f t="shared" si="0"/>
        <v>Pandas</v>
      </c>
      <c r="C21" s="4" t="s">
        <v>33</v>
      </c>
      <c r="D21" s="5">
        <f>COUNTIF($B$2:$B$1197,C21)</f>
        <v>30</v>
      </c>
    </row>
    <row r="22" spans="1:2">
      <c r="A22" s="29" t="s">
        <v>29</v>
      </c>
      <c r="B22" s="29" t="str">
        <f t="shared" si="0"/>
        <v>Excel</v>
      </c>
    </row>
    <row r="23" spans="1:2">
      <c r="A23" s="29" t="s">
        <v>1</v>
      </c>
      <c r="B23" s="29" t="str">
        <f t="shared" si="0"/>
        <v>SQL</v>
      </c>
    </row>
    <row r="24" spans="1:2">
      <c r="A24" s="29" t="s">
        <v>36</v>
      </c>
      <c r="B24" s="29" t="str">
        <f t="shared" si="0"/>
        <v>R</v>
      </c>
    </row>
    <row r="25" spans="1:2">
      <c r="A25" s="29" t="s">
        <v>16</v>
      </c>
      <c r="B25" s="29" t="str">
        <f t="shared" si="0"/>
        <v>Azure</v>
      </c>
    </row>
    <row r="26" spans="1:2">
      <c r="A26" s="29" t="s">
        <v>37</v>
      </c>
      <c r="B26" s="29" t="str">
        <f t="shared" si="0"/>
        <v>dbt</v>
      </c>
    </row>
    <row r="27" spans="1:2">
      <c r="A27" s="29" t="s">
        <v>16</v>
      </c>
      <c r="B27" s="29" t="str">
        <f t="shared" si="0"/>
        <v>Azure</v>
      </c>
    </row>
    <row r="28" spans="1:2">
      <c r="A28" s="29" t="s">
        <v>29</v>
      </c>
      <c r="B28" s="29" t="str">
        <f t="shared" si="0"/>
        <v>Excel</v>
      </c>
    </row>
    <row r="29" spans="1:2">
      <c r="A29" s="29" t="s">
        <v>1</v>
      </c>
      <c r="B29" s="29" t="str">
        <f t="shared" si="0"/>
        <v>SQL</v>
      </c>
    </row>
    <row r="30" spans="1:2">
      <c r="A30" s="29" t="s">
        <v>30</v>
      </c>
      <c r="B30" s="29" t="str">
        <f t="shared" si="0"/>
        <v>Statistics</v>
      </c>
    </row>
    <row r="31" spans="1:2">
      <c r="A31" s="29" t="s">
        <v>38</v>
      </c>
      <c r="B31" s="29" t="str">
        <f t="shared" si="0"/>
        <v>Git</v>
      </c>
    </row>
    <row r="32" spans="1:2">
      <c r="A32" s="29" t="s">
        <v>36</v>
      </c>
      <c r="B32" s="29" t="str">
        <f t="shared" si="0"/>
        <v>R</v>
      </c>
    </row>
    <row r="33" spans="1:2">
      <c r="A33" s="29" t="s">
        <v>39</v>
      </c>
      <c r="B33" s="29" t="str">
        <f t="shared" si="0"/>
        <v>Spark</v>
      </c>
    </row>
    <row r="34" spans="1:2">
      <c r="A34" s="29" t="s">
        <v>30</v>
      </c>
      <c r="B34" s="29" t="str">
        <f t="shared" si="0"/>
        <v>Statistics</v>
      </c>
    </row>
    <row r="35" spans="1:2">
      <c r="A35" s="29" t="s">
        <v>27</v>
      </c>
      <c r="B35" s="29" t="str">
        <f t="shared" si="0"/>
        <v>NumPy</v>
      </c>
    </row>
    <row r="36" spans="1:2">
      <c r="A36" s="29" t="s">
        <v>19</v>
      </c>
      <c r="B36" s="29" t="str">
        <f t="shared" si="0"/>
        <v>DAX</v>
      </c>
    </row>
    <row r="37" spans="1:2">
      <c r="A37" s="29" t="s">
        <v>7</v>
      </c>
      <c r="B37" s="29" t="str">
        <f t="shared" si="0"/>
        <v>Power BI</v>
      </c>
    </row>
    <row r="38" spans="1:2">
      <c r="A38" s="29" t="s">
        <v>30</v>
      </c>
      <c r="B38" s="29" t="str">
        <f t="shared" si="0"/>
        <v>Statistics</v>
      </c>
    </row>
    <row r="39" spans="1:2">
      <c r="A39" s="29" t="s">
        <v>25</v>
      </c>
      <c r="B39" s="29" t="str">
        <f t="shared" si="0"/>
        <v>Looker</v>
      </c>
    </row>
    <row r="40" spans="1:2">
      <c r="A40" s="29" t="s">
        <v>25</v>
      </c>
      <c r="B40" s="29" t="str">
        <f t="shared" si="0"/>
        <v>Looker</v>
      </c>
    </row>
    <row r="41" spans="1:2">
      <c r="A41" s="29" t="s">
        <v>37</v>
      </c>
      <c r="B41" s="29" t="str">
        <f t="shared" si="0"/>
        <v>dbt</v>
      </c>
    </row>
    <row r="42" spans="1:2">
      <c r="A42" s="29" t="s">
        <v>31</v>
      </c>
      <c r="B42" s="29" t="str">
        <f t="shared" si="0"/>
        <v>ETL</v>
      </c>
    </row>
    <row r="43" spans="1:2">
      <c r="A43" s="29" t="s">
        <v>19</v>
      </c>
      <c r="B43" s="29" t="str">
        <f t="shared" si="0"/>
        <v>DAX</v>
      </c>
    </row>
    <row r="44" spans="1:2">
      <c r="A44" s="29" t="s">
        <v>40</v>
      </c>
      <c r="B44" s="29" t="str">
        <f t="shared" si="0"/>
        <v>Tableau</v>
      </c>
    </row>
    <row r="45" spans="1:2">
      <c r="A45" s="29" t="s">
        <v>31</v>
      </c>
      <c r="B45" s="29" t="str">
        <f t="shared" si="0"/>
        <v>ETL</v>
      </c>
    </row>
    <row r="46" spans="1:2">
      <c r="A46" s="29" t="s">
        <v>16</v>
      </c>
      <c r="B46" s="29" t="str">
        <f t="shared" si="0"/>
        <v>Azure</v>
      </c>
    </row>
    <row r="47" spans="1:2">
      <c r="A47" s="29" t="s">
        <v>33</v>
      </c>
      <c r="B47" s="29" t="str">
        <f t="shared" si="0"/>
        <v>Python</v>
      </c>
    </row>
    <row r="48" spans="1:2">
      <c r="A48" s="29" t="s">
        <v>36</v>
      </c>
      <c r="B48" s="29" t="str">
        <f t="shared" si="0"/>
        <v>R</v>
      </c>
    </row>
    <row r="49" spans="1:2">
      <c r="A49" s="29" t="s">
        <v>39</v>
      </c>
      <c r="B49" s="29" t="str">
        <f t="shared" si="0"/>
        <v>Spark</v>
      </c>
    </row>
    <row r="50" spans="1:2">
      <c r="A50" s="29" t="s">
        <v>19</v>
      </c>
      <c r="B50" s="29" t="str">
        <f t="shared" si="0"/>
        <v>DAX</v>
      </c>
    </row>
    <row r="51" spans="1:2">
      <c r="A51" s="29" t="s">
        <v>36</v>
      </c>
      <c r="B51" s="29" t="str">
        <f t="shared" si="0"/>
        <v>R</v>
      </c>
    </row>
    <row r="52" spans="1:2">
      <c r="A52" s="29" t="s">
        <v>31</v>
      </c>
      <c r="B52" s="29" t="str">
        <f t="shared" si="0"/>
        <v>ETL</v>
      </c>
    </row>
    <row r="53" spans="1:2">
      <c r="A53" s="29" t="s">
        <v>20</v>
      </c>
      <c r="B53" s="29" t="str">
        <f t="shared" si="0"/>
        <v>AWS</v>
      </c>
    </row>
    <row r="54" spans="1:2">
      <c r="A54" s="29" t="s">
        <v>26</v>
      </c>
      <c r="B54" s="29" t="str">
        <f t="shared" si="0"/>
        <v>Machine Learning</v>
      </c>
    </row>
    <row r="55" spans="1:2">
      <c r="A55" s="29" t="s">
        <v>16</v>
      </c>
      <c r="B55" s="29" t="str">
        <f t="shared" si="0"/>
        <v>Azure</v>
      </c>
    </row>
    <row r="56" spans="1:2">
      <c r="A56" s="29" t="s">
        <v>36</v>
      </c>
      <c r="B56" s="29" t="str">
        <f t="shared" si="0"/>
        <v>R</v>
      </c>
    </row>
    <row r="57" spans="1:2">
      <c r="A57" s="29" t="s">
        <v>27</v>
      </c>
      <c r="B57" s="29" t="str">
        <f t="shared" si="0"/>
        <v>NumPy</v>
      </c>
    </row>
    <row r="58" spans="1:2">
      <c r="A58" s="29" t="s">
        <v>19</v>
      </c>
      <c r="B58" s="29" t="str">
        <f t="shared" si="0"/>
        <v>DAX</v>
      </c>
    </row>
    <row r="59" spans="1:2">
      <c r="A59" s="29" t="s">
        <v>26</v>
      </c>
      <c r="B59" s="29" t="str">
        <f t="shared" si="0"/>
        <v>Machine Learning</v>
      </c>
    </row>
    <row r="60" spans="1:2">
      <c r="A60" s="29" t="s">
        <v>34</v>
      </c>
      <c r="B60" s="29" t="str">
        <f t="shared" si="0"/>
        <v>Pandas</v>
      </c>
    </row>
    <row r="61" spans="1:2">
      <c r="A61" s="29" t="s">
        <v>7</v>
      </c>
      <c r="B61" s="29" t="str">
        <f t="shared" si="0"/>
        <v>Power BI</v>
      </c>
    </row>
    <row r="62" spans="1:2">
      <c r="A62" s="29" t="s">
        <v>33</v>
      </c>
      <c r="B62" s="29" t="str">
        <f t="shared" si="0"/>
        <v>Python</v>
      </c>
    </row>
    <row r="63" spans="1:2">
      <c r="A63" s="29" t="s">
        <v>37</v>
      </c>
      <c r="B63" s="29" t="str">
        <f t="shared" si="0"/>
        <v>dbt</v>
      </c>
    </row>
    <row r="64" spans="1:2">
      <c r="A64" s="29" t="s">
        <v>7</v>
      </c>
      <c r="B64" s="29" t="str">
        <f t="shared" si="0"/>
        <v>Power BI</v>
      </c>
    </row>
    <row r="65" spans="1:2">
      <c r="A65" s="29" t="s">
        <v>38</v>
      </c>
      <c r="B65" s="29" t="str">
        <f t="shared" si="0"/>
        <v>Git</v>
      </c>
    </row>
    <row r="66" spans="1:2">
      <c r="A66" s="29" t="s">
        <v>36</v>
      </c>
      <c r="B66" s="29" t="str">
        <f t="shared" si="0"/>
        <v>R</v>
      </c>
    </row>
    <row r="67" spans="1:2">
      <c r="A67" s="29" t="s">
        <v>1</v>
      </c>
      <c r="B67" s="29" t="str">
        <f t="shared" ref="B67:B130" si="1">TRIM(A67)</f>
        <v>SQL</v>
      </c>
    </row>
    <row r="68" spans="1:2">
      <c r="A68" s="29" t="s">
        <v>38</v>
      </c>
      <c r="B68" s="29" t="str">
        <f t="shared" si="1"/>
        <v>Git</v>
      </c>
    </row>
    <row r="69" spans="1:2">
      <c r="A69" s="29" t="s">
        <v>1</v>
      </c>
      <c r="B69" s="29" t="str">
        <f t="shared" si="1"/>
        <v>SQL</v>
      </c>
    </row>
    <row r="70" spans="1:2">
      <c r="A70" s="29" t="s">
        <v>34</v>
      </c>
      <c r="B70" s="29" t="str">
        <f t="shared" si="1"/>
        <v>Pandas</v>
      </c>
    </row>
    <row r="71" spans="1:2">
      <c r="A71" s="29" t="s">
        <v>32</v>
      </c>
      <c r="B71" s="29" t="str">
        <f t="shared" si="1"/>
        <v>Snowflake</v>
      </c>
    </row>
    <row r="72" spans="1:2">
      <c r="A72" s="29" t="s">
        <v>39</v>
      </c>
      <c r="B72" s="29" t="str">
        <f t="shared" si="1"/>
        <v>Spark</v>
      </c>
    </row>
    <row r="73" spans="1:2">
      <c r="A73" s="29" t="s">
        <v>39</v>
      </c>
      <c r="B73" s="29" t="str">
        <f t="shared" si="1"/>
        <v>Spark</v>
      </c>
    </row>
    <row r="74" spans="1:2">
      <c r="A74" s="29" t="s">
        <v>7</v>
      </c>
      <c r="B74" s="29" t="str">
        <f t="shared" si="1"/>
        <v>Power BI</v>
      </c>
    </row>
    <row r="75" spans="1:2">
      <c r="A75" s="29" t="s">
        <v>26</v>
      </c>
      <c r="B75" s="29" t="str">
        <f t="shared" si="1"/>
        <v>Machine Learning</v>
      </c>
    </row>
    <row r="76" spans="1:2">
      <c r="A76" s="29" t="s">
        <v>20</v>
      </c>
      <c r="B76" s="29" t="str">
        <f t="shared" si="1"/>
        <v>AWS</v>
      </c>
    </row>
    <row r="77" spans="1:2">
      <c r="A77" s="29" t="s">
        <v>13</v>
      </c>
      <c r="B77" s="29" t="str">
        <f t="shared" si="1"/>
        <v>TensorFlow</v>
      </c>
    </row>
    <row r="78" spans="1:2">
      <c r="A78" s="29" t="s">
        <v>26</v>
      </c>
      <c r="B78" s="29" t="str">
        <f t="shared" si="1"/>
        <v>Machine Learning</v>
      </c>
    </row>
    <row r="79" spans="1:2">
      <c r="A79" s="29" t="s">
        <v>38</v>
      </c>
      <c r="B79" s="29" t="str">
        <f t="shared" si="1"/>
        <v>Git</v>
      </c>
    </row>
    <row r="80" spans="1:2">
      <c r="A80" s="29" t="s">
        <v>13</v>
      </c>
      <c r="B80" s="29" t="str">
        <f t="shared" si="1"/>
        <v>TensorFlow</v>
      </c>
    </row>
    <row r="81" spans="1:2">
      <c r="A81" s="29" t="s">
        <v>19</v>
      </c>
      <c r="B81" s="29" t="str">
        <f t="shared" si="1"/>
        <v>DAX</v>
      </c>
    </row>
    <row r="82" spans="1:2">
      <c r="A82" s="29" t="s">
        <v>26</v>
      </c>
      <c r="B82" s="29" t="str">
        <f t="shared" si="1"/>
        <v>Machine Learning</v>
      </c>
    </row>
    <row r="83" spans="1:2">
      <c r="A83" s="29" t="s">
        <v>29</v>
      </c>
      <c r="B83" s="29" t="str">
        <f t="shared" si="1"/>
        <v>Excel</v>
      </c>
    </row>
    <row r="84" spans="1:2">
      <c r="A84" s="29" t="s">
        <v>38</v>
      </c>
      <c r="B84" s="29" t="str">
        <f t="shared" si="1"/>
        <v>Git</v>
      </c>
    </row>
    <row r="85" spans="1:2">
      <c r="A85" s="29" t="s">
        <v>29</v>
      </c>
      <c r="B85" s="29" t="str">
        <f t="shared" si="1"/>
        <v>Excel</v>
      </c>
    </row>
    <row r="86" spans="1:2">
      <c r="A86" s="29" t="s">
        <v>34</v>
      </c>
      <c r="B86" s="29" t="str">
        <f t="shared" si="1"/>
        <v>Pandas</v>
      </c>
    </row>
    <row r="87" spans="1:2">
      <c r="A87" s="29" t="s">
        <v>19</v>
      </c>
      <c r="B87" s="29" t="str">
        <f t="shared" si="1"/>
        <v>DAX</v>
      </c>
    </row>
    <row r="88" spans="1:2">
      <c r="A88" s="29" t="s">
        <v>16</v>
      </c>
      <c r="B88" s="29" t="str">
        <f t="shared" si="1"/>
        <v>Azure</v>
      </c>
    </row>
    <row r="89" spans="1:2">
      <c r="A89" s="29" t="s">
        <v>33</v>
      </c>
      <c r="B89" s="29" t="str">
        <f t="shared" si="1"/>
        <v>Python</v>
      </c>
    </row>
    <row r="90" spans="1:2">
      <c r="A90" s="29" t="s">
        <v>37</v>
      </c>
      <c r="B90" s="29" t="str">
        <f t="shared" si="1"/>
        <v>dbt</v>
      </c>
    </row>
    <row r="91" spans="1:2">
      <c r="A91" s="29" t="s">
        <v>26</v>
      </c>
      <c r="B91" s="29" t="str">
        <f t="shared" si="1"/>
        <v>Machine Learning</v>
      </c>
    </row>
    <row r="92" spans="1:2">
      <c r="A92" s="29" t="s">
        <v>27</v>
      </c>
      <c r="B92" s="29" t="str">
        <f t="shared" si="1"/>
        <v>NumPy</v>
      </c>
    </row>
    <row r="93" spans="1:2">
      <c r="A93" s="29" t="s">
        <v>37</v>
      </c>
      <c r="B93" s="29" t="str">
        <f t="shared" si="1"/>
        <v>dbt</v>
      </c>
    </row>
    <row r="94" spans="1:2">
      <c r="A94" s="29" t="s">
        <v>40</v>
      </c>
      <c r="B94" s="29" t="str">
        <f t="shared" si="1"/>
        <v>Tableau</v>
      </c>
    </row>
    <row r="95" spans="1:2">
      <c r="A95" s="29" t="s">
        <v>39</v>
      </c>
      <c r="B95" s="29" t="str">
        <f t="shared" si="1"/>
        <v>Spark</v>
      </c>
    </row>
    <row r="96" spans="1:2">
      <c r="A96" s="29" t="s">
        <v>29</v>
      </c>
      <c r="B96" s="29" t="str">
        <f t="shared" si="1"/>
        <v>Excel</v>
      </c>
    </row>
    <row r="97" spans="1:2">
      <c r="A97" s="29" t="s">
        <v>7</v>
      </c>
      <c r="B97" s="29" t="str">
        <f t="shared" si="1"/>
        <v>Power BI</v>
      </c>
    </row>
    <row r="98" spans="1:2">
      <c r="A98" s="29" t="s">
        <v>31</v>
      </c>
      <c r="B98" s="29" t="str">
        <f t="shared" si="1"/>
        <v>ETL</v>
      </c>
    </row>
    <row r="99" spans="1:2">
      <c r="A99" s="29" t="s">
        <v>30</v>
      </c>
      <c r="B99" s="29" t="str">
        <f t="shared" si="1"/>
        <v>Statistics</v>
      </c>
    </row>
    <row r="100" spans="1:2">
      <c r="A100" s="29" t="s">
        <v>7</v>
      </c>
      <c r="B100" s="29" t="str">
        <f t="shared" si="1"/>
        <v>Power BI</v>
      </c>
    </row>
    <row r="101" spans="1:2">
      <c r="A101" s="29" t="s">
        <v>40</v>
      </c>
      <c r="B101" s="29" t="str">
        <f t="shared" si="1"/>
        <v>Tableau</v>
      </c>
    </row>
    <row r="102" spans="1:2">
      <c r="A102" s="29" t="s">
        <v>36</v>
      </c>
      <c r="B102" s="29" t="str">
        <f t="shared" si="1"/>
        <v>R</v>
      </c>
    </row>
    <row r="103" spans="1:2">
      <c r="A103" s="29" t="s">
        <v>31</v>
      </c>
      <c r="B103" s="29" t="str">
        <f t="shared" si="1"/>
        <v>ETL</v>
      </c>
    </row>
    <row r="104" spans="1:2">
      <c r="A104" s="29" t="s">
        <v>25</v>
      </c>
      <c r="B104" s="29" t="str">
        <f t="shared" si="1"/>
        <v>Looker</v>
      </c>
    </row>
    <row r="105" spans="1:2">
      <c r="A105" s="29" t="s">
        <v>34</v>
      </c>
      <c r="B105" s="29" t="str">
        <f t="shared" si="1"/>
        <v>Pandas</v>
      </c>
    </row>
    <row r="106" spans="1:2">
      <c r="A106" s="29" t="s">
        <v>26</v>
      </c>
      <c r="B106" s="29" t="str">
        <f t="shared" si="1"/>
        <v>Machine Learning</v>
      </c>
    </row>
    <row r="107" spans="1:2">
      <c r="A107" s="29" t="s">
        <v>16</v>
      </c>
      <c r="B107" s="29" t="str">
        <f t="shared" si="1"/>
        <v>Azure</v>
      </c>
    </row>
    <row r="108" spans="1:2">
      <c r="A108" s="29" t="s">
        <v>37</v>
      </c>
      <c r="B108" s="29" t="str">
        <f t="shared" si="1"/>
        <v>dbt</v>
      </c>
    </row>
    <row r="109" spans="1:2">
      <c r="A109" s="29" t="s">
        <v>1</v>
      </c>
      <c r="B109" s="29" t="str">
        <f t="shared" si="1"/>
        <v>SQL</v>
      </c>
    </row>
    <row r="110" spans="1:2">
      <c r="A110" s="29" t="s">
        <v>29</v>
      </c>
      <c r="B110" s="29" t="str">
        <f t="shared" si="1"/>
        <v>Excel</v>
      </c>
    </row>
    <row r="111" spans="1:2">
      <c r="A111" s="29" t="s">
        <v>25</v>
      </c>
      <c r="B111" s="29" t="str">
        <f t="shared" si="1"/>
        <v>Looker</v>
      </c>
    </row>
    <row r="112" spans="1:2">
      <c r="A112" s="29" t="s">
        <v>20</v>
      </c>
      <c r="B112" s="29" t="str">
        <f t="shared" si="1"/>
        <v>AWS</v>
      </c>
    </row>
    <row r="113" spans="1:2">
      <c r="A113" s="29" t="s">
        <v>39</v>
      </c>
      <c r="B113" s="29" t="str">
        <f t="shared" si="1"/>
        <v>Spark</v>
      </c>
    </row>
    <row r="114" spans="1:2">
      <c r="A114" s="29" t="s">
        <v>36</v>
      </c>
      <c r="B114" s="29" t="str">
        <f t="shared" si="1"/>
        <v>R</v>
      </c>
    </row>
    <row r="115" spans="1:2">
      <c r="A115" s="29" t="s">
        <v>25</v>
      </c>
      <c r="B115" s="29" t="str">
        <f t="shared" si="1"/>
        <v>Looker</v>
      </c>
    </row>
    <row r="116" spans="1:2">
      <c r="A116" s="29" t="s">
        <v>38</v>
      </c>
      <c r="B116" s="29" t="str">
        <f t="shared" si="1"/>
        <v>Git</v>
      </c>
    </row>
    <row r="117" spans="1:2">
      <c r="A117" s="29" t="s">
        <v>7</v>
      </c>
      <c r="B117" s="29" t="str">
        <f t="shared" si="1"/>
        <v>Power BI</v>
      </c>
    </row>
    <row r="118" spans="1:2">
      <c r="A118" s="29" t="s">
        <v>1</v>
      </c>
      <c r="B118" s="29" t="str">
        <f t="shared" si="1"/>
        <v>SQL</v>
      </c>
    </row>
    <row r="119" spans="1:2">
      <c r="A119" s="29" t="s">
        <v>38</v>
      </c>
      <c r="B119" s="29" t="str">
        <f t="shared" si="1"/>
        <v>Git</v>
      </c>
    </row>
    <row r="120" spans="1:2">
      <c r="A120" s="29" t="s">
        <v>13</v>
      </c>
      <c r="B120" s="29" t="str">
        <f t="shared" si="1"/>
        <v>TensorFlow</v>
      </c>
    </row>
    <row r="121" spans="1:2">
      <c r="A121" s="29" t="s">
        <v>16</v>
      </c>
      <c r="B121" s="29" t="str">
        <f t="shared" si="1"/>
        <v>Azure</v>
      </c>
    </row>
    <row r="122" spans="1:2">
      <c r="A122" s="29" t="s">
        <v>13</v>
      </c>
      <c r="B122" s="29" t="str">
        <f t="shared" si="1"/>
        <v>TensorFlow</v>
      </c>
    </row>
    <row r="123" spans="1:2">
      <c r="A123" s="29" t="s">
        <v>37</v>
      </c>
      <c r="B123" s="29" t="str">
        <f t="shared" si="1"/>
        <v>dbt</v>
      </c>
    </row>
    <row r="124" spans="1:2">
      <c r="A124" s="29" t="s">
        <v>38</v>
      </c>
      <c r="B124" s="29" t="str">
        <f t="shared" si="1"/>
        <v>Git</v>
      </c>
    </row>
    <row r="125" spans="1:2">
      <c r="A125" s="29" t="s">
        <v>36</v>
      </c>
      <c r="B125" s="29" t="str">
        <f t="shared" si="1"/>
        <v>R</v>
      </c>
    </row>
    <row r="126" spans="1:2">
      <c r="A126" s="29" t="s">
        <v>16</v>
      </c>
      <c r="B126" s="29" t="str">
        <f t="shared" si="1"/>
        <v>Azure</v>
      </c>
    </row>
    <row r="127" spans="1:2">
      <c r="A127" s="29" t="s">
        <v>30</v>
      </c>
      <c r="B127" s="29" t="str">
        <f t="shared" si="1"/>
        <v>Statistics</v>
      </c>
    </row>
    <row r="128" spans="1:2">
      <c r="A128" s="29" t="s">
        <v>19</v>
      </c>
      <c r="B128" s="29" t="str">
        <f t="shared" si="1"/>
        <v>DAX</v>
      </c>
    </row>
    <row r="129" spans="1:2">
      <c r="A129" s="29" t="s">
        <v>1</v>
      </c>
      <c r="B129" s="29" t="str">
        <f t="shared" si="1"/>
        <v>SQL</v>
      </c>
    </row>
    <row r="130" spans="1:2">
      <c r="A130" s="29" t="s">
        <v>7</v>
      </c>
      <c r="B130" s="29" t="str">
        <f t="shared" si="1"/>
        <v>Power BI</v>
      </c>
    </row>
    <row r="131" spans="1:2">
      <c r="A131" s="29" t="s">
        <v>29</v>
      </c>
      <c r="B131" s="29" t="str">
        <f t="shared" ref="B131:B194" si="2">TRIM(A131)</f>
        <v>Excel</v>
      </c>
    </row>
    <row r="132" spans="1:2">
      <c r="A132" s="29" t="s">
        <v>39</v>
      </c>
      <c r="B132" s="29" t="str">
        <f t="shared" si="2"/>
        <v>Spark</v>
      </c>
    </row>
    <row r="133" spans="1:2">
      <c r="A133" s="29" t="s">
        <v>27</v>
      </c>
      <c r="B133" s="29" t="str">
        <f t="shared" si="2"/>
        <v>NumPy</v>
      </c>
    </row>
    <row r="134" spans="1:2">
      <c r="A134" s="29" t="s">
        <v>39</v>
      </c>
      <c r="B134" s="29" t="str">
        <f t="shared" si="2"/>
        <v>Spark</v>
      </c>
    </row>
    <row r="135" spans="1:2">
      <c r="A135" s="29" t="s">
        <v>13</v>
      </c>
      <c r="B135" s="29" t="str">
        <f t="shared" si="2"/>
        <v>TensorFlow</v>
      </c>
    </row>
    <row r="136" spans="1:2">
      <c r="A136" s="29" t="s">
        <v>34</v>
      </c>
      <c r="B136" s="29" t="str">
        <f t="shared" si="2"/>
        <v>Pandas</v>
      </c>
    </row>
    <row r="137" spans="1:2">
      <c r="A137" s="29" t="s">
        <v>31</v>
      </c>
      <c r="B137" s="29" t="str">
        <f t="shared" si="2"/>
        <v>ETL</v>
      </c>
    </row>
    <row r="138" spans="1:2">
      <c r="A138" s="29" t="s">
        <v>20</v>
      </c>
      <c r="B138" s="29" t="str">
        <f t="shared" si="2"/>
        <v>AWS</v>
      </c>
    </row>
    <row r="139" spans="1:2">
      <c r="A139" s="29" t="s">
        <v>7</v>
      </c>
      <c r="B139" s="29" t="str">
        <f t="shared" si="2"/>
        <v>Power BI</v>
      </c>
    </row>
    <row r="140" spans="1:2">
      <c r="A140" s="29" t="s">
        <v>1</v>
      </c>
      <c r="B140" s="29" t="str">
        <f t="shared" si="2"/>
        <v>SQL</v>
      </c>
    </row>
    <row r="141" spans="1:2">
      <c r="A141" s="29" t="s">
        <v>40</v>
      </c>
      <c r="B141" s="29" t="str">
        <f t="shared" si="2"/>
        <v>Tableau</v>
      </c>
    </row>
    <row r="142" spans="1:2">
      <c r="A142" s="29" t="s">
        <v>26</v>
      </c>
      <c r="B142" s="29" t="str">
        <f t="shared" si="2"/>
        <v>Machine Learning</v>
      </c>
    </row>
    <row r="143" spans="1:2">
      <c r="A143" s="29" t="s">
        <v>31</v>
      </c>
      <c r="B143" s="29" t="str">
        <f t="shared" si="2"/>
        <v>ETL</v>
      </c>
    </row>
    <row r="144" spans="1:2">
      <c r="A144" s="29" t="s">
        <v>26</v>
      </c>
      <c r="B144" s="29" t="str">
        <f t="shared" si="2"/>
        <v>Machine Learning</v>
      </c>
    </row>
    <row r="145" spans="1:2">
      <c r="A145" s="29" t="s">
        <v>32</v>
      </c>
      <c r="B145" s="29" t="str">
        <f t="shared" si="2"/>
        <v>Snowflake</v>
      </c>
    </row>
    <row r="146" spans="1:2">
      <c r="A146" s="29" t="s">
        <v>13</v>
      </c>
      <c r="B146" s="29" t="str">
        <f t="shared" si="2"/>
        <v>TensorFlow</v>
      </c>
    </row>
    <row r="147" spans="1:2">
      <c r="A147" s="29" t="s">
        <v>7</v>
      </c>
      <c r="B147" s="29" t="str">
        <f t="shared" si="2"/>
        <v>Power BI</v>
      </c>
    </row>
    <row r="148" spans="1:2">
      <c r="A148" s="29" t="s">
        <v>37</v>
      </c>
      <c r="B148" s="29" t="str">
        <f t="shared" si="2"/>
        <v>dbt</v>
      </c>
    </row>
    <row r="149" spans="1:2">
      <c r="A149" s="29" t="s">
        <v>26</v>
      </c>
      <c r="B149" s="29" t="str">
        <f t="shared" si="2"/>
        <v>Machine Learning</v>
      </c>
    </row>
    <row r="150" spans="1:2">
      <c r="A150" s="29" t="s">
        <v>30</v>
      </c>
      <c r="B150" s="29" t="str">
        <f t="shared" si="2"/>
        <v>Statistics</v>
      </c>
    </row>
    <row r="151" spans="1:5">
      <c r="A151" s="29" t="s">
        <v>19</v>
      </c>
      <c r="B151" s="29" t="str">
        <f t="shared" si="2"/>
        <v>DAX</v>
      </c>
      <c r="E151" s="31"/>
    </row>
    <row r="152" spans="1:2">
      <c r="A152" s="29" t="s">
        <v>2</v>
      </c>
      <c r="B152" s="29" t="str">
        <f t="shared" si="2"/>
        <v>Azure</v>
      </c>
    </row>
    <row r="153" spans="1:2">
      <c r="A153" s="29" t="s">
        <v>8</v>
      </c>
      <c r="B153" s="29" t="str">
        <f t="shared" si="2"/>
        <v>Excel</v>
      </c>
    </row>
    <row r="154" spans="1:2">
      <c r="A154" s="29" t="s">
        <v>6</v>
      </c>
      <c r="B154" s="29" t="str">
        <f t="shared" si="2"/>
        <v>R</v>
      </c>
    </row>
    <row r="155" spans="1:2">
      <c r="A155" s="29" t="s">
        <v>5</v>
      </c>
      <c r="B155" s="29" t="str">
        <f t="shared" si="2"/>
        <v>Looker</v>
      </c>
    </row>
    <row r="156" spans="1:2">
      <c r="A156" s="29" t="s">
        <v>14</v>
      </c>
      <c r="B156" s="29" t="str">
        <f t="shared" si="2"/>
        <v>Tableau</v>
      </c>
    </row>
    <row r="157" spans="1:2">
      <c r="A157" s="29" t="s">
        <v>3</v>
      </c>
      <c r="B157" s="29" t="str">
        <f t="shared" si="2"/>
        <v>Machine Learning</v>
      </c>
    </row>
    <row r="158" spans="1:2">
      <c r="A158" s="29" t="s">
        <v>15</v>
      </c>
      <c r="B158" s="29" t="str">
        <f t="shared" si="2"/>
        <v>ETL</v>
      </c>
    </row>
    <row r="159" spans="1:2">
      <c r="A159" s="29" t="s">
        <v>15</v>
      </c>
      <c r="B159" s="29" t="str">
        <f t="shared" si="2"/>
        <v>ETL</v>
      </c>
    </row>
    <row r="160" spans="1:2">
      <c r="A160" s="29" t="s">
        <v>21</v>
      </c>
      <c r="B160" s="29" t="str">
        <f t="shared" si="2"/>
        <v>dbt</v>
      </c>
    </row>
    <row r="161" spans="1:2">
      <c r="A161" s="29" t="s">
        <v>18</v>
      </c>
      <c r="B161" s="29" t="str">
        <f t="shared" si="2"/>
        <v>Power BI</v>
      </c>
    </row>
    <row r="162" spans="1:2">
      <c r="A162" s="29" t="s">
        <v>4</v>
      </c>
      <c r="B162" s="29" t="str">
        <f t="shared" si="2"/>
        <v>TensorFlow</v>
      </c>
    </row>
    <row r="163" spans="1:2">
      <c r="A163" s="29" t="s">
        <v>5</v>
      </c>
      <c r="B163" s="29" t="str">
        <f t="shared" si="2"/>
        <v>Looker</v>
      </c>
    </row>
    <row r="164" spans="1:2">
      <c r="A164" s="29" t="s">
        <v>22</v>
      </c>
      <c r="B164" s="29" t="str">
        <f t="shared" si="2"/>
        <v>Snowflake</v>
      </c>
    </row>
    <row r="165" spans="1:2">
      <c r="A165" s="29" t="s">
        <v>15</v>
      </c>
      <c r="B165" s="29" t="str">
        <f t="shared" si="2"/>
        <v>ETL</v>
      </c>
    </row>
    <row r="166" spans="1:2">
      <c r="A166" s="29" t="s">
        <v>2</v>
      </c>
      <c r="B166" s="29" t="str">
        <f t="shared" si="2"/>
        <v>Azure</v>
      </c>
    </row>
    <row r="167" spans="1:2">
      <c r="A167" s="29" t="s">
        <v>10</v>
      </c>
      <c r="B167" s="29" t="str">
        <f t="shared" si="2"/>
        <v>Git</v>
      </c>
    </row>
    <row r="168" spans="1:2">
      <c r="A168" s="29" t="s">
        <v>8</v>
      </c>
      <c r="B168" s="29" t="str">
        <f t="shared" si="2"/>
        <v>Excel</v>
      </c>
    </row>
    <row r="169" spans="1:2">
      <c r="A169" s="29" t="s">
        <v>17</v>
      </c>
      <c r="B169" s="29" t="str">
        <f t="shared" si="2"/>
        <v>DAX</v>
      </c>
    </row>
    <row r="170" spans="1:2">
      <c r="A170" s="29" t="s">
        <v>5</v>
      </c>
      <c r="B170" s="29" t="str">
        <f t="shared" si="2"/>
        <v>Looker</v>
      </c>
    </row>
    <row r="171" spans="1:2">
      <c r="A171" s="29" t="s">
        <v>24</v>
      </c>
      <c r="B171" s="29" t="str">
        <f t="shared" si="2"/>
        <v>Python</v>
      </c>
    </row>
    <row r="172" spans="1:2">
      <c r="A172" s="29" t="s">
        <v>17</v>
      </c>
      <c r="B172" s="29" t="str">
        <f t="shared" si="2"/>
        <v>DAX</v>
      </c>
    </row>
    <row r="173" spans="1:2">
      <c r="A173" s="29" t="s">
        <v>6</v>
      </c>
      <c r="B173" s="29" t="str">
        <f t="shared" si="2"/>
        <v>R</v>
      </c>
    </row>
    <row r="174" spans="1:2">
      <c r="A174" s="29" t="s">
        <v>2</v>
      </c>
      <c r="B174" s="29" t="str">
        <f t="shared" si="2"/>
        <v>Azure</v>
      </c>
    </row>
    <row r="175" spans="1:2">
      <c r="A175" s="29" t="s">
        <v>18</v>
      </c>
      <c r="B175" s="29" t="str">
        <f t="shared" si="2"/>
        <v>Power BI</v>
      </c>
    </row>
    <row r="176" spans="1:2">
      <c r="A176" s="29" t="s">
        <v>3</v>
      </c>
      <c r="B176" s="29" t="str">
        <f t="shared" si="2"/>
        <v>Machine Learning</v>
      </c>
    </row>
    <row r="177" spans="1:2">
      <c r="A177" s="29" t="s">
        <v>24</v>
      </c>
      <c r="B177" s="29" t="str">
        <f t="shared" si="2"/>
        <v>Python</v>
      </c>
    </row>
    <row r="178" spans="1:2">
      <c r="A178" s="29" t="s">
        <v>15</v>
      </c>
      <c r="B178" s="29" t="str">
        <f t="shared" si="2"/>
        <v>ETL</v>
      </c>
    </row>
    <row r="179" spans="1:2">
      <c r="A179" s="29" t="s">
        <v>35</v>
      </c>
      <c r="B179" s="29" t="str">
        <f t="shared" si="2"/>
        <v>Pandas</v>
      </c>
    </row>
    <row r="180" spans="1:2">
      <c r="A180" s="29" t="s">
        <v>28</v>
      </c>
      <c r="B180" s="29" t="str">
        <f t="shared" si="2"/>
        <v>AWS</v>
      </c>
    </row>
    <row r="181" spans="1:2">
      <c r="A181" s="29" t="s">
        <v>5</v>
      </c>
      <c r="B181" s="29" t="str">
        <f t="shared" si="2"/>
        <v>Looker</v>
      </c>
    </row>
    <row r="182" spans="1:2">
      <c r="A182" s="29" t="s">
        <v>35</v>
      </c>
      <c r="B182" s="29" t="str">
        <f t="shared" si="2"/>
        <v>Pandas</v>
      </c>
    </row>
    <row r="183" spans="1:2">
      <c r="A183" s="29" t="s">
        <v>14</v>
      </c>
      <c r="B183" s="29" t="str">
        <f t="shared" si="2"/>
        <v>Tableau</v>
      </c>
    </row>
    <row r="184" spans="1:2">
      <c r="A184" s="29" t="s">
        <v>3</v>
      </c>
      <c r="B184" s="29" t="str">
        <f t="shared" si="2"/>
        <v>Machine Learning</v>
      </c>
    </row>
    <row r="185" spans="1:2">
      <c r="A185" s="29" t="s">
        <v>11</v>
      </c>
      <c r="B185" s="29" t="str">
        <f t="shared" si="2"/>
        <v>Statistics</v>
      </c>
    </row>
    <row r="186" spans="1:2">
      <c r="A186" s="29" t="s">
        <v>5</v>
      </c>
      <c r="B186" s="29" t="str">
        <f t="shared" si="2"/>
        <v>Looker</v>
      </c>
    </row>
    <row r="187" spans="1:2">
      <c r="A187" s="29" t="s">
        <v>17</v>
      </c>
      <c r="B187" s="29" t="str">
        <f t="shared" si="2"/>
        <v>DAX</v>
      </c>
    </row>
    <row r="188" spans="1:2">
      <c r="A188" s="29" t="s">
        <v>5</v>
      </c>
      <c r="B188" s="29" t="str">
        <f t="shared" si="2"/>
        <v>Looker</v>
      </c>
    </row>
    <row r="189" spans="1:2">
      <c r="A189" s="29" t="s">
        <v>11</v>
      </c>
      <c r="B189" s="29" t="str">
        <f t="shared" si="2"/>
        <v>Statistics</v>
      </c>
    </row>
    <row r="190" spans="1:2">
      <c r="A190" s="29" t="s">
        <v>15</v>
      </c>
      <c r="B190" s="29" t="str">
        <f t="shared" si="2"/>
        <v>ETL</v>
      </c>
    </row>
    <row r="191" spans="1:2">
      <c r="A191" s="29" t="s">
        <v>2</v>
      </c>
      <c r="B191" s="29" t="str">
        <f t="shared" si="2"/>
        <v>Azure</v>
      </c>
    </row>
    <row r="192" spans="1:2">
      <c r="A192" s="29" t="s">
        <v>2</v>
      </c>
      <c r="B192" s="29" t="str">
        <f t="shared" si="2"/>
        <v>Azure</v>
      </c>
    </row>
    <row r="193" spans="1:2">
      <c r="A193" s="29" t="s">
        <v>28</v>
      </c>
      <c r="B193" s="29" t="str">
        <f t="shared" si="2"/>
        <v>AWS</v>
      </c>
    </row>
    <row r="194" spans="1:2">
      <c r="A194" s="29" t="s">
        <v>4</v>
      </c>
      <c r="B194" s="29" t="str">
        <f t="shared" si="2"/>
        <v>TensorFlow</v>
      </c>
    </row>
    <row r="195" spans="1:2">
      <c r="A195" s="29" t="s">
        <v>24</v>
      </c>
      <c r="B195" s="29" t="str">
        <f t="shared" ref="B195:B258" si="3">TRIM(A195)</f>
        <v>Python</v>
      </c>
    </row>
    <row r="196" spans="1:2">
      <c r="A196" s="29" t="s">
        <v>18</v>
      </c>
      <c r="B196" s="29" t="str">
        <f t="shared" si="3"/>
        <v>Power BI</v>
      </c>
    </row>
    <row r="197" spans="1:2">
      <c r="A197" s="29" t="s">
        <v>15</v>
      </c>
      <c r="B197" s="29" t="str">
        <f t="shared" si="3"/>
        <v>ETL</v>
      </c>
    </row>
    <row r="198" spans="1:2">
      <c r="A198" s="29" t="s">
        <v>28</v>
      </c>
      <c r="B198" s="29" t="str">
        <f t="shared" si="3"/>
        <v>AWS</v>
      </c>
    </row>
    <row r="199" spans="1:2">
      <c r="A199" s="29" t="s">
        <v>12</v>
      </c>
      <c r="B199" s="29" t="str">
        <f t="shared" si="3"/>
        <v>SQL</v>
      </c>
    </row>
    <row r="200" spans="1:2">
      <c r="A200" s="29" t="s">
        <v>22</v>
      </c>
      <c r="B200" s="29" t="str">
        <f t="shared" si="3"/>
        <v>Snowflake</v>
      </c>
    </row>
    <row r="201" spans="1:2">
      <c r="A201" s="29" t="s">
        <v>11</v>
      </c>
      <c r="B201" s="29" t="str">
        <f t="shared" si="3"/>
        <v>Statistics</v>
      </c>
    </row>
    <row r="202" spans="1:2">
      <c r="A202" s="29" t="s">
        <v>28</v>
      </c>
      <c r="B202" s="29" t="str">
        <f t="shared" si="3"/>
        <v>AWS</v>
      </c>
    </row>
    <row r="203" spans="1:2">
      <c r="A203" s="29" t="s">
        <v>22</v>
      </c>
      <c r="B203" s="29" t="str">
        <f t="shared" si="3"/>
        <v>Snowflake</v>
      </c>
    </row>
    <row r="204" spans="1:2">
      <c r="A204" s="29" t="s">
        <v>8</v>
      </c>
      <c r="B204" s="29" t="str">
        <f t="shared" si="3"/>
        <v>Excel</v>
      </c>
    </row>
    <row r="205" spans="1:2">
      <c r="A205" s="29" t="s">
        <v>17</v>
      </c>
      <c r="B205" s="29" t="str">
        <f t="shared" si="3"/>
        <v>DAX</v>
      </c>
    </row>
    <row r="206" spans="1:2">
      <c r="A206" s="29" t="s">
        <v>10</v>
      </c>
      <c r="B206" s="29" t="str">
        <f t="shared" si="3"/>
        <v>Git</v>
      </c>
    </row>
    <row r="207" spans="1:2">
      <c r="A207" s="29" t="s">
        <v>3</v>
      </c>
      <c r="B207" s="29" t="str">
        <f t="shared" si="3"/>
        <v>Machine Learning</v>
      </c>
    </row>
    <row r="208" spans="1:2">
      <c r="A208" s="29" t="s">
        <v>23</v>
      </c>
      <c r="B208" s="29" t="str">
        <f t="shared" si="3"/>
        <v>Spark</v>
      </c>
    </row>
    <row r="209" spans="1:2">
      <c r="A209" s="29" t="s">
        <v>6</v>
      </c>
      <c r="B209" s="29" t="str">
        <f t="shared" si="3"/>
        <v>R</v>
      </c>
    </row>
    <row r="210" spans="1:2">
      <c r="A210" s="29" t="s">
        <v>23</v>
      </c>
      <c r="B210" s="29" t="str">
        <f t="shared" si="3"/>
        <v>Spark</v>
      </c>
    </row>
    <row r="211" spans="1:2">
      <c r="A211" s="29" t="s">
        <v>12</v>
      </c>
      <c r="B211" s="29" t="str">
        <f t="shared" si="3"/>
        <v>SQL</v>
      </c>
    </row>
    <row r="212" spans="1:2">
      <c r="A212" s="29" t="s">
        <v>28</v>
      </c>
      <c r="B212" s="29" t="str">
        <f t="shared" si="3"/>
        <v>AWS</v>
      </c>
    </row>
    <row r="213" spans="1:2">
      <c r="A213" s="29" t="s">
        <v>8</v>
      </c>
      <c r="B213" s="29" t="str">
        <f t="shared" si="3"/>
        <v>Excel</v>
      </c>
    </row>
    <row r="214" spans="1:2">
      <c r="A214" s="29" t="s">
        <v>35</v>
      </c>
      <c r="B214" s="29" t="str">
        <f t="shared" si="3"/>
        <v>Pandas</v>
      </c>
    </row>
    <row r="215" spans="1:2">
      <c r="A215" s="29" t="s">
        <v>24</v>
      </c>
      <c r="B215" s="29" t="str">
        <f t="shared" si="3"/>
        <v>Python</v>
      </c>
    </row>
    <row r="216" spans="1:2">
      <c r="A216" s="29" t="s">
        <v>21</v>
      </c>
      <c r="B216" s="29" t="str">
        <f t="shared" si="3"/>
        <v>dbt</v>
      </c>
    </row>
    <row r="217" spans="1:2">
      <c r="A217" s="29" t="s">
        <v>3</v>
      </c>
      <c r="B217" s="29" t="str">
        <f t="shared" si="3"/>
        <v>Machine Learning</v>
      </c>
    </row>
    <row r="218" spans="1:2">
      <c r="A218" s="29" t="s">
        <v>6</v>
      </c>
      <c r="B218" s="29" t="str">
        <f t="shared" si="3"/>
        <v>R</v>
      </c>
    </row>
    <row r="219" spans="1:2">
      <c r="A219" s="29" t="s">
        <v>18</v>
      </c>
      <c r="B219" s="29" t="str">
        <f t="shared" si="3"/>
        <v>Power BI</v>
      </c>
    </row>
    <row r="220" spans="1:2">
      <c r="A220" s="29" t="s">
        <v>21</v>
      </c>
      <c r="B220" s="29" t="str">
        <f t="shared" si="3"/>
        <v>dbt</v>
      </c>
    </row>
    <row r="221" spans="1:2">
      <c r="A221" s="29" t="s">
        <v>10</v>
      </c>
      <c r="B221" s="29" t="str">
        <f t="shared" si="3"/>
        <v>Git</v>
      </c>
    </row>
    <row r="222" spans="1:2">
      <c r="A222" s="29" t="s">
        <v>10</v>
      </c>
      <c r="B222" s="29" t="str">
        <f t="shared" si="3"/>
        <v>Git</v>
      </c>
    </row>
    <row r="223" spans="1:2">
      <c r="A223" s="29" t="s">
        <v>10</v>
      </c>
      <c r="B223" s="29" t="str">
        <f t="shared" si="3"/>
        <v>Git</v>
      </c>
    </row>
    <row r="224" spans="1:2">
      <c r="A224" s="29" t="s">
        <v>4</v>
      </c>
      <c r="B224" s="29" t="str">
        <f t="shared" si="3"/>
        <v>TensorFlow</v>
      </c>
    </row>
    <row r="225" spans="1:2">
      <c r="A225" s="29" t="s">
        <v>21</v>
      </c>
      <c r="B225" s="29" t="str">
        <f t="shared" si="3"/>
        <v>dbt</v>
      </c>
    </row>
    <row r="226" spans="1:2">
      <c r="A226" s="29" t="s">
        <v>2</v>
      </c>
      <c r="B226" s="29" t="str">
        <f t="shared" si="3"/>
        <v>Azure</v>
      </c>
    </row>
    <row r="227" spans="1:2">
      <c r="A227" s="29" t="s">
        <v>10</v>
      </c>
      <c r="B227" s="29" t="str">
        <f t="shared" si="3"/>
        <v>Git</v>
      </c>
    </row>
    <row r="228" spans="1:2">
      <c r="A228" s="29" t="s">
        <v>8</v>
      </c>
      <c r="B228" s="29" t="str">
        <f t="shared" si="3"/>
        <v>Excel</v>
      </c>
    </row>
    <row r="229" spans="1:2">
      <c r="A229" s="29" t="s">
        <v>3</v>
      </c>
      <c r="B229" s="29" t="str">
        <f t="shared" si="3"/>
        <v>Machine Learning</v>
      </c>
    </row>
    <row r="230" spans="1:2">
      <c r="A230" s="29" t="s">
        <v>9</v>
      </c>
      <c r="B230" s="29" t="str">
        <f t="shared" si="3"/>
        <v>NumPy</v>
      </c>
    </row>
    <row r="231" spans="1:2">
      <c r="A231" s="29" t="s">
        <v>35</v>
      </c>
      <c r="B231" s="29" t="str">
        <f t="shared" si="3"/>
        <v>Pandas</v>
      </c>
    </row>
    <row r="232" spans="1:2">
      <c r="A232" s="29" t="s">
        <v>10</v>
      </c>
      <c r="B232" s="29" t="str">
        <f t="shared" si="3"/>
        <v>Git</v>
      </c>
    </row>
    <row r="233" spans="1:2">
      <c r="A233" s="29" t="s">
        <v>18</v>
      </c>
      <c r="B233" s="29" t="str">
        <f t="shared" si="3"/>
        <v>Power BI</v>
      </c>
    </row>
    <row r="234" spans="1:2">
      <c r="A234" s="29" t="s">
        <v>21</v>
      </c>
      <c r="B234" s="29" t="str">
        <f t="shared" si="3"/>
        <v>dbt</v>
      </c>
    </row>
    <row r="235" spans="1:2">
      <c r="A235" s="29" t="s">
        <v>4</v>
      </c>
      <c r="B235" s="29" t="str">
        <f t="shared" si="3"/>
        <v>TensorFlow</v>
      </c>
    </row>
    <row r="236" spans="1:2">
      <c r="A236" s="29" t="s">
        <v>23</v>
      </c>
      <c r="B236" s="29" t="str">
        <f t="shared" si="3"/>
        <v>Spark</v>
      </c>
    </row>
    <row r="237" spans="1:2">
      <c r="A237" s="29" t="s">
        <v>15</v>
      </c>
      <c r="B237" s="29" t="str">
        <f t="shared" si="3"/>
        <v>ETL</v>
      </c>
    </row>
    <row r="238" spans="1:2">
      <c r="A238" s="29" t="s">
        <v>10</v>
      </c>
      <c r="B238" s="29" t="str">
        <f t="shared" si="3"/>
        <v>Git</v>
      </c>
    </row>
    <row r="239" spans="1:2">
      <c r="A239" s="29" t="s">
        <v>5</v>
      </c>
      <c r="B239" s="29" t="str">
        <f t="shared" si="3"/>
        <v>Looker</v>
      </c>
    </row>
    <row r="240" spans="1:2">
      <c r="A240" s="29" t="s">
        <v>18</v>
      </c>
      <c r="B240" s="29" t="str">
        <f t="shared" si="3"/>
        <v>Power BI</v>
      </c>
    </row>
    <row r="241" spans="1:2">
      <c r="A241" s="29" t="s">
        <v>18</v>
      </c>
      <c r="B241" s="29" t="str">
        <f t="shared" si="3"/>
        <v>Power BI</v>
      </c>
    </row>
    <row r="242" spans="1:2">
      <c r="A242" s="29" t="s">
        <v>12</v>
      </c>
      <c r="B242" s="29" t="str">
        <f t="shared" si="3"/>
        <v>SQL</v>
      </c>
    </row>
    <row r="243" spans="1:2">
      <c r="A243" s="29" t="s">
        <v>17</v>
      </c>
      <c r="B243" s="29" t="str">
        <f t="shared" si="3"/>
        <v>DAX</v>
      </c>
    </row>
    <row r="244" spans="1:2">
      <c r="A244" s="29" t="s">
        <v>3</v>
      </c>
      <c r="B244" s="29" t="str">
        <f t="shared" si="3"/>
        <v>Machine Learning</v>
      </c>
    </row>
    <row r="245" spans="1:2">
      <c r="A245" s="29" t="s">
        <v>3</v>
      </c>
      <c r="B245" s="29" t="str">
        <f t="shared" si="3"/>
        <v>Machine Learning</v>
      </c>
    </row>
    <row r="246" spans="1:2">
      <c r="A246" s="29" t="s">
        <v>11</v>
      </c>
      <c r="B246" s="29" t="str">
        <f t="shared" si="3"/>
        <v>Statistics</v>
      </c>
    </row>
    <row r="247" spans="1:2">
      <c r="A247" s="29" t="s">
        <v>6</v>
      </c>
      <c r="B247" s="29" t="str">
        <f t="shared" si="3"/>
        <v>R</v>
      </c>
    </row>
    <row r="248" spans="1:2">
      <c r="A248" s="29" t="s">
        <v>17</v>
      </c>
      <c r="B248" s="29" t="str">
        <f t="shared" si="3"/>
        <v>DAX</v>
      </c>
    </row>
    <row r="249" spans="1:2">
      <c r="A249" s="29" t="s">
        <v>9</v>
      </c>
      <c r="B249" s="29" t="str">
        <f t="shared" si="3"/>
        <v>NumPy</v>
      </c>
    </row>
    <row r="250" spans="1:2">
      <c r="A250" s="29" t="s">
        <v>11</v>
      </c>
      <c r="B250" s="29" t="str">
        <f t="shared" si="3"/>
        <v>Statistics</v>
      </c>
    </row>
    <row r="251" spans="1:2">
      <c r="A251" s="29" t="s">
        <v>4</v>
      </c>
      <c r="B251" s="29" t="str">
        <f t="shared" si="3"/>
        <v>TensorFlow</v>
      </c>
    </row>
    <row r="252" spans="1:2">
      <c r="A252" s="29" t="s">
        <v>5</v>
      </c>
      <c r="B252" s="29" t="str">
        <f t="shared" si="3"/>
        <v>Looker</v>
      </c>
    </row>
    <row r="253" spans="1:2">
      <c r="A253" s="29" t="s">
        <v>2</v>
      </c>
      <c r="B253" s="29" t="str">
        <f t="shared" si="3"/>
        <v>Azure</v>
      </c>
    </row>
    <row r="254" spans="1:2">
      <c r="A254" s="29" t="s">
        <v>6</v>
      </c>
      <c r="B254" s="29" t="str">
        <f t="shared" si="3"/>
        <v>R</v>
      </c>
    </row>
    <row r="255" spans="1:2">
      <c r="A255" s="29" t="s">
        <v>14</v>
      </c>
      <c r="B255" s="29" t="str">
        <f t="shared" si="3"/>
        <v>Tableau</v>
      </c>
    </row>
    <row r="256" spans="1:2">
      <c r="A256" s="29" t="s">
        <v>14</v>
      </c>
      <c r="B256" s="29" t="str">
        <f t="shared" si="3"/>
        <v>Tableau</v>
      </c>
    </row>
    <row r="257" spans="1:2">
      <c r="A257" s="29" t="s">
        <v>6</v>
      </c>
      <c r="B257" s="29" t="str">
        <f t="shared" si="3"/>
        <v>R</v>
      </c>
    </row>
    <row r="258" spans="1:2">
      <c r="A258" s="29" t="s">
        <v>24</v>
      </c>
      <c r="B258" s="29" t="str">
        <f t="shared" si="3"/>
        <v>Python</v>
      </c>
    </row>
    <row r="259" spans="1:2">
      <c r="A259" s="29" t="s">
        <v>21</v>
      </c>
      <c r="B259" s="29" t="str">
        <f t="shared" ref="B259:B322" si="4">TRIM(A259)</f>
        <v>dbt</v>
      </c>
    </row>
    <row r="260" spans="1:2">
      <c r="A260" s="29" t="s">
        <v>2</v>
      </c>
      <c r="B260" s="29" t="str">
        <f t="shared" si="4"/>
        <v>Azure</v>
      </c>
    </row>
    <row r="261" spans="1:2">
      <c r="A261" s="29" t="s">
        <v>2</v>
      </c>
      <c r="B261" s="29" t="str">
        <f t="shared" si="4"/>
        <v>Azure</v>
      </c>
    </row>
    <row r="262" spans="1:2">
      <c r="A262" s="29" t="s">
        <v>14</v>
      </c>
      <c r="B262" s="29" t="str">
        <f t="shared" si="4"/>
        <v>Tableau</v>
      </c>
    </row>
    <row r="263" spans="1:2">
      <c r="A263" s="29" t="s">
        <v>12</v>
      </c>
      <c r="B263" s="29" t="str">
        <f t="shared" si="4"/>
        <v>SQL</v>
      </c>
    </row>
    <row r="264" spans="1:2">
      <c r="A264" s="29" t="s">
        <v>8</v>
      </c>
      <c r="B264" s="29" t="str">
        <f t="shared" si="4"/>
        <v>Excel</v>
      </c>
    </row>
    <row r="265" spans="1:2">
      <c r="A265" s="29" t="s">
        <v>9</v>
      </c>
      <c r="B265" s="29" t="str">
        <f t="shared" si="4"/>
        <v>NumPy</v>
      </c>
    </row>
    <row r="266" spans="1:2">
      <c r="A266" s="29" t="s">
        <v>18</v>
      </c>
      <c r="B266" s="29" t="str">
        <f t="shared" si="4"/>
        <v>Power BI</v>
      </c>
    </row>
    <row r="267" spans="1:2">
      <c r="A267" s="29" t="s">
        <v>23</v>
      </c>
      <c r="B267" s="29" t="str">
        <f t="shared" si="4"/>
        <v>Spark</v>
      </c>
    </row>
    <row r="268" spans="1:2">
      <c r="A268" s="29" t="s">
        <v>8</v>
      </c>
      <c r="B268" s="29" t="str">
        <f t="shared" si="4"/>
        <v>Excel</v>
      </c>
    </row>
    <row r="269" spans="1:2">
      <c r="A269" s="29" t="s">
        <v>35</v>
      </c>
      <c r="B269" s="29" t="str">
        <f t="shared" si="4"/>
        <v>Pandas</v>
      </c>
    </row>
    <row r="270" spans="1:2">
      <c r="A270" s="29" t="s">
        <v>28</v>
      </c>
      <c r="B270" s="29" t="str">
        <f t="shared" si="4"/>
        <v>AWS</v>
      </c>
    </row>
    <row r="271" spans="1:2">
      <c r="A271" s="29" t="s">
        <v>10</v>
      </c>
      <c r="B271" s="29" t="str">
        <f t="shared" si="4"/>
        <v>Git</v>
      </c>
    </row>
    <row r="272" spans="1:2">
      <c r="A272" s="29" t="s">
        <v>23</v>
      </c>
      <c r="B272" s="29" t="str">
        <f t="shared" si="4"/>
        <v>Spark</v>
      </c>
    </row>
    <row r="273" spans="1:2">
      <c r="A273" s="29" t="s">
        <v>11</v>
      </c>
      <c r="B273" s="29" t="str">
        <f t="shared" si="4"/>
        <v>Statistics</v>
      </c>
    </row>
    <row r="274" spans="1:2">
      <c r="A274" s="29" t="s">
        <v>9</v>
      </c>
      <c r="B274" s="29" t="str">
        <f t="shared" si="4"/>
        <v>NumPy</v>
      </c>
    </row>
    <row r="275" spans="1:2">
      <c r="A275" s="29" t="s">
        <v>12</v>
      </c>
      <c r="B275" s="29" t="str">
        <f t="shared" si="4"/>
        <v>SQL</v>
      </c>
    </row>
    <row r="276" spans="1:2">
      <c r="A276" s="29" t="s">
        <v>35</v>
      </c>
      <c r="B276" s="29" t="str">
        <f t="shared" si="4"/>
        <v>Pandas</v>
      </c>
    </row>
    <row r="277" spans="1:2">
      <c r="A277" s="29" t="s">
        <v>15</v>
      </c>
      <c r="B277" s="29" t="str">
        <f t="shared" si="4"/>
        <v>ETL</v>
      </c>
    </row>
    <row r="278" spans="1:2">
      <c r="A278" s="29" t="s">
        <v>4</v>
      </c>
      <c r="B278" s="29" t="str">
        <f t="shared" si="4"/>
        <v>TensorFlow</v>
      </c>
    </row>
    <row r="279" spans="1:2">
      <c r="A279" s="29" t="s">
        <v>8</v>
      </c>
      <c r="B279" s="29" t="str">
        <f t="shared" si="4"/>
        <v>Excel</v>
      </c>
    </row>
    <row r="280" spans="1:2">
      <c r="A280" s="29" t="s">
        <v>11</v>
      </c>
      <c r="B280" s="29" t="str">
        <f t="shared" si="4"/>
        <v>Statistics</v>
      </c>
    </row>
    <row r="281" spans="1:2">
      <c r="A281" s="29" t="s">
        <v>28</v>
      </c>
      <c r="B281" s="29" t="str">
        <f t="shared" si="4"/>
        <v>AWS</v>
      </c>
    </row>
    <row r="282" spans="1:2">
      <c r="A282" s="29" t="s">
        <v>10</v>
      </c>
      <c r="B282" s="29" t="str">
        <f t="shared" si="4"/>
        <v>Git</v>
      </c>
    </row>
    <row r="283" spans="1:2">
      <c r="A283" s="29" t="s">
        <v>6</v>
      </c>
      <c r="B283" s="29" t="str">
        <f t="shared" si="4"/>
        <v>R</v>
      </c>
    </row>
    <row r="284" spans="1:2">
      <c r="A284" s="29" t="s">
        <v>17</v>
      </c>
      <c r="B284" s="29" t="str">
        <f t="shared" si="4"/>
        <v>DAX</v>
      </c>
    </row>
    <row r="285" spans="1:2">
      <c r="A285" s="29" t="s">
        <v>22</v>
      </c>
      <c r="B285" s="29" t="str">
        <f t="shared" si="4"/>
        <v>Snowflake</v>
      </c>
    </row>
    <row r="286" spans="1:2">
      <c r="A286" s="29" t="s">
        <v>4</v>
      </c>
      <c r="B286" s="29" t="str">
        <f t="shared" si="4"/>
        <v>TensorFlow</v>
      </c>
    </row>
    <row r="287" spans="1:2">
      <c r="A287" s="29" t="s">
        <v>18</v>
      </c>
      <c r="B287" s="29" t="str">
        <f t="shared" si="4"/>
        <v>Power BI</v>
      </c>
    </row>
    <row r="288" spans="1:2">
      <c r="A288" s="29" t="s">
        <v>17</v>
      </c>
      <c r="B288" s="29" t="str">
        <f t="shared" si="4"/>
        <v>DAX</v>
      </c>
    </row>
    <row r="289" spans="1:2">
      <c r="A289" s="29" t="s">
        <v>10</v>
      </c>
      <c r="B289" s="29" t="str">
        <f t="shared" si="4"/>
        <v>Git</v>
      </c>
    </row>
    <row r="290" spans="1:2">
      <c r="A290" s="29" t="s">
        <v>4</v>
      </c>
      <c r="B290" s="29" t="str">
        <f t="shared" si="4"/>
        <v>TensorFlow</v>
      </c>
    </row>
    <row r="291" spans="1:2">
      <c r="A291" s="29" t="s">
        <v>17</v>
      </c>
      <c r="B291" s="29" t="str">
        <f t="shared" si="4"/>
        <v>DAX</v>
      </c>
    </row>
    <row r="292" spans="1:2">
      <c r="A292" s="29" t="s">
        <v>23</v>
      </c>
      <c r="B292" s="29" t="str">
        <f t="shared" si="4"/>
        <v>Spark</v>
      </c>
    </row>
    <row r="293" spans="1:2">
      <c r="A293" s="29" t="s">
        <v>8</v>
      </c>
      <c r="B293" s="29" t="str">
        <f t="shared" si="4"/>
        <v>Excel</v>
      </c>
    </row>
    <row r="294" spans="1:2">
      <c r="A294" s="29" t="s">
        <v>15</v>
      </c>
      <c r="B294" s="29" t="str">
        <f t="shared" si="4"/>
        <v>ETL</v>
      </c>
    </row>
    <row r="295" spans="1:2">
      <c r="A295" s="29" t="s">
        <v>8</v>
      </c>
      <c r="B295" s="29" t="str">
        <f t="shared" si="4"/>
        <v>Excel</v>
      </c>
    </row>
    <row r="296" spans="1:2">
      <c r="A296" s="29" t="s">
        <v>3</v>
      </c>
      <c r="B296" s="29" t="str">
        <f t="shared" si="4"/>
        <v>Machine Learning</v>
      </c>
    </row>
    <row r="297" spans="1:2">
      <c r="A297" s="29" t="s">
        <v>17</v>
      </c>
      <c r="B297" s="29" t="str">
        <f t="shared" si="4"/>
        <v>DAX</v>
      </c>
    </row>
    <row r="298" spans="1:2">
      <c r="A298" s="29" t="s">
        <v>8</v>
      </c>
      <c r="B298" s="29" t="str">
        <f t="shared" si="4"/>
        <v>Excel</v>
      </c>
    </row>
    <row r="299" spans="1:2">
      <c r="A299" s="29" t="s">
        <v>28</v>
      </c>
      <c r="B299" s="29" t="str">
        <f t="shared" si="4"/>
        <v>AWS</v>
      </c>
    </row>
    <row r="300" spans="1:2">
      <c r="A300" s="29" t="s">
        <v>28</v>
      </c>
      <c r="B300" s="29" t="str">
        <f t="shared" si="4"/>
        <v>AWS</v>
      </c>
    </row>
    <row r="301" spans="1:2">
      <c r="A301" s="29" t="s">
        <v>24</v>
      </c>
      <c r="B301" s="29" t="str">
        <f t="shared" si="4"/>
        <v>Python</v>
      </c>
    </row>
    <row r="302" spans="1:2">
      <c r="A302" s="29" t="s">
        <v>3</v>
      </c>
      <c r="B302" s="29" t="str">
        <f t="shared" si="4"/>
        <v>Machine Learning</v>
      </c>
    </row>
    <row r="303" spans="1:2">
      <c r="A303" s="29" t="s">
        <v>9</v>
      </c>
      <c r="B303" s="29" t="str">
        <f t="shared" si="4"/>
        <v>NumPy</v>
      </c>
    </row>
    <row r="304" spans="1:2">
      <c r="A304" s="29" t="s">
        <v>5</v>
      </c>
      <c r="B304" s="29" t="str">
        <f t="shared" si="4"/>
        <v>Looker</v>
      </c>
    </row>
    <row r="305" spans="1:2">
      <c r="A305" s="29" t="s">
        <v>17</v>
      </c>
      <c r="B305" s="29" t="str">
        <f t="shared" si="4"/>
        <v>DAX</v>
      </c>
    </row>
    <row r="306" spans="1:2">
      <c r="A306" s="29" t="s">
        <v>6</v>
      </c>
      <c r="B306" s="29" t="str">
        <f t="shared" si="4"/>
        <v>R</v>
      </c>
    </row>
    <row r="307" spans="1:2">
      <c r="A307" s="29" t="s">
        <v>21</v>
      </c>
      <c r="B307" s="29" t="str">
        <f t="shared" si="4"/>
        <v>dbt</v>
      </c>
    </row>
    <row r="308" spans="1:2">
      <c r="A308" s="29" t="s">
        <v>22</v>
      </c>
      <c r="B308" s="29" t="str">
        <f t="shared" si="4"/>
        <v>Snowflake</v>
      </c>
    </row>
    <row r="309" spans="1:2">
      <c r="A309" s="29" t="s">
        <v>11</v>
      </c>
      <c r="B309" s="29" t="str">
        <f t="shared" si="4"/>
        <v>Statistics</v>
      </c>
    </row>
    <row r="310" spans="1:2">
      <c r="A310" s="29" t="s">
        <v>11</v>
      </c>
      <c r="B310" s="29" t="str">
        <f t="shared" si="4"/>
        <v>Statistics</v>
      </c>
    </row>
    <row r="311" spans="1:2">
      <c r="A311" s="29" t="s">
        <v>14</v>
      </c>
      <c r="B311" s="29" t="str">
        <f t="shared" si="4"/>
        <v>Tableau</v>
      </c>
    </row>
    <row r="312" spans="1:2">
      <c r="A312" s="29" t="s">
        <v>17</v>
      </c>
      <c r="B312" s="29" t="str">
        <f t="shared" si="4"/>
        <v>DAX</v>
      </c>
    </row>
    <row r="313" spans="1:2">
      <c r="A313" s="29" t="s">
        <v>18</v>
      </c>
      <c r="B313" s="29" t="str">
        <f t="shared" si="4"/>
        <v>Power BI</v>
      </c>
    </row>
    <row r="314" spans="1:2">
      <c r="A314" s="29" t="s">
        <v>9</v>
      </c>
      <c r="B314" s="29" t="str">
        <f t="shared" si="4"/>
        <v>NumPy</v>
      </c>
    </row>
    <row r="315" spans="1:2">
      <c r="A315" s="29" t="s">
        <v>6</v>
      </c>
      <c r="B315" s="29" t="str">
        <f t="shared" si="4"/>
        <v>R</v>
      </c>
    </row>
    <row r="316" spans="1:2">
      <c r="A316" s="29" t="s">
        <v>5</v>
      </c>
      <c r="B316" s="29" t="str">
        <f t="shared" si="4"/>
        <v>Looker</v>
      </c>
    </row>
    <row r="317" spans="1:2">
      <c r="A317" s="29" t="s">
        <v>24</v>
      </c>
      <c r="B317" s="29" t="str">
        <f t="shared" si="4"/>
        <v>Python</v>
      </c>
    </row>
    <row r="318" spans="1:2">
      <c r="A318" s="29" t="s">
        <v>24</v>
      </c>
      <c r="B318" s="29" t="str">
        <f t="shared" si="4"/>
        <v>Python</v>
      </c>
    </row>
    <row r="319" spans="1:2">
      <c r="A319" s="29" t="s">
        <v>8</v>
      </c>
      <c r="B319" s="29" t="str">
        <f t="shared" si="4"/>
        <v>Excel</v>
      </c>
    </row>
    <row r="320" spans="1:2">
      <c r="A320" s="29" t="s">
        <v>1</v>
      </c>
      <c r="B320" s="29" t="str">
        <f t="shared" si="4"/>
        <v>SQL</v>
      </c>
    </row>
    <row r="321" spans="1:2">
      <c r="A321" s="29" t="s">
        <v>2</v>
      </c>
      <c r="B321" s="29" t="str">
        <f t="shared" si="4"/>
        <v>Azure</v>
      </c>
    </row>
    <row r="322" spans="1:2">
      <c r="A322" s="29" t="s">
        <v>35</v>
      </c>
      <c r="B322" s="29" t="str">
        <f t="shared" si="4"/>
        <v>Pandas</v>
      </c>
    </row>
    <row r="323" spans="1:2">
      <c r="A323" s="29" t="s">
        <v>10</v>
      </c>
      <c r="B323" s="29" t="str">
        <f t="shared" ref="B323:B386" si="5">TRIM(A323)</f>
        <v>Git</v>
      </c>
    </row>
    <row r="324" spans="1:2">
      <c r="A324" s="29" t="s">
        <v>14</v>
      </c>
      <c r="B324" s="29" t="str">
        <f t="shared" si="5"/>
        <v>Tableau</v>
      </c>
    </row>
    <row r="325" spans="1:2">
      <c r="A325" s="29" t="s">
        <v>4</v>
      </c>
      <c r="B325" s="29" t="str">
        <f t="shared" si="5"/>
        <v>TensorFlow</v>
      </c>
    </row>
    <row r="326" spans="1:2">
      <c r="A326" s="29" t="s">
        <v>9</v>
      </c>
      <c r="B326" s="29" t="str">
        <f t="shared" si="5"/>
        <v>NumPy</v>
      </c>
    </row>
    <row r="327" spans="1:2">
      <c r="A327" s="29" t="s">
        <v>8</v>
      </c>
      <c r="B327" s="29" t="str">
        <f t="shared" si="5"/>
        <v>Excel</v>
      </c>
    </row>
    <row r="328" spans="1:2">
      <c r="A328" s="29" t="s">
        <v>12</v>
      </c>
      <c r="B328" s="29" t="str">
        <f t="shared" si="5"/>
        <v>SQL</v>
      </c>
    </row>
    <row r="329" spans="1:2">
      <c r="A329" s="29" t="s">
        <v>21</v>
      </c>
      <c r="B329" s="29" t="str">
        <f t="shared" si="5"/>
        <v>dbt</v>
      </c>
    </row>
    <row r="330" spans="1:2">
      <c r="A330" s="29" t="s">
        <v>24</v>
      </c>
      <c r="B330" s="29" t="str">
        <f t="shared" si="5"/>
        <v>Python</v>
      </c>
    </row>
    <row r="331" spans="1:2">
      <c r="A331" s="29" t="s">
        <v>3</v>
      </c>
      <c r="B331" s="29" t="str">
        <f t="shared" si="5"/>
        <v>Machine Learning</v>
      </c>
    </row>
    <row r="332" spans="1:2">
      <c r="A332" s="29" t="s">
        <v>12</v>
      </c>
      <c r="B332" s="29" t="str">
        <f t="shared" si="5"/>
        <v>SQL</v>
      </c>
    </row>
    <row r="333" spans="1:2">
      <c r="A333" s="29" t="s">
        <v>22</v>
      </c>
      <c r="B333" s="29" t="str">
        <f t="shared" si="5"/>
        <v>Snowflake</v>
      </c>
    </row>
    <row r="334" spans="1:2">
      <c r="A334" s="29" t="s">
        <v>4</v>
      </c>
      <c r="B334" s="29" t="str">
        <f t="shared" si="5"/>
        <v>TensorFlow</v>
      </c>
    </row>
    <row r="335" spans="1:2">
      <c r="A335" s="29" t="s">
        <v>22</v>
      </c>
      <c r="B335" s="29" t="str">
        <f t="shared" si="5"/>
        <v>Snowflake</v>
      </c>
    </row>
    <row r="336" spans="1:2">
      <c r="A336" s="29" t="s">
        <v>12</v>
      </c>
      <c r="B336" s="29" t="str">
        <f t="shared" si="5"/>
        <v>SQL</v>
      </c>
    </row>
    <row r="337" spans="1:2">
      <c r="A337" s="29" t="s">
        <v>11</v>
      </c>
      <c r="B337" s="29" t="str">
        <f t="shared" si="5"/>
        <v>Statistics</v>
      </c>
    </row>
    <row r="338" spans="1:2">
      <c r="A338" s="29" t="s">
        <v>8</v>
      </c>
      <c r="B338" s="29" t="str">
        <f t="shared" si="5"/>
        <v>Excel</v>
      </c>
    </row>
    <row r="339" spans="1:2">
      <c r="A339" s="29" t="s">
        <v>35</v>
      </c>
      <c r="B339" s="29" t="str">
        <f t="shared" si="5"/>
        <v>Pandas</v>
      </c>
    </row>
    <row r="340" spans="1:2">
      <c r="A340" s="29" t="s">
        <v>4</v>
      </c>
      <c r="B340" s="29" t="str">
        <f t="shared" si="5"/>
        <v>TensorFlow</v>
      </c>
    </row>
    <row r="341" spans="1:2">
      <c r="A341" s="29" t="s">
        <v>3</v>
      </c>
      <c r="B341" s="29" t="str">
        <f t="shared" si="5"/>
        <v>Machine Learning</v>
      </c>
    </row>
    <row r="342" spans="1:2">
      <c r="A342" s="29" t="s">
        <v>9</v>
      </c>
      <c r="B342" s="29" t="str">
        <f t="shared" si="5"/>
        <v>NumPy</v>
      </c>
    </row>
    <row r="343" spans="1:2">
      <c r="A343" s="29" t="s">
        <v>24</v>
      </c>
      <c r="B343" s="29" t="str">
        <f t="shared" si="5"/>
        <v>Python</v>
      </c>
    </row>
    <row r="344" spans="1:2">
      <c r="A344" s="29" t="s">
        <v>9</v>
      </c>
      <c r="B344" s="29" t="str">
        <f t="shared" si="5"/>
        <v>NumPy</v>
      </c>
    </row>
    <row r="345" spans="1:2">
      <c r="A345" s="29" t="s">
        <v>14</v>
      </c>
      <c r="B345" s="29" t="str">
        <f t="shared" si="5"/>
        <v>Tableau</v>
      </c>
    </row>
    <row r="346" spans="1:2">
      <c r="A346" s="29" t="s">
        <v>9</v>
      </c>
      <c r="B346" s="29" t="str">
        <f t="shared" si="5"/>
        <v>NumPy</v>
      </c>
    </row>
    <row r="347" spans="1:2">
      <c r="A347" s="29" t="s">
        <v>4</v>
      </c>
      <c r="B347" s="29" t="str">
        <f t="shared" si="5"/>
        <v>TensorFlow</v>
      </c>
    </row>
    <row r="348" spans="1:2">
      <c r="A348" s="29" t="s">
        <v>2</v>
      </c>
      <c r="B348" s="29" t="str">
        <f t="shared" si="5"/>
        <v>Azure</v>
      </c>
    </row>
    <row r="349" spans="1:2">
      <c r="A349" s="29" t="s">
        <v>17</v>
      </c>
      <c r="B349" s="29" t="str">
        <f t="shared" si="5"/>
        <v>DAX</v>
      </c>
    </row>
    <row r="350" spans="1:2">
      <c r="A350" s="29" t="s">
        <v>11</v>
      </c>
      <c r="B350" s="29" t="str">
        <f t="shared" si="5"/>
        <v>Statistics</v>
      </c>
    </row>
    <row r="351" spans="1:2">
      <c r="A351" s="29" t="s">
        <v>2</v>
      </c>
      <c r="B351" s="29" t="str">
        <f t="shared" si="5"/>
        <v>Azure</v>
      </c>
    </row>
    <row r="352" spans="1:2">
      <c r="A352" s="29" t="s">
        <v>21</v>
      </c>
      <c r="B352" s="29" t="str">
        <f t="shared" si="5"/>
        <v>dbt</v>
      </c>
    </row>
    <row r="353" spans="1:2">
      <c r="A353" s="29" t="s">
        <v>4</v>
      </c>
      <c r="B353" s="29" t="str">
        <f t="shared" si="5"/>
        <v>TensorFlow</v>
      </c>
    </row>
    <row r="354" spans="1:2">
      <c r="A354" s="29" t="s">
        <v>28</v>
      </c>
      <c r="B354" s="29" t="str">
        <f t="shared" si="5"/>
        <v>AWS</v>
      </c>
    </row>
    <row r="355" spans="1:2">
      <c r="A355" s="29" t="s">
        <v>15</v>
      </c>
      <c r="B355" s="29" t="str">
        <f t="shared" si="5"/>
        <v>ETL</v>
      </c>
    </row>
    <row r="356" spans="1:2">
      <c r="A356" s="29" t="s">
        <v>11</v>
      </c>
      <c r="B356" s="29" t="str">
        <f t="shared" si="5"/>
        <v>Statistics</v>
      </c>
    </row>
    <row r="357" spans="1:2">
      <c r="A357" s="29" t="s">
        <v>12</v>
      </c>
      <c r="B357" s="29" t="str">
        <f t="shared" si="5"/>
        <v>SQL</v>
      </c>
    </row>
    <row r="358" spans="1:2">
      <c r="A358" s="29" t="s">
        <v>6</v>
      </c>
      <c r="B358" s="29" t="str">
        <f t="shared" si="5"/>
        <v>R</v>
      </c>
    </row>
    <row r="359" spans="1:2">
      <c r="A359" s="29" t="s">
        <v>35</v>
      </c>
      <c r="B359" s="29" t="str">
        <f t="shared" si="5"/>
        <v>Pandas</v>
      </c>
    </row>
    <row r="360" spans="1:2">
      <c r="A360" s="29" t="s">
        <v>10</v>
      </c>
      <c r="B360" s="29" t="str">
        <f t="shared" si="5"/>
        <v>Git</v>
      </c>
    </row>
    <row r="361" spans="1:2">
      <c r="A361" s="29" t="s">
        <v>24</v>
      </c>
      <c r="B361" s="29" t="str">
        <f t="shared" si="5"/>
        <v>Python</v>
      </c>
    </row>
    <row r="362" spans="1:2">
      <c r="A362" s="29" t="s">
        <v>11</v>
      </c>
      <c r="B362" s="29" t="str">
        <f t="shared" si="5"/>
        <v>Statistics</v>
      </c>
    </row>
    <row r="363" spans="1:2">
      <c r="A363" s="29" t="s">
        <v>6</v>
      </c>
      <c r="B363" s="29" t="str">
        <f t="shared" si="5"/>
        <v>R</v>
      </c>
    </row>
    <row r="364" spans="1:2">
      <c r="A364" s="29" t="s">
        <v>4</v>
      </c>
      <c r="B364" s="29" t="str">
        <f t="shared" si="5"/>
        <v>TensorFlow</v>
      </c>
    </row>
    <row r="365" spans="1:2">
      <c r="A365" s="29" t="s">
        <v>14</v>
      </c>
      <c r="B365" s="29" t="str">
        <f t="shared" si="5"/>
        <v>Tableau</v>
      </c>
    </row>
    <row r="366" spans="1:2">
      <c r="A366" s="29" t="s">
        <v>28</v>
      </c>
      <c r="B366" s="29" t="str">
        <f t="shared" si="5"/>
        <v>AWS</v>
      </c>
    </row>
    <row r="367" spans="1:2">
      <c r="A367" s="29" t="s">
        <v>28</v>
      </c>
      <c r="B367" s="29" t="str">
        <f t="shared" si="5"/>
        <v>AWS</v>
      </c>
    </row>
    <row r="368" spans="1:2">
      <c r="A368" s="29" t="s">
        <v>15</v>
      </c>
      <c r="B368" s="29" t="str">
        <f t="shared" si="5"/>
        <v>ETL</v>
      </c>
    </row>
    <row r="369" spans="1:2">
      <c r="A369" s="29" t="s">
        <v>17</v>
      </c>
      <c r="B369" s="29" t="str">
        <f t="shared" si="5"/>
        <v>DAX</v>
      </c>
    </row>
    <row r="370" spans="1:2">
      <c r="A370" s="29" t="s">
        <v>12</v>
      </c>
      <c r="B370" s="29" t="str">
        <f t="shared" si="5"/>
        <v>SQL</v>
      </c>
    </row>
    <row r="371" spans="1:2">
      <c r="A371" s="29" t="s">
        <v>21</v>
      </c>
      <c r="B371" s="29" t="str">
        <f t="shared" si="5"/>
        <v>dbt</v>
      </c>
    </row>
    <row r="372" spans="1:2">
      <c r="A372" s="29" t="s">
        <v>35</v>
      </c>
      <c r="B372" s="29" t="str">
        <f t="shared" si="5"/>
        <v>Pandas</v>
      </c>
    </row>
    <row r="373" spans="1:2">
      <c r="A373" s="29" t="s">
        <v>4</v>
      </c>
      <c r="B373" s="29" t="str">
        <f t="shared" si="5"/>
        <v>TensorFlow</v>
      </c>
    </row>
    <row r="374" spans="1:2">
      <c r="A374" s="29" t="s">
        <v>3</v>
      </c>
      <c r="B374" s="29" t="str">
        <f t="shared" si="5"/>
        <v>Machine Learning</v>
      </c>
    </row>
    <row r="375" spans="1:2">
      <c r="A375" s="29" t="s">
        <v>35</v>
      </c>
      <c r="B375" s="29" t="str">
        <f t="shared" si="5"/>
        <v>Pandas</v>
      </c>
    </row>
    <row r="376" spans="1:2">
      <c r="A376" s="29" t="s">
        <v>22</v>
      </c>
      <c r="B376" s="29" t="str">
        <f t="shared" si="5"/>
        <v>Snowflake</v>
      </c>
    </row>
    <row r="377" spans="1:2">
      <c r="A377" s="29" t="s">
        <v>6</v>
      </c>
      <c r="B377" s="29" t="str">
        <f t="shared" si="5"/>
        <v>R</v>
      </c>
    </row>
    <row r="378" spans="1:2">
      <c r="A378" s="29" t="s">
        <v>23</v>
      </c>
      <c r="B378" s="29" t="str">
        <f t="shared" si="5"/>
        <v>Spark</v>
      </c>
    </row>
    <row r="379" spans="1:2">
      <c r="A379" s="29" t="s">
        <v>14</v>
      </c>
      <c r="B379" s="29" t="str">
        <f t="shared" si="5"/>
        <v>Tableau</v>
      </c>
    </row>
    <row r="380" spans="1:2">
      <c r="A380" s="29" t="s">
        <v>2</v>
      </c>
      <c r="B380" s="29" t="str">
        <f t="shared" si="5"/>
        <v>Azure</v>
      </c>
    </row>
    <row r="381" spans="1:2">
      <c r="A381" s="29" t="s">
        <v>28</v>
      </c>
      <c r="B381" s="29" t="str">
        <f t="shared" si="5"/>
        <v>AWS</v>
      </c>
    </row>
    <row r="382" spans="1:2">
      <c r="A382" s="29" t="s">
        <v>2</v>
      </c>
      <c r="B382" s="29" t="str">
        <f t="shared" si="5"/>
        <v>Azure</v>
      </c>
    </row>
    <row r="383" spans="1:2">
      <c r="A383" s="29" t="s">
        <v>23</v>
      </c>
      <c r="B383" s="29" t="str">
        <f t="shared" si="5"/>
        <v>Spark</v>
      </c>
    </row>
    <row r="384" spans="1:2">
      <c r="A384" s="29" t="s">
        <v>11</v>
      </c>
      <c r="B384" s="29" t="str">
        <f t="shared" si="5"/>
        <v>Statistics</v>
      </c>
    </row>
    <row r="385" spans="1:2">
      <c r="A385" s="29" t="s">
        <v>14</v>
      </c>
      <c r="B385" s="29" t="str">
        <f t="shared" si="5"/>
        <v>Tableau</v>
      </c>
    </row>
    <row r="386" spans="1:2">
      <c r="A386" s="29" t="s">
        <v>17</v>
      </c>
      <c r="B386" s="29" t="str">
        <f t="shared" si="5"/>
        <v>DAX</v>
      </c>
    </row>
    <row r="387" spans="1:2">
      <c r="A387" s="29" t="s">
        <v>35</v>
      </c>
      <c r="B387" s="29" t="str">
        <f t="shared" ref="B387:B450" si="6">TRIM(A387)</f>
        <v>Pandas</v>
      </c>
    </row>
    <row r="388" spans="1:2">
      <c r="A388" s="29" t="s">
        <v>12</v>
      </c>
      <c r="B388" s="29" t="str">
        <f t="shared" si="6"/>
        <v>SQL</v>
      </c>
    </row>
    <row r="389" spans="1:2">
      <c r="A389" s="29" t="s">
        <v>15</v>
      </c>
      <c r="B389" s="29" t="str">
        <f t="shared" si="6"/>
        <v>ETL</v>
      </c>
    </row>
    <row r="390" spans="1:2">
      <c r="A390" s="29" t="s">
        <v>22</v>
      </c>
      <c r="B390" s="29" t="str">
        <f t="shared" si="6"/>
        <v>Snowflake</v>
      </c>
    </row>
    <row r="391" spans="1:2">
      <c r="A391" s="29" t="s">
        <v>9</v>
      </c>
      <c r="B391" s="29" t="str">
        <f t="shared" si="6"/>
        <v>NumPy</v>
      </c>
    </row>
    <row r="392" spans="1:2">
      <c r="A392" s="29" t="s">
        <v>11</v>
      </c>
      <c r="B392" s="29" t="str">
        <f t="shared" si="6"/>
        <v>Statistics</v>
      </c>
    </row>
    <row r="393" spans="1:2">
      <c r="A393" s="29" t="s">
        <v>22</v>
      </c>
      <c r="B393" s="29" t="str">
        <f t="shared" si="6"/>
        <v>Snowflake</v>
      </c>
    </row>
    <row r="394" spans="1:2">
      <c r="A394" s="29" t="s">
        <v>28</v>
      </c>
      <c r="B394" s="29" t="str">
        <f t="shared" si="6"/>
        <v>AWS</v>
      </c>
    </row>
    <row r="395" spans="1:2">
      <c r="A395" s="29" t="s">
        <v>21</v>
      </c>
      <c r="B395" s="29" t="str">
        <f t="shared" si="6"/>
        <v>dbt</v>
      </c>
    </row>
    <row r="396" spans="1:2">
      <c r="A396" s="29" t="s">
        <v>12</v>
      </c>
      <c r="B396" s="29" t="str">
        <f t="shared" si="6"/>
        <v>SQL</v>
      </c>
    </row>
    <row r="397" spans="1:2">
      <c r="A397" s="29" t="s">
        <v>5</v>
      </c>
      <c r="B397" s="29" t="str">
        <f t="shared" si="6"/>
        <v>Looker</v>
      </c>
    </row>
    <row r="398" spans="1:2">
      <c r="A398" s="29" t="s">
        <v>9</v>
      </c>
      <c r="B398" s="29" t="str">
        <f t="shared" si="6"/>
        <v>NumPy</v>
      </c>
    </row>
    <row r="399" spans="1:2">
      <c r="A399" s="29" t="s">
        <v>10</v>
      </c>
      <c r="B399" s="29" t="str">
        <f t="shared" si="6"/>
        <v>Git</v>
      </c>
    </row>
    <row r="400" spans="1:2">
      <c r="A400" s="29" t="s">
        <v>4</v>
      </c>
      <c r="B400" s="29" t="str">
        <f t="shared" si="6"/>
        <v>TensorFlow</v>
      </c>
    </row>
    <row r="401" spans="1:2">
      <c r="A401" s="29" t="s">
        <v>24</v>
      </c>
      <c r="B401" s="29" t="str">
        <f t="shared" si="6"/>
        <v>Python</v>
      </c>
    </row>
    <row r="402" spans="1:2">
      <c r="A402" s="29" t="s">
        <v>14</v>
      </c>
      <c r="B402" s="29" t="str">
        <f t="shared" si="6"/>
        <v>Tableau</v>
      </c>
    </row>
    <row r="403" spans="1:2">
      <c r="A403" s="29" t="s">
        <v>17</v>
      </c>
      <c r="B403" s="29" t="str">
        <f t="shared" si="6"/>
        <v>DAX</v>
      </c>
    </row>
    <row r="404" spans="1:2">
      <c r="A404" s="29" t="s">
        <v>21</v>
      </c>
      <c r="B404" s="29" t="str">
        <f t="shared" si="6"/>
        <v>dbt</v>
      </c>
    </row>
    <row r="405" spans="1:2">
      <c r="A405" s="29" t="s">
        <v>12</v>
      </c>
      <c r="B405" s="29" t="str">
        <f t="shared" si="6"/>
        <v>SQL</v>
      </c>
    </row>
    <row r="406" spans="1:2">
      <c r="A406" s="29" t="s">
        <v>23</v>
      </c>
      <c r="B406" s="29" t="str">
        <f t="shared" si="6"/>
        <v>Spark</v>
      </c>
    </row>
    <row r="407" spans="1:2">
      <c r="A407" s="29" t="s">
        <v>28</v>
      </c>
      <c r="B407" s="29" t="str">
        <f t="shared" si="6"/>
        <v>AWS</v>
      </c>
    </row>
    <row r="408" spans="1:2">
      <c r="A408" s="29" t="s">
        <v>11</v>
      </c>
      <c r="B408" s="29" t="str">
        <f t="shared" si="6"/>
        <v>Statistics</v>
      </c>
    </row>
    <row r="409" spans="1:2">
      <c r="A409" s="29" t="s">
        <v>4</v>
      </c>
      <c r="B409" s="29" t="str">
        <f t="shared" si="6"/>
        <v>TensorFlow</v>
      </c>
    </row>
    <row r="410" spans="1:2">
      <c r="A410" s="29" t="s">
        <v>5</v>
      </c>
      <c r="B410" s="29" t="str">
        <f t="shared" si="6"/>
        <v>Looker</v>
      </c>
    </row>
    <row r="411" spans="1:2">
      <c r="A411" s="29" t="s">
        <v>18</v>
      </c>
      <c r="B411" s="29" t="str">
        <f t="shared" si="6"/>
        <v>Power BI</v>
      </c>
    </row>
    <row r="412" spans="1:2">
      <c r="A412" s="29" t="s">
        <v>15</v>
      </c>
      <c r="B412" s="29" t="str">
        <f t="shared" si="6"/>
        <v>ETL</v>
      </c>
    </row>
    <row r="413" spans="1:2">
      <c r="A413" s="29" t="s">
        <v>3</v>
      </c>
      <c r="B413" s="29" t="str">
        <f t="shared" si="6"/>
        <v>Machine Learning</v>
      </c>
    </row>
    <row r="414" spans="1:2">
      <c r="A414" s="29" t="s">
        <v>10</v>
      </c>
      <c r="B414" s="29" t="str">
        <f t="shared" si="6"/>
        <v>Git</v>
      </c>
    </row>
    <row r="415" spans="1:2">
      <c r="A415" s="29" t="s">
        <v>4</v>
      </c>
      <c r="B415" s="29" t="str">
        <f t="shared" si="6"/>
        <v>TensorFlow</v>
      </c>
    </row>
    <row r="416" spans="1:2">
      <c r="A416" s="29" t="s">
        <v>24</v>
      </c>
      <c r="B416" s="29" t="str">
        <f t="shared" si="6"/>
        <v>Python</v>
      </c>
    </row>
    <row r="417" spans="1:2">
      <c r="A417" s="29" t="s">
        <v>2</v>
      </c>
      <c r="B417" s="29" t="str">
        <f t="shared" si="6"/>
        <v>Azure</v>
      </c>
    </row>
    <row r="418" spans="1:2">
      <c r="A418" s="29" t="s">
        <v>5</v>
      </c>
      <c r="B418" s="29" t="str">
        <f t="shared" si="6"/>
        <v>Looker</v>
      </c>
    </row>
    <row r="419" spans="1:2">
      <c r="A419" s="29" t="s">
        <v>14</v>
      </c>
      <c r="B419" s="29" t="str">
        <f t="shared" si="6"/>
        <v>Tableau</v>
      </c>
    </row>
    <row r="420" spans="1:2">
      <c r="A420" s="29" t="s">
        <v>23</v>
      </c>
      <c r="B420" s="29" t="str">
        <f t="shared" si="6"/>
        <v>Spark</v>
      </c>
    </row>
    <row r="421" spans="1:2">
      <c r="A421" s="29" t="s">
        <v>21</v>
      </c>
      <c r="B421" s="29" t="str">
        <f t="shared" si="6"/>
        <v>dbt</v>
      </c>
    </row>
    <row r="422" spans="1:2">
      <c r="A422" s="29" t="s">
        <v>10</v>
      </c>
      <c r="B422" s="29" t="str">
        <f t="shared" si="6"/>
        <v>Git</v>
      </c>
    </row>
    <row r="423" spans="1:2">
      <c r="A423" s="29" t="s">
        <v>5</v>
      </c>
      <c r="B423" s="29" t="str">
        <f t="shared" si="6"/>
        <v>Looker</v>
      </c>
    </row>
    <row r="424" spans="1:2">
      <c r="A424" s="29" t="s">
        <v>11</v>
      </c>
      <c r="B424" s="29" t="str">
        <f t="shared" si="6"/>
        <v>Statistics</v>
      </c>
    </row>
    <row r="425" spans="1:2">
      <c r="A425" s="29" t="s">
        <v>17</v>
      </c>
      <c r="B425" s="29" t="str">
        <f t="shared" si="6"/>
        <v>DAX</v>
      </c>
    </row>
    <row r="426" spans="1:2">
      <c r="A426" s="29" t="s">
        <v>24</v>
      </c>
      <c r="B426" s="29" t="str">
        <f t="shared" si="6"/>
        <v>Python</v>
      </c>
    </row>
    <row r="427" spans="1:2">
      <c r="A427" s="29" t="s">
        <v>6</v>
      </c>
      <c r="B427" s="29" t="str">
        <f t="shared" si="6"/>
        <v>R</v>
      </c>
    </row>
    <row r="428" spans="1:2">
      <c r="A428" s="29" t="s">
        <v>6</v>
      </c>
      <c r="B428" s="29" t="str">
        <f t="shared" si="6"/>
        <v>R</v>
      </c>
    </row>
    <row r="429" spans="1:2">
      <c r="A429" s="29" t="s">
        <v>3</v>
      </c>
      <c r="B429" s="29" t="str">
        <f t="shared" si="6"/>
        <v>Machine Learning</v>
      </c>
    </row>
    <row r="430" spans="1:2">
      <c r="A430" s="29" t="s">
        <v>2</v>
      </c>
      <c r="B430" s="29" t="str">
        <f t="shared" si="6"/>
        <v>Azure</v>
      </c>
    </row>
    <row r="431" spans="1:2">
      <c r="A431" s="29" t="s">
        <v>18</v>
      </c>
      <c r="B431" s="29" t="str">
        <f t="shared" si="6"/>
        <v>Power BI</v>
      </c>
    </row>
    <row r="432" spans="1:2">
      <c r="A432" s="29" t="s">
        <v>21</v>
      </c>
      <c r="B432" s="29" t="str">
        <f t="shared" si="6"/>
        <v>dbt</v>
      </c>
    </row>
    <row r="433" spans="1:2">
      <c r="A433" s="29" t="s">
        <v>5</v>
      </c>
      <c r="B433" s="29" t="str">
        <f t="shared" si="6"/>
        <v>Looker</v>
      </c>
    </row>
    <row r="434" spans="1:2">
      <c r="A434" s="29" t="s">
        <v>22</v>
      </c>
      <c r="B434" s="29" t="str">
        <f t="shared" si="6"/>
        <v>Snowflake</v>
      </c>
    </row>
    <row r="435" spans="1:2">
      <c r="A435" s="29" t="s">
        <v>17</v>
      </c>
      <c r="B435" s="29" t="str">
        <f t="shared" si="6"/>
        <v>DAX</v>
      </c>
    </row>
    <row r="436" spans="1:2">
      <c r="A436" s="29" t="s">
        <v>9</v>
      </c>
      <c r="B436" s="29" t="str">
        <f t="shared" si="6"/>
        <v>NumPy</v>
      </c>
    </row>
    <row r="437" spans="1:2">
      <c r="A437" s="29" t="s">
        <v>2</v>
      </c>
      <c r="B437" s="29" t="str">
        <f t="shared" si="6"/>
        <v>Azure</v>
      </c>
    </row>
    <row r="438" spans="1:2">
      <c r="A438" s="29" t="s">
        <v>23</v>
      </c>
      <c r="B438" s="29" t="str">
        <f t="shared" si="6"/>
        <v>Spark</v>
      </c>
    </row>
    <row r="439" spans="1:2">
      <c r="A439" s="29" t="s">
        <v>5</v>
      </c>
      <c r="B439" s="29" t="str">
        <f t="shared" si="6"/>
        <v>Looker</v>
      </c>
    </row>
    <row r="440" spans="1:2">
      <c r="A440" s="29" t="s">
        <v>8</v>
      </c>
      <c r="B440" s="29" t="str">
        <f t="shared" si="6"/>
        <v>Excel</v>
      </c>
    </row>
    <row r="441" spans="1:2">
      <c r="A441" s="29" t="s">
        <v>6</v>
      </c>
      <c r="B441" s="29" t="str">
        <f t="shared" si="6"/>
        <v>R</v>
      </c>
    </row>
    <row r="442" spans="1:2">
      <c r="A442" s="29" t="s">
        <v>15</v>
      </c>
      <c r="B442" s="29" t="str">
        <f t="shared" si="6"/>
        <v>ETL</v>
      </c>
    </row>
    <row r="443" spans="1:2">
      <c r="A443" s="29" t="s">
        <v>6</v>
      </c>
      <c r="B443" s="29" t="str">
        <f t="shared" si="6"/>
        <v>R</v>
      </c>
    </row>
    <row r="444" spans="1:2">
      <c r="A444" s="29" t="s">
        <v>8</v>
      </c>
      <c r="B444" s="29" t="str">
        <f t="shared" si="6"/>
        <v>Excel</v>
      </c>
    </row>
    <row r="445" spans="1:2">
      <c r="A445" s="29" t="s">
        <v>28</v>
      </c>
      <c r="B445" s="29" t="str">
        <f t="shared" si="6"/>
        <v>AWS</v>
      </c>
    </row>
    <row r="446" spans="1:2">
      <c r="A446" s="29" t="s">
        <v>14</v>
      </c>
      <c r="B446" s="29" t="str">
        <f t="shared" si="6"/>
        <v>Tableau</v>
      </c>
    </row>
    <row r="447" spans="1:2">
      <c r="A447" s="29" t="s">
        <v>23</v>
      </c>
      <c r="B447" s="29" t="str">
        <f t="shared" si="6"/>
        <v>Spark</v>
      </c>
    </row>
    <row r="448" spans="1:2">
      <c r="A448" s="29" t="s">
        <v>5</v>
      </c>
      <c r="B448" s="29" t="str">
        <f t="shared" si="6"/>
        <v>Looker</v>
      </c>
    </row>
    <row r="449" spans="1:2">
      <c r="A449" s="29" t="s">
        <v>9</v>
      </c>
      <c r="B449" s="29" t="str">
        <f t="shared" si="6"/>
        <v>NumPy</v>
      </c>
    </row>
    <row r="450" spans="1:2">
      <c r="A450" s="29" t="s">
        <v>4</v>
      </c>
      <c r="B450" s="29" t="str">
        <f t="shared" si="6"/>
        <v>TensorFlow</v>
      </c>
    </row>
    <row r="451" spans="1:2">
      <c r="A451" s="29" t="s">
        <v>22</v>
      </c>
      <c r="B451" s="29" t="str">
        <f t="shared" ref="B451:B456" si="7">TRIM(A451)</f>
        <v>Snowflake</v>
      </c>
    </row>
    <row r="452" spans="1:2">
      <c r="A452" s="29" t="s">
        <v>4</v>
      </c>
      <c r="B452" s="29" t="str">
        <f t="shared" si="7"/>
        <v>TensorFlow</v>
      </c>
    </row>
    <row r="453" spans="1:2">
      <c r="A453" s="29" t="s">
        <v>10</v>
      </c>
      <c r="B453" s="29" t="str">
        <f t="shared" si="7"/>
        <v>Git</v>
      </c>
    </row>
    <row r="454" spans="1:2">
      <c r="A454" s="29" t="s">
        <v>10</v>
      </c>
      <c r="B454" s="29" t="str">
        <f t="shared" si="7"/>
        <v>Git</v>
      </c>
    </row>
    <row r="455" spans="1:2">
      <c r="A455" s="29" t="s">
        <v>15</v>
      </c>
      <c r="B455" s="29" t="str">
        <f t="shared" si="7"/>
        <v>ETL</v>
      </c>
    </row>
    <row r="456" spans="1:2">
      <c r="A456" s="29" t="s">
        <v>5</v>
      </c>
      <c r="B456" s="29" t="str">
        <f t="shared" si="7"/>
        <v>Looker</v>
      </c>
    </row>
    <row r="457" spans="1:2">
      <c r="A457" s="29"/>
      <c r="B457" s="29" t="str">
        <f t="shared" ref="B457:B520" si="8">TRIM(A457)</f>
        <v/>
      </c>
    </row>
    <row r="458" spans="1:2">
      <c r="A458" s="29" t="s">
        <v>23</v>
      </c>
      <c r="B458" s="29" t="str">
        <f t="shared" si="8"/>
        <v>Spark</v>
      </c>
    </row>
    <row r="459" spans="1:2">
      <c r="A459" s="29" t="s">
        <v>2</v>
      </c>
      <c r="B459" s="29" t="str">
        <f t="shared" si="8"/>
        <v>Azure</v>
      </c>
    </row>
    <row r="460" spans="1:2">
      <c r="A460" s="29" t="s">
        <v>17</v>
      </c>
      <c r="B460" s="29" t="str">
        <f t="shared" si="8"/>
        <v>DAX</v>
      </c>
    </row>
    <row r="461" spans="1:2">
      <c r="A461" s="29" t="s">
        <v>22</v>
      </c>
      <c r="B461" s="29" t="str">
        <f t="shared" si="8"/>
        <v>Snowflake</v>
      </c>
    </row>
    <row r="462" spans="1:2">
      <c r="A462" s="29" t="s">
        <v>28</v>
      </c>
      <c r="B462" s="29" t="str">
        <f t="shared" si="8"/>
        <v>AWS</v>
      </c>
    </row>
    <row r="463" spans="1:2">
      <c r="A463" s="29" t="s">
        <v>3</v>
      </c>
      <c r="B463" s="29" t="str">
        <f t="shared" si="8"/>
        <v>Machine Learning</v>
      </c>
    </row>
    <row r="464" spans="1:2">
      <c r="A464" s="29" t="s">
        <v>15</v>
      </c>
      <c r="B464" s="29" t="str">
        <f t="shared" si="8"/>
        <v>ETL</v>
      </c>
    </row>
    <row r="465" spans="1:2">
      <c r="A465" s="29" t="s">
        <v>12</v>
      </c>
      <c r="B465" s="29" t="str">
        <f t="shared" si="8"/>
        <v>SQL</v>
      </c>
    </row>
    <row r="466" spans="1:2">
      <c r="A466" s="29"/>
      <c r="B466" s="29" t="str">
        <f t="shared" si="8"/>
        <v/>
      </c>
    </row>
    <row r="467" spans="1:2">
      <c r="A467" s="29"/>
      <c r="B467" s="29" t="str">
        <f t="shared" si="8"/>
        <v/>
      </c>
    </row>
    <row r="468" spans="1:2">
      <c r="A468" s="29" t="s">
        <v>15</v>
      </c>
      <c r="B468" s="29" t="str">
        <f t="shared" si="8"/>
        <v>ETL</v>
      </c>
    </row>
    <row r="469" spans="1:2">
      <c r="A469" s="29" t="s">
        <v>2</v>
      </c>
      <c r="B469" s="29" t="str">
        <f t="shared" si="8"/>
        <v>Azure</v>
      </c>
    </row>
    <row r="470" spans="1:2">
      <c r="A470" s="29" t="s">
        <v>11</v>
      </c>
      <c r="B470" s="29" t="str">
        <f t="shared" si="8"/>
        <v>Statistics</v>
      </c>
    </row>
    <row r="471" spans="1:2">
      <c r="A471" s="29" t="s">
        <v>3</v>
      </c>
      <c r="B471" s="29" t="str">
        <f t="shared" si="8"/>
        <v>Machine Learning</v>
      </c>
    </row>
    <row r="472" spans="1:2">
      <c r="A472" s="29" t="s">
        <v>18</v>
      </c>
      <c r="B472" s="29" t="str">
        <f t="shared" si="8"/>
        <v>Power BI</v>
      </c>
    </row>
    <row r="473" spans="1:2">
      <c r="A473" s="29" t="s">
        <v>3</v>
      </c>
      <c r="B473" s="29" t="str">
        <f t="shared" si="8"/>
        <v>Machine Learning</v>
      </c>
    </row>
    <row r="474" spans="1:2">
      <c r="A474" s="29" t="s">
        <v>17</v>
      </c>
      <c r="B474" s="29" t="str">
        <f t="shared" si="8"/>
        <v>DAX</v>
      </c>
    </row>
    <row r="475" spans="1:2">
      <c r="A475" s="29" t="s">
        <v>15</v>
      </c>
      <c r="B475" s="29" t="str">
        <f t="shared" si="8"/>
        <v>ETL</v>
      </c>
    </row>
    <row r="476" spans="1:2">
      <c r="A476" s="29" t="s">
        <v>15</v>
      </c>
      <c r="B476" s="29" t="str">
        <f t="shared" si="8"/>
        <v>ETL</v>
      </c>
    </row>
    <row r="477" spans="1:2">
      <c r="A477" s="29" t="s">
        <v>5</v>
      </c>
      <c r="B477" s="29" t="str">
        <f t="shared" si="8"/>
        <v>Looker</v>
      </c>
    </row>
    <row r="478" spans="1:2">
      <c r="A478" s="29" t="s">
        <v>6</v>
      </c>
      <c r="B478" s="29" t="str">
        <f t="shared" si="8"/>
        <v>R</v>
      </c>
    </row>
    <row r="479" spans="1:2">
      <c r="A479" s="29" t="s">
        <v>9</v>
      </c>
      <c r="B479" s="29" t="str">
        <f t="shared" si="8"/>
        <v>NumPy</v>
      </c>
    </row>
    <row r="480" spans="1:2">
      <c r="A480" s="29" t="s">
        <v>23</v>
      </c>
      <c r="B480" s="29" t="str">
        <f t="shared" si="8"/>
        <v>Spark</v>
      </c>
    </row>
    <row r="481" spans="1:2">
      <c r="A481" s="29" t="s">
        <v>14</v>
      </c>
      <c r="B481" s="29" t="str">
        <f t="shared" si="8"/>
        <v>Tableau</v>
      </c>
    </row>
    <row r="482" spans="1:2">
      <c r="A482" s="29" t="s">
        <v>14</v>
      </c>
      <c r="B482" s="29" t="str">
        <f t="shared" si="8"/>
        <v>Tableau</v>
      </c>
    </row>
    <row r="483" spans="1:2">
      <c r="A483" s="29"/>
      <c r="B483" s="29" t="str">
        <f t="shared" si="8"/>
        <v/>
      </c>
    </row>
    <row r="484" spans="1:2">
      <c r="A484" s="29" t="s">
        <v>10</v>
      </c>
      <c r="B484" s="29" t="str">
        <f t="shared" si="8"/>
        <v>Git</v>
      </c>
    </row>
    <row r="485" spans="1:2">
      <c r="A485" s="29" t="s">
        <v>18</v>
      </c>
      <c r="B485" s="29" t="str">
        <f t="shared" si="8"/>
        <v>Power BI</v>
      </c>
    </row>
    <row r="486" spans="1:2">
      <c r="A486" s="29" t="s">
        <v>11</v>
      </c>
      <c r="B486" s="29" t="str">
        <f t="shared" si="8"/>
        <v>Statistics</v>
      </c>
    </row>
    <row r="487" spans="1:2">
      <c r="A487" s="29" t="s">
        <v>6</v>
      </c>
      <c r="B487" s="29" t="str">
        <f t="shared" si="8"/>
        <v>R</v>
      </c>
    </row>
    <row r="488" spans="1:2">
      <c r="A488" s="29" t="s">
        <v>35</v>
      </c>
      <c r="B488" s="29" t="str">
        <f t="shared" si="8"/>
        <v>Pandas</v>
      </c>
    </row>
    <row r="489" spans="1:2">
      <c r="A489" s="29" t="s">
        <v>12</v>
      </c>
      <c r="B489" s="29" t="str">
        <f t="shared" si="8"/>
        <v>SQL</v>
      </c>
    </row>
    <row r="490" spans="1:2">
      <c r="A490" s="29" t="s">
        <v>17</v>
      </c>
      <c r="B490" s="29" t="str">
        <f t="shared" si="8"/>
        <v>DAX</v>
      </c>
    </row>
    <row r="491" spans="1:2">
      <c r="A491" s="29" t="s">
        <v>5</v>
      </c>
      <c r="B491" s="29" t="str">
        <f t="shared" si="8"/>
        <v>Looker</v>
      </c>
    </row>
    <row r="492" spans="1:2">
      <c r="A492" s="29" t="s">
        <v>17</v>
      </c>
      <c r="B492" s="29" t="str">
        <f t="shared" si="8"/>
        <v>DAX</v>
      </c>
    </row>
    <row r="493" spans="1:2">
      <c r="A493" s="29" t="s">
        <v>8</v>
      </c>
      <c r="B493" s="29" t="str">
        <f t="shared" si="8"/>
        <v>Excel</v>
      </c>
    </row>
    <row r="494" spans="1:2">
      <c r="A494" s="29" t="s">
        <v>2</v>
      </c>
      <c r="B494" s="29" t="str">
        <f t="shared" si="8"/>
        <v>Azure</v>
      </c>
    </row>
    <row r="495" spans="1:2">
      <c r="A495" s="29" t="s">
        <v>8</v>
      </c>
      <c r="B495" s="29" t="str">
        <f t="shared" si="8"/>
        <v>Excel</v>
      </c>
    </row>
    <row r="496" spans="1:2">
      <c r="A496" s="29" t="s">
        <v>8</v>
      </c>
      <c r="B496" s="29" t="str">
        <f t="shared" si="8"/>
        <v>Excel</v>
      </c>
    </row>
    <row r="497" spans="1:2">
      <c r="A497" s="29" t="s">
        <v>3</v>
      </c>
      <c r="B497" s="29" t="str">
        <f t="shared" si="8"/>
        <v>Machine Learning</v>
      </c>
    </row>
    <row r="498" spans="1:2">
      <c r="A498" s="29" t="s">
        <v>12</v>
      </c>
      <c r="B498" s="29" t="str">
        <f t="shared" si="8"/>
        <v>SQL</v>
      </c>
    </row>
    <row r="499" spans="1:2">
      <c r="A499" s="29" t="s">
        <v>10</v>
      </c>
      <c r="B499" s="29" t="str">
        <f t="shared" si="8"/>
        <v>Git</v>
      </c>
    </row>
    <row r="500" spans="1:2">
      <c r="A500" s="29" t="s">
        <v>4</v>
      </c>
      <c r="B500" s="29" t="str">
        <f t="shared" si="8"/>
        <v>TensorFlow</v>
      </c>
    </row>
    <row r="501" spans="1:2">
      <c r="A501" s="29" t="s">
        <v>21</v>
      </c>
      <c r="B501" s="29" t="str">
        <f t="shared" si="8"/>
        <v>dbt</v>
      </c>
    </row>
    <row r="502" spans="1:2">
      <c r="A502" s="29" t="s">
        <v>17</v>
      </c>
      <c r="B502" s="29" t="str">
        <f t="shared" si="8"/>
        <v>DAX</v>
      </c>
    </row>
    <row r="503" spans="1:2">
      <c r="A503" s="29"/>
      <c r="B503" s="29" t="str">
        <f t="shared" si="8"/>
        <v/>
      </c>
    </row>
    <row r="504" spans="1:2">
      <c r="A504" s="29" t="s">
        <v>6</v>
      </c>
      <c r="B504" s="29" t="str">
        <f t="shared" si="8"/>
        <v>R</v>
      </c>
    </row>
    <row r="505" spans="1:2">
      <c r="A505" s="29" t="s">
        <v>8</v>
      </c>
      <c r="B505" s="29" t="str">
        <f t="shared" si="8"/>
        <v>Excel</v>
      </c>
    </row>
    <row r="506" spans="1:2">
      <c r="A506" s="29" t="s">
        <v>28</v>
      </c>
      <c r="B506" s="29" t="str">
        <f t="shared" si="8"/>
        <v>AWS</v>
      </c>
    </row>
    <row r="507" spans="1:2">
      <c r="A507" s="29" t="s">
        <v>23</v>
      </c>
      <c r="B507" s="29" t="str">
        <f t="shared" si="8"/>
        <v>Spark</v>
      </c>
    </row>
    <row r="508" spans="1:2">
      <c r="A508" s="29"/>
      <c r="B508" s="29" t="str">
        <f t="shared" si="8"/>
        <v/>
      </c>
    </row>
    <row r="509" spans="1:2">
      <c r="A509" s="29" t="s">
        <v>15</v>
      </c>
      <c r="B509" s="29" t="str">
        <f t="shared" si="8"/>
        <v>ETL</v>
      </c>
    </row>
    <row r="510" spans="1:2">
      <c r="A510" s="29" t="s">
        <v>21</v>
      </c>
      <c r="B510" s="29" t="str">
        <f t="shared" si="8"/>
        <v>dbt</v>
      </c>
    </row>
    <row r="511" spans="1:2">
      <c r="A511" s="29" t="s">
        <v>9</v>
      </c>
      <c r="B511" s="29" t="str">
        <f t="shared" si="8"/>
        <v>NumPy</v>
      </c>
    </row>
    <row r="512" spans="1:2">
      <c r="A512" s="29" t="s">
        <v>10</v>
      </c>
      <c r="B512" s="29" t="str">
        <f t="shared" si="8"/>
        <v>Git</v>
      </c>
    </row>
    <row r="513" spans="1:2">
      <c r="A513" s="29" t="s">
        <v>15</v>
      </c>
      <c r="B513" s="29" t="str">
        <f t="shared" si="8"/>
        <v>ETL</v>
      </c>
    </row>
    <row r="514" spans="1:2">
      <c r="A514" s="29" t="s">
        <v>23</v>
      </c>
      <c r="B514" s="29" t="str">
        <f t="shared" si="8"/>
        <v>Spark</v>
      </c>
    </row>
    <row r="515" spans="1:2">
      <c r="A515" s="29" t="s">
        <v>22</v>
      </c>
      <c r="B515" s="29" t="str">
        <f t="shared" si="8"/>
        <v>Snowflake</v>
      </c>
    </row>
    <row r="516" spans="1:2">
      <c r="A516" s="29" t="s">
        <v>4</v>
      </c>
      <c r="B516" s="29" t="str">
        <f t="shared" si="8"/>
        <v>TensorFlow</v>
      </c>
    </row>
    <row r="517" spans="1:2">
      <c r="A517" s="29" t="s">
        <v>14</v>
      </c>
      <c r="B517" s="29" t="str">
        <f t="shared" si="8"/>
        <v>Tableau</v>
      </c>
    </row>
    <row r="518" spans="1:2">
      <c r="A518" s="29" t="s">
        <v>14</v>
      </c>
      <c r="B518" s="29" t="str">
        <f t="shared" si="8"/>
        <v>Tableau</v>
      </c>
    </row>
    <row r="519" spans="1:2">
      <c r="A519" s="29" t="s">
        <v>23</v>
      </c>
      <c r="B519" s="29" t="str">
        <f t="shared" si="8"/>
        <v>Spark</v>
      </c>
    </row>
    <row r="520" spans="1:2">
      <c r="A520" s="29" t="s">
        <v>5</v>
      </c>
      <c r="B520" s="29" t="str">
        <f t="shared" si="8"/>
        <v>Looker</v>
      </c>
    </row>
    <row r="521" spans="1:2">
      <c r="A521" s="29" t="s">
        <v>18</v>
      </c>
      <c r="B521" s="29" t="str">
        <f t="shared" ref="B521:B584" si="9">TRIM(A521)</f>
        <v>Power BI</v>
      </c>
    </row>
    <row r="522" spans="1:2">
      <c r="A522" s="29" t="s">
        <v>6</v>
      </c>
      <c r="B522" s="29" t="str">
        <f t="shared" si="9"/>
        <v>R</v>
      </c>
    </row>
    <row r="523" spans="1:2">
      <c r="A523" s="29" t="s">
        <v>35</v>
      </c>
      <c r="B523" s="29" t="str">
        <f t="shared" si="9"/>
        <v>Pandas</v>
      </c>
    </row>
    <row r="524" spans="1:2">
      <c r="A524" s="29" t="s">
        <v>8</v>
      </c>
      <c r="B524" s="29" t="str">
        <f t="shared" si="9"/>
        <v>Excel</v>
      </c>
    </row>
    <row r="525" spans="1:2">
      <c r="A525" s="29" t="s">
        <v>12</v>
      </c>
      <c r="B525" s="29" t="str">
        <f t="shared" si="9"/>
        <v>SQL</v>
      </c>
    </row>
    <row r="526" spans="1:2">
      <c r="A526" s="29" t="s">
        <v>23</v>
      </c>
      <c r="B526" s="29" t="str">
        <f t="shared" si="9"/>
        <v>Spark</v>
      </c>
    </row>
    <row r="527" spans="1:2">
      <c r="A527" s="29" t="s">
        <v>22</v>
      </c>
      <c r="B527" s="29" t="str">
        <f t="shared" si="9"/>
        <v>Snowflake</v>
      </c>
    </row>
    <row r="528" spans="1:2">
      <c r="A528" s="29" t="s">
        <v>10</v>
      </c>
      <c r="B528" s="29" t="str">
        <f t="shared" si="9"/>
        <v>Git</v>
      </c>
    </row>
    <row r="529" spans="1:2">
      <c r="A529" s="29" t="s">
        <v>17</v>
      </c>
      <c r="B529" s="29" t="str">
        <f t="shared" si="9"/>
        <v>DAX</v>
      </c>
    </row>
    <row r="530" spans="1:2">
      <c r="A530" s="29" t="s">
        <v>23</v>
      </c>
      <c r="B530" s="29" t="str">
        <f t="shared" si="9"/>
        <v>Spark</v>
      </c>
    </row>
    <row r="531" spans="1:2">
      <c r="A531" s="29" t="s">
        <v>9</v>
      </c>
      <c r="B531" s="29" t="str">
        <f t="shared" si="9"/>
        <v>NumPy</v>
      </c>
    </row>
    <row r="532" spans="1:2">
      <c r="A532" s="29" t="s">
        <v>28</v>
      </c>
      <c r="B532" s="29" t="str">
        <f t="shared" si="9"/>
        <v>AWS</v>
      </c>
    </row>
    <row r="533" spans="1:2">
      <c r="A533" s="29" t="s">
        <v>6</v>
      </c>
      <c r="B533" s="29" t="str">
        <f t="shared" si="9"/>
        <v>R</v>
      </c>
    </row>
    <row r="534" spans="1:2">
      <c r="A534" s="29" t="s">
        <v>24</v>
      </c>
      <c r="B534" s="29" t="str">
        <f t="shared" si="9"/>
        <v>Python</v>
      </c>
    </row>
    <row r="535" spans="1:2">
      <c r="A535" s="29" t="s">
        <v>18</v>
      </c>
      <c r="B535" s="29" t="str">
        <f t="shared" si="9"/>
        <v>Power BI</v>
      </c>
    </row>
    <row r="536" spans="1:2">
      <c r="A536" s="29"/>
      <c r="B536" s="29" t="str">
        <f t="shared" si="9"/>
        <v/>
      </c>
    </row>
    <row r="537" spans="1:2">
      <c r="A537" s="29"/>
      <c r="B537" s="29" t="str">
        <f t="shared" si="9"/>
        <v/>
      </c>
    </row>
    <row r="538" spans="1:2">
      <c r="A538" s="29" t="s">
        <v>14</v>
      </c>
      <c r="B538" s="29" t="str">
        <f t="shared" si="9"/>
        <v>Tableau</v>
      </c>
    </row>
    <row r="539" spans="1:2">
      <c r="A539" s="29" t="s">
        <v>12</v>
      </c>
      <c r="B539" s="29" t="str">
        <f t="shared" si="9"/>
        <v>SQL</v>
      </c>
    </row>
    <row r="540" spans="1:2">
      <c r="A540" s="29"/>
      <c r="B540" s="29" t="str">
        <f t="shared" si="9"/>
        <v/>
      </c>
    </row>
    <row r="541" spans="1:2">
      <c r="A541" s="29" t="s">
        <v>2</v>
      </c>
      <c r="B541" s="29" t="str">
        <f t="shared" si="9"/>
        <v>Azure</v>
      </c>
    </row>
    <row r="542" spans="1:2">
      <c r="A542" s="29" t="s">
        <v>28</v>
      </c>
      <c r="B542" s="29" t="str">
        <f t="shared" si="9"/>
        <v>AWS</v>
      </c>
    </row>
    <row r="543" spans="1:2">
      <c r="A543" s="29" t="s">
        <v>35</v>
      </c>
      <c r="B543" s="29" t="str">
        <f t="shared" si="9"/>
        <v>Pandas</v>
      </c>
    </row>
    <row r="544" spans="1:2">
      <c r="A544" s="29" t="s">
        <v>6</v>
      </c>
      <c r="B544" s="29" t="str">
        <f t="shared" si="9"/>
        <v>R</v>
      </c>
    </row>
    <row r="545" spans="1:2">
      <c r="A545" s="29" t="s">
        <v>28</v>
      </c>
      <c r="B545" s="29" t="str">
        <f t="shared" si="9"/>
        <v>AWS</v>
      </c>
    </row>
    <row r="546" spans="1:2">
      <c r="A546" s="29" t="s">
        <v>35</v>
      </c>
      <c r="B546" s="29" t="str">
        <f t="shared" si="9"/>
        <v>Pandas</v>
      </c>
    </row>
    <row r="547" spans="1:2">
      <c r="A547" s="29"/>
      <c r="B547" s="29" t="str">
        <f t="shared" si="9"/>
        <v/>
      </c>
    </row>
    <row r="548" spans="1:2">
      <c r="A548" s="29" t="s">
        <v>3</v>
      </c>
      <c r="B548" s="29" t="str">
        <f t="shared" si="9"/>
        <v>Machine Learning</v>
      </c>
    </row>
    <row r="549" spans="1:2">
      <c r="A549" s="29"/>
      <c r="B549" s="29" t="str">
        <f t="shared" si="9"/>
        <v/>
      </c>
    </row>
    <row r="550" spans="1:2">
      <c r="A550" s="29" t="s">
        <v>12</v>
      </c>
      <c r="B550" s="29" t="str">
        <f t="shared" si="9"/>
        <v>SQL</v>
      </c>
    </row>
    <row r="551" spans="1:2">
      <c r="A551" s="29" t="s">
        <v>22</v>
      </c>
      <c r="B551" s="29" t="str">
        <f t="shared" si="9"/>
        <v>Snowflake</v>
      </c>
    </row>
    <row r="552" spans="1:2">
      <c r="A552" s="29" t="s">
        <v>10</v>
      </c>
      <c r="B552" s="29" t="str">
        <f t="shared" si="9"/>
        <v>Git</v>
      </c>
    </row>
    <row r="553" spans="1:2">
      <c r="A553" s="29" t="s">
        <v>12</v>
      </c>
      <c r="B553" s="29" t="str">
        <f t="shared" si="9"/>
        <v>SQL</v>
      </c>
    </row>
    <row r="554" spans="1:2">
      <c r="A554" s="29" t="s">
        <v>8</v>
      </c>
      <c r="B554" s="29" t="str">
        <f t="shared" si="9"/>
        <v>Excel</v>
      </c>
    </row>
    <row r="555" spans="1:2">
      <c r="A555" s="29" t="s">
        <v>28</v>
      </c>
      <c r="B555" s="29" t="str">
        <f t="shared" si="9"/>
        <v>AWS</v>
      </c>
    </row>
    <row r="556" spans="1:2">
      <c r="A556" s="29" t="s">
        <v>5</v>
      </c>
      <c r="B556" s="29" t="str">
        <f t="shared" si="9"/>
        <v>Looker</v>
      </c>
    </row>
    <row r="557" spans="1:2">
      <c r="A557" s="29" t="s">
        <v>17</v>
      </c>
      <c r="B557" s="29" t="str">
        <f t="shared" si="9"/>
        <v>DAX</v>
      </c>
    </row>
    <row r="558" spans="1:2">
      <c r="A558" s="29" t="s">
        <v>10</v>
      </c>
      <c r="B558" s="29" t="str">
        <f t="shared" si="9"/>
        <v>Git</v>
      </c>
    </row>
    <row r="559" spans="1:2">
      <c r="A559" s="29" t="s">
        <v>22</v>
      </c>
      <c r="B559" s="29" t="str">
        <f t="shared" si="9"/>
        <v>Snowflake</v>
      </c>
    </row>
    <row r="560" spans="1:2">
      <c r="A560" s="29" t="s">
        <v>17</v>
      </c>
      <c r="B560" s="29" t="str">
        <f t="shared" si="9"/>
        <v>DAX</v>
      </c>
    </row>
    <row r="561" spans="1:2">
      <c r="A561" s="29" t="s">
        <v>15</v>
      </c>
      <c r="B561" s="29" t="str">
        <f t="shared" si="9"/>
        <v>ETL</v>
      </c>
    </row>
    <row r="562" spans="1:2">
      <c r="A562" s="29" t="s">
        <v>10</v>
      </c>
      <c r="B562" s="29" t="str">
        <f t="shared" si="9"/>
        <v>Git</v>
      </c>
    </row>
    <row r="563" spans="1:2">
      <c r="A563" s="29" t="s">
        <v>15</v>
      </c>
      <c r="B563" s="29" t="str">
        <f t="shared" si="9"/>
        <v>ETL</v>
      </c>
    </row>
    <row r="564" spans="1:2">
      <c r="A564" s="29" t="s">
        <v>23</v>
      </c>
      <c r="B564" s="29" t="str">
        <f t="shared" si="9"/>
        <v>Spark</v>
      </c>
    </row>
    <row r="565" spans="1:2">
      <c r="A565" s="29" t="s">
        <v>35</v>
      </c>
      <c r="B565" s="29" t="str">
        <f t="shared" si="9"/>
        <v>Pandas</v>
      </c>
    </row>
    <row r="566" spans="1:2">
      <c r="A566" s="29" t="s">
        <v>9</v>
      </c>
      <c r="B566" s="29" t="str">
        <f t="shared" si="9"/>
        <v>NumPy</v>
      </c>
    </row>
    <row r="567" spans="1:2">
      <c r="A567" s="29" t="s">
        <v>14</v>
      </c>
      <c r="B567" s="29" t="str">
        <f t="shared" si="9"/>
        <v>Tableau</v>
      </c>
    </row>
    <row r="568" spans="1:2">
      <c r="A568" s="29" t="s">
        <v>28</v>
      </c>
      <c r="B568" s="29" t="str">
        <f t="shared" si="9"/>
        <v>AWS</v>
      </c>
    </row>
    <row r="569" spans="1:2">
      <c r="A569" s="29" t="s">
        <v>18</v>
      </c>
      <c r="B569" s="29" t="str">
        <f t="shared" si="9"/>
        <v>Power BI</v>
      </c>
    </row>
    <row r="570" spans="1:2">
      <c r="A570" s="29" t="s">
        <v>5</v>
      </c>
      <c r="B570" s="29" t="str">
        <f t="shared" si="9"/>
        <v>Looker</v>
      </c>
    </row>
    <row r="571" spans="1:2">
      <c r="A571" s="29"/>
      <c r="B571" s="29" t="str">
        <f t="shared" si="9"/>
        <v/>
      </c>
    </row>
    <row r="572" spans="1:2">
      <c r="A572" s="29"/>
      <c r="B572" s="29" t="str">
        <f t="shared" si="9"/>
        <v/>
      </c>
    </row>
    <row r="573" spans="1:2">
      <c r="A573" s="29" t="s">
        <v>10</v>
      </c>
      <c r="B573" s="29" t="str">
        <f t="shared" si="9"/>
        <v>Git</v>
      </c>
    </row>
    <row r="574" spans="1:2">
      <c r="A574" s="29" t="s">
        <v>24</v>
      </c>
      <c r="B574" s="29" t="str">
        <f t="shared" si="9"/>
        <v>Python</v>
      </c>
    </row>
    <row r="575" spans="1:2">
      <c r="A575" s="29" t="s">
        <v>8</v>
      </c>
      <c r="B575" s="29" t="str">
        <f t="shared" si="9"/>
        <v>Excel</v>
      </c>
    </row>
    <row r="576" spans="1:2">
      <c r="A576" s="29" t="s">
        <v>17</v>
      </c>
      <c r="B576" s="29" t="str">
        <f t="shared" si="9"/>
        <v>DAX</v>
      </c>
    </row>
    <row r="577" spans="1:2">
      <c r="A577" s="29" t="s">
        <v>4</v>
      </c>
      <c r="B577" s="29" t="str">
        <f t="shared" si="9"/>
        <v>TensorFlow</v>
      </c>
    </row>
    <row r="578" spans="1:2">
      <c r="A578" s="29" t="s">
        <v>11</v>
      </c>
      <c r="B578" s="29" t="str">
        <f t="shared" si="9"/>
        <v>Statistics</v>
      </c>
    </row>
    <row r="579" spans="1:2">
      <c r="A579" s="29" t="s">
        <v>28</v>
      </c>
      <c r="B579" s="29" t="str">
        <f t="shared" si="9"/>
        <v>AWS</v>
      </c>
    </row>
    <row r="580" spans="1:2">
      <c r="A580" s="29"/>
      <c r="B580" s="29" t="str">
        <f t="shared" si="9"/>
        <v/>
      </c>
    </row>
    <row r="581" spans="1:2">
      <c r="A581" s="29" t="s">
        <v>17</v>
      </c>
      <c r="B581" s="29" t="str">
        <f t="shared" si="9"/>
        <v>DAX</v>
      </c>
    </row>
    <row r="582" spans="1:2">
      <c r="A582" s="29" t="s">
        <v>35</v>
      </c>
      <c r="B582" s="29" t="str">
        <f t="shared" si="9"/>
        <v>Pandas</v>
      </c>
    </row>
    <row r="583" spans="1:2">
      <c r="A583" s="29" t="s">
        <v>11</v>
      </c>
      <c r="B583" s="29" t="str">
        <f t="shared" si="9"/>
        <v>Statistics</v>
      </c>
    </row>
    <row r="584" spans="1:2">
      <c r="A584" s="29" t="s">
        <v>15</v>
      </c>
      <c r="B584" s="29" t="str">
        <f t="shared" si="9"/>
        <v>ETL</v>
      </c>
    </row>
    <row r="585" spans="1:2">
      <c r="A585" s="29" t="s">
        <v>8</v>
      </c>
      <c r="B585" s="29" t="str">
        <f t="shared" ref="B585:B648" si="10">TRIM(A585)</f>
        <v>Excel</v>
      </c>
    </row>
    <row r="586" spans="1:2">
      <c r="A586" s="29" t="s">
        <v>18</v>
      </c>
      <c r="B586" s="29" t="str">
        <f t="shared" si="10"/>
        <v>Power BI</v>
      </c>
    </row>
    <row r="587" spans="1:2">
      <c r="A587" s="29" t="s">
        <v>22</v>
      </c>
      <c r="B587" s="29" t="str">
        <f t="shared" si="10"/>
        <v>Snowflake</v>
      </c>
    </row>
    <row r="588" spans="1:2">
      <c r="A588" s="29" t="s">
        <v>5</v>
      </c>
      <c r="B588" s="29" t="str">
        <f t="shared" si="10"/>
        <v>Looker</v>
      </c>
    </row>
    <row r="589" spans="1:2">
      <c r="A589" s="29"/>
      <c r="B589" s="29" t="str">
        <f t="shared" si="10"/>
        <v/>
      </c>
    </row>
    <row r="590" spans="1:2">
      <c r="A590" s="29" t="s">
        <v>17</v>
      </c>
      <c r="B590" s="29" t="str">
        <f t="shared" si="10"/>
        <v>DAX</v>
      </c>
    </row>
    <row r="591" spans="1:2">
      <c r="A591" s="29" t="s">
        <v>8</v>
      </c>
      <c r="B591" s="29" t="str">
        <f t="shared" si="10"/>
        <v>Excel</v>
      </c>
    </row>
    <row r="592" spans="1:2">
      <c r="A592" s="29" t="s">
        <v>18</v>
      </c>
      <c r="B592" s="29" t="str">
        <f t="shared" si="10"/>
        <v>Power BI</v>
      </c>
    </row>
    <row r="593" spans="1:2">
      <c r="A593" s="29" t="s">
        <v>12</v>
      </c>
      <c r="B593" s="29" t="str">
        <f t="shared" si="10"/>
        <v>SQL</v>
      </c>
    </row>
    <row r="594" spans="1:2">
      <c r="A594" s="29" t="s">
        <v>14</v>
      </c>
      <c r="B594" s="29" t="str">
        <f t="shared" si="10"/>
        <v>Tableau</v>
      </c>
    </row>
    <row r="595" spans="1:2">
      <c r="A595" s="29"/>
      <c r="B595" s="29" t="str">
        <f t="shared" si="10"/>
        <v/>
      </c>
    </row>
    <row r="596" spans="1:2">
      <c r="A596" s="29"/>
      <c r="B596" s="29" t="str">
        <f t="shared" si="10"/>
        <v/>
      </c>
    </row>
    <row r="597" spans="1:2">
      <c r="A597" s="29" t="s">
        <v>15</v>
      </c>
      <c r="B597" s="29" t="str">
        <f t="shared" si="10"/>
        <v>ETL</v>
      </c>
    </row>
    <row r="598" spans="1:2">
      <c r="A598" s="29" t="s">
        <v>18</v>
      </c>
      <c r="B598" s="29" t="str">
        <f t="shared" si="10"/>
        <v>Power BI</v>
      </c>
    </row>
    <row r="599" spans="1:2">
      <c r="A599" s="29" t="s">
        <v>11</v>
      </c>
      <c r="B599" s="29" t="str">
        <f t="shared" si="10"/>
        <v>Statistics</v>
      </c>
    </row>
    <row r="600" spans="1:2">
      <c r="A600" s="29" t="s">
        <v>21</v>
      </c>
      <c r="B600" s="29" t="str">
        <f t="shared" si="10"/>
        <v>dbt</v>
      </c>
    </row>
    <row r="601" spans="1:2">
      <c r="A601" s="29" t="s">
        <v>12</v>
      </c>
      <c r="B601" s="29" t="str">
        <f t="shared" si="10"/>
        <v>SQL</v>
      </c>
    </row>
    <row r="602" spans="1:2">
      <c r="A602" s="29"/>
      <c r="B602" s="29" t="str">
        <f t="shared" si="10"/>
        <v/>
      </c>
    </row>
    <row r="603" spans="1:2">
      <c r="A603" s="29" t="s">
        <v>4</v>
      </c>
      <c r="B603" s="29" t="str">
        <f t="shared" si="10"/>
        <v>TensorFlow</v>
      </c>
    </row>
    <row r="604" spans="1:2">
      <c r="A604" s="29"/>
      <c r="B604" s="29" t="str">
        <f t="shared" si="10"/>
        <v/>
      </c>
    </row>
    <row r="605" spans="1:2">
      <c r="A605" s="29" t="s">
        <v>14</v>
      </c>
      <c r="B605" s="29" t="str">
        <f t="shared" si="10"/>
        <v>Tableau</v>
      </c>
    </row>
    <row r="606" spans="1:2">
      <c r="A606" s="29"/>
      <c r="B606" s="29" t="str">
        <f t="shared" si="10"/>
        <v/>
      </c>
    </row>
    <row r="607" spans="1:2">
      <c r="A607" s="29"/>
      <c r="B607" s="29" t="str">
        <f t="shared" si="10"/>
        <v/>
      </c>
    </row>
    <row r="608" spans="1:2">
      <c r="A608" s="29"/>
      <c r="B608" s="29" t="str">
        <f t="shared" si="10"/>
        <v/>
      </c>
    </row>
    <row r="609" spans="1:2">
      <c r="A609" s="29" t="s">
        <v>10</v>
      </c>
      <c r="B609" s="29" t="str">
        <f t="shared" si="10"/>
        <v>Git</v>
      </c>
    </row>
    <row r="610" spans="1:2">
      <c r="A610" s="29"/>
      <c r="B610" s="29" t="str">
        <f t="shared" si="10"/>
        <v/>
      </c>
    </row>
    <row r="611" spans="1:2">
      <c r="A611" s="29"/>
      <c r="B611" s="29" t="str">
        <f t="shared" si="10"/>
        <v/>
      </c>
    </row>
    <row r="612" spans="1:2">
      <c r="A612" s="29"/>
      <c r="B612" s="29" t="str">
        <f t="shared" si="10"/>
        <v/>
      </c>
    </row>
    <row r="613" spans="1:2">
      <c r="A613" s="29" t="s">
        <v>9</v>
      </c>
      <c r="B613" s="29" t="str">
        <f t="shared" si="10"/>
        <v>NumPy</v>
      </c>
    </row>
    <row r="614" spans="1:2">
      <c r="A614" s="29"/>
      <c r="B614" s="29" t="str">
        <f t="shared" si="10"/>
        <v/>
      </c>
    </row>
    <row r="615" spans="1:2">
      <c r="A615" s="29"/>
      <c r="B615" s="29" t="str">
        <f t="shared" si="10"/>
        <v/>
      </c>
    </row>
    <row r="616" spans="1:2">
      <c r="A616" s="29"/>
      <c r="B616" s="29" t="str">
        <f t="shared" si="10"/>
        <v/>
      </c>
    </row>
    <row r="617" spans="1:2">
      <c r="A617" s="29"/>
      <c r="B617" s="29" t="str">
        <f t="shared" si="10"/>
        <v/>
      </c>
    </row>
    <row r="618" spans="1:2">
      <c r="A618" s="29" t="s">
        <v>5</v>
      </c>
      <c r="B618" s="29" t="str">
        <f t="shared" si="10"/>
        <v>Looker</v>
      </c>
    </row>
    <row r="619" spans="1:2">
      <c r="A619" s="29"/>
      <c r="B619" s="29" t="str">
        <f t="shared" si="10"/>
        <v/>
      </c>
    </row>
    <row r="620" spans="1:2">
      <c r="A620" s="29" t="s">
        <v>17</v>
      </c>
      <c r="B620" s="29" t="str">
        <f t="shared" si="10"/>
        <v>DAX</v>
      </c>
    </row>
    <row r="621" spans="1:2">
      <c r="A621" s="29"/>
      <c r="B621" s="29" t="str">
        <f t="shared" si="10"/>
        <v/>
      </c>
    </row>
    <row r="622" spans="1:2">
      <c r="A622" s="29"/>
      <c r="B622" s="29" t="str">
        <f t="shared" si="10"/>
        <v/>
      </c>
    </row>
    <row r="623" spans="1:2">
      <c r="A623" s="29" t="s">
        <v>24</v>
      </c>
      <c r="B623" s="29" t="str">
        <f t="shared" si="10"/>
        <v>Python</v>
      </c>
    </row>
    <row r="624" spans="1:2">
      <c r="A624" s="29"/>
      <c r="B624" s="29" t="str">
        <f t="shared" si="10"/>
        <v/>
      </c>
    </row>
    <row r="625" spans="1:2">
      <c r="A625" s="29"/>
      <c r="B625" s="29" t="str">
        <f t="shared" si="10"/>
        <v/>
      </c>
    </row>
    <row r="626" spans="1:2">
      <c r="A626" s="29" t="s">
        <v>6</v>
      </c>
      <c r="B626" s="29" t="str">
        <f t="shared" si="10"/>
        <v>R</v>
      </c>
    </row>
    <row r="627" spans="1:2">
      <c r="A627" s="29"/>
      <c r="B627" s="29" t="str">
        <f t="shared" si="10"/>
        <v/>
      </c>
    </row>
    <row r="628" spans="1:2">
      <c r="A628" s="29" t="s">
        <v>5</v>
      </c>
      <c r="B628" s="29" t="str">
        <f t="shared" si="10"/>
        <v>Looker</v>
      </c>
    </row>
    <row r="629" spans="1:2">
      <c r="A629" s="29"/>
      <c r="B629" s="29" t="str">
        <f t="shared" si="10"/>
        <v/>
      </c>
    </row>
    <row r="630" spans="1:2">
      <c r="A630" s="29" t="s">
        <v>35</v>
      </c>
      <c r="B630" s="29" t="str">
        <f t="shared" si="10"/>
        <v>Pandas</v>
      </c>
    </row>
    <row r="631" spans="1:2">
      <c r="A631" s="29"/>
      <c r="B631" s="29" t="str">
        <f t="shared" si="10"/>
        <v/>
      </c>
    </row>
    <row r="632" spans="1:2">
      <c r="A632" s="29"/>
      <c r="B632" s="29" t="str">
        <f t="shared" si="10"/>
        <v/>
      </c>
    </row>
    <row r="633" spans="1:2">
      <c r="A633" s="29"/>
      <c r="B633" s="29" t="str">
        <f t="shared" si="10"/>
        <v/>
      </c>
    </row>
    <row r="634" spans="1:2">
      <c r="A634" s="29" t="s">
        <v>8</v>
      </c>
      <c r="B634" s="29" t="str">
        <f t="shared" si="10"/>
        <v>Excel</v>
      </c>
    </row>
    <row r="635" spans="1:2">
      <c r="A635" s="29"/>
      <c r="B635" s="29" t="str">
        <f t="shared" si="10"/>
        <v/>
      </c>
    </row>
    <row r="636" spans="1:2">
      <c r="A636" s="29"/>
      <c r="B636" s="29" t="str">
        <f t="shared" si="10"/>
        <v/>
      </c>
    </row>
    <row r="637" spans="1:2">
      <c r="A637" s="29"/>
      <c r="B637" s="29" t="str">
        <f t="shared" si="10"/>
        <v/>
      </c>
    </row>
    <row r="638" spans="1:2">
      <c r="A638" s="29"/>
      <c r="B638" s="29" t="str">
        <f t="shared" si="10"/>
        <v/>
      </c>
    </row>
    <row r="639" spans="1:2">
      <c r="A639" s="29" t="s">
        <v>22</v>
      </c>
      <c r="B639" s="29" t="str">
        <f t="shared" si="10"/>
        <v>Snowflake</v>
      </c>
    </row>
    <row r="640" spans="1:2">
      <c r="A640" s="29"/>
      <c r="B640" s="29" t="str">
        <f t="shared" si="10"/>
        <v/>
      </c>
    </row>
    <row r="641" spans="1:2">
      <c r="A641" s="29" t="s">
        <v>12</v>
      </c>
      <c r="B641" s="29" t="str">
        <f t="shared" si="10"/>
        <v>SQL</v>
      </c>
    </row>
    <row r="642" spans="1:2">
      <c r="A642" s="29" t="s">
        <v>22</v>
      </c>
      <c r="B642" s="29" t="str">
        <f t="shared" si="10"/>
        <v>Snowflake</v>
      </c>
    </row>
    <row r="643" spans="1:2">
      <c r="A643" s="29"/>
      <c r="B643" s="29" t="str">
        <f t="shared" si="10"/>
        <v/>
      </c>
    </row>
    <row r="644" spans="1:2">
      <c r="A644" s="29"/>
      <c r="B644" s="29" t="str">
        <f t="shared" si="10"/>
        <v/>
      </c>
    </row>
    <row r="645" spans="1:2">
      <c r="A645" s="29"/>
      <c r="B645" s="29" t="str">
        <f t="shared" si="10"/>
        <v/>
      </c>
    </row>
    <row r="646" spans="1:2">
      <c r="A646" s="29"/>
      <c r="B646" s="29" t="str">
        <f t="shared" si="10"/>
        <v/>
      </c>
    </row>
    <row r="647" spans="1:2">
      <c r="A647" s="29"/>
      <c r="B647" s="29" t="str">
        <f t="shared" si="10"/>
        <v/>
      </c>
    </row>
    <row r="648" spans="1:2">
      <c r="A648" s="29"/>
      <c r="B648" s="29" t="str">
        <f t="shared" si="10"/>
        <v/>
      </c>
    </row>
    <row r="649" spans="1:2">
      <c r="A649" s="29"/>
      <c r="B649" s="29" t="str">
        <f t="shared" ref="B649:B712" si="11">TRIM(A649)</f>
        <v/>
      </c>
    </row>
    <row r="650" spans="1:2">
      <c r="A650" s="29" t="s">
        <v>35</v>
      </c>
      <c r="B650" s="29" t="str">
        <f t="shared" si="11"/>
        <v>Pandas</v>
      </c>
    </row>
    <row r="651" spans="1:2">
      <c r="A651" s="29" t="s">
        <v>9</v>
      </c>
      <c r="B651" s="29" t="str">
        <f t="shared" si="11"/>
        <v>NumPy</v>
      </c>
    </row>
    <row r="652" spans="1:2">
      <c r="A652" s="29" t="s">
        <v>23</v>
      </c>
      <c r="B652" s="29" t="str">
        <f t="shared" si="11"/>
        <v>Spark</v>
      </c>
    </row>
    <row r="653" spans="1:2">
      <c r="A653" s="29"/>
      <c r="B653" s="29" t="str">
        <f t="shared" si="11"/>
        <v/>
      </c>
    </row>
    <row r="654" spans="1:2">
      <c r="A654" s="29"/>
      <c r="B654" s="29" t="str">
        <f t="shared" si="11"/>
        <v/>
      </c>
    </row>
    <row r="655" spans="1:2">
      <c r="A655" s="29" t="s">
        <v>35</v>
      </c>
      <c r="B655" s="29" t="str">
        <f t="shared" si="11"/>
        <v>Pandas</v>
      </c>
    </row>
    <row r="656" spans="1:2">
      <c r="A656" s="29"/>
      <c r="B656" s="29" t="str">
        <f t="shared" si="11"/>
        <v/>
      </c>
    </row>
    <row r="657" spans="1:2">
      <c r="A657" s="29"/>
      <c r="B657" s="29" t="str">
        <f t="shared" si="11"/>
        <v/>
      </c>
    </row>
    <row r="658" spans="1:2">
      <c r="A658" s="29"/>
      <c r="B658" s="29" t="str">
        <f t="shared" si="11"/>
        <v/>
      </c>
    </row>
    <row r="659" spans="1:2">
      <c r="A659" s="29" t="s">
        <v>4</v>
      </c>
      <c r="B659" s="29" t="str">
        <f t="shared" si="11"/>
        <v>TensorFlow</v>
      </c>
    </row>
    <row r="660" spans="1:2">
      <c r="A660" s="29"/>
      <c r="B660" s="29" t="str">
        <f t="shared" si="11"/>
        <v/>
      </c>
    </row>
    <row r="661" spans="1:2">
      <c r="A661" s="29" t="s">
        <v>3</v>
      </c>
      <c r="B661" s="29" t="str">
        <f t="shared" si="11"/>
        <v>Machine Learning</v>
      </c>
    </row>
    <row r="662" spans="1:2">
      <c r="A662" s="29"/>
      <c r="B662" s="29" t="str">
        <f t="shared" si="11"/>
        <v/>
      </c>
    </row>
    <row r="663" spans="1:2">
      <c r="A663" s="29"/>
      <c r="B663" s="29" t="str">
        <f t="shared" si="11"/>
        <v/>
      </c>
    </row>
    <row r="664" spans="1:2">
      <c r="A664" s="29"/>
      <c r="B664" s="29" t="str">
        <f t="shared" si="11"/>
        <v/>
      </c>
    </row>
    <row r="665" spans="1:2">
      <c r="A665" s="29"/>
      <c r="B665" s="29" t="str">
        <f t="shared" si="11"/>
        <v/>
      </c>
    </row>
    <row r="666" spans="1:2">
      <c r="A666" s="29" t="s">
        <v>14</v>
      </c>
      <c r="B666" s="29" t="str">
        <f t="shared" si="11"/>
        <v>Tableau</v>
      </c>
    </row>
    <row r="667" spans="1:2">
      <c r="A667" s="29"/>
      <c r="B667" s="29" t="str">
        <f t="shared" si="11"/>
        <v/>
      </c>
    </row>
    <row r="668" spans="1:2">
      <c r="A668" s="29"/>
      <c r="B668" s="29" t="str">
        <f t="shared" si="11"/>
        <v/>
      </c>
    </row>
    <row r="669" spans="1:2">
      <c r="A669" s="29"/>
      <c r="B669" s="29" t="str">
        <f t="shared" si="11"/>
        <v/>
      </c>
    </row>
    <row r="670" spans="1:2">
      <c r="A670" s="29"/>
      <c r="B670" s="29" t="str">
        <f t="shared" si="11"/>
        <v/>
      </c>
    </row>
    <row r="671" spans="1:2">
      <c r="A671" s="29"/>
      <c r="B671" s="29" t="str">
        <f t="shared" si="11"/>
        <v/>
      </c>
    </row>
    <row r="672" spans="1:2">
      <c r="A672" s="29" t="s">
        <v>14</v>
      </c>
      <c r="B672" s="29" t="str">
        <f t="shared" si="11"/>
        <v>Tableau</v>
      </c>
    </row>
    <row r="673" spans="1:2">
      <c r="A673" s="29"/>
      <c r="B673" s="29" t="str">
        <f t="shared" si="11"/>
        <v/>
      </c>
    </row>
    <row r="674" spans="1:2">
      <c r="A674" s="29"/>
      <c r="B674" s="29" t="str">
        <f t="shared" si="11"/>
        <v/>
      </c>
    </row>
    <row r="675" spans="1:2">
      <c r="A675" s="29" t="s">
        <v>10</v>
      </c>
      <c r="B675" s="29" t="str">
        <f t="shared" si="11"/>
        <v>Git</v>
      </c>
    </row>
    <row r="676" spans="1:2">
      <c r="A676" s="29" t="s">
        <v>4</v>
      </c>
      <c r="B676" s="29" t="str">
        <f t="shared" si="11"/>
        <v>TensorFlow</v>
      </c>
    </row>
    <row r="677" spans="1:2">
      <c r="A677" s="29" t="s">
        <v>3</v>
      </c>
      <c r="B677" s="29" t="str">
        <f t="shared" si="11"/>
        <v>Machine Learning</v>
      </c>
    </row>
    <row r="678" spans="1:2">
      <c r="A678" s="29"/>
      <c r="B678" s="29" t="str">
        <f t="shared" si="11"/>
        <v/>
      </c>
    </row>
    <row r="679" spans="1:2">
      <c r="A679" s="29"/>
      <c r="B679" s="29" t="str">
        <f t="shared" si="11"/>
        <v/>
      </c>
    </row>
    <row r="680" spans="1:2">
      <c r="A680" s="29" t="s">
        <v>21</v>
      </c>
      <c r="B680" s="29" t="str">
        <f t="shared" si="11"/>
        <v>dbt</v>
      </c>
    </row>
    <row r="681" spans="1:2">
      <c r="A681" s="29" t="s">
        <v>3</v>
      </c>
      <c r="B681" s="29" t="str">
        <f t="shared" si="11"/>
        <v>Machine Learning</v>
      </c>
    </row>
    <row r="682" spans="1:2">
      <c r="A682" s="29" t="s">
        <v>6</v>
      </c>
      <c r="B682" s="29" t="str">
        <f t="shared" si="11"/>
        <v>R</v>
      </c>
    </row>
    <row r="683" spans="1:2">
      <c r="A683" s="29"/>
      <c r="B683" s="29" t="str">
        <f t="shared" si="11"/>
        <v/>
      </c>
    </row>
    <row r="684" spans="1:2">
      <c r="A684" s="29"/>
      <c r="B684" s="29" t="str">
        <f t="shared" si="11"/>
        <v/>
      </c>
    </row>
    <row r="685" spans="1:2">
      <c r="A685" s="29"/>
      <c r="B685" s="29" t="str">
        <f t="shared" si="11"/>
        <v/>
      </c>
    </row>
    <row r="686" spans="1:2">
      <c r="A686" s="29"/>
      <c r="B686" s="29" t="str">
        <f t="shared" si="11"/>
        <v/>
      </c>
    </row>
    <row r="687" spans="1:2">
      <c r="A687" s="29"/>
      <c r="B687" s="29" t="str">
        <f t="shared" si="11"/>
        <v/>
      </c>
    </row>
    <row r="688" spans="1:2">
      <c r="A688" s="29"/>
      <c r="B688" s="29" t="str">
        <f t="shared" si="11"/>
        <v/>
      </c>
    </row>
    <row r="689" spans="1:2">
      <c r="A689" s="29" t="s">
        <v>2</v>
      </c>
      <c r="B689" s="29" t="str">
        <f t="shared" si="11"/>
        <v>Azure</v>
      </c>
    </row>
    <row r="690" spans="1:2">
      <c r="A690" s="29"/>
      <c r="B690" s="29" t="str">
        <f t="shared" si="11"/>
        <v/>
      </c>
    </row>
    <row r="691" spans="1:2">
      <c r="A691" s="29" t="s">
        <v>15</v>
      </c>
      <c r="B691" s="29" t="str">
        <f t="shared" si="11"/>
        <v>ETL</v>
      </c>
    </row>
    <row r="692" spans="1:2">
      <c r="A692" s="29" t="s">
        <v>10</v>
      </c>
      <c r="B692" s="29" t="str">
        <f t="shared" si="11"/>
        <v>Git</v>
      </c>
    </row>
    <row r="693" spans="1:2">
      <c r="A693" s="29"/>
      <c r="B693" s="29" t="str">
        <f t="shared" si="11"/>
        <v/>
      </c>
    </row>
    <row r="694" spans="1:2">
      <c r="A694" s="29"/>
      <c r="B694" s="29" t="str">
        <f t="shared" si="11"/>
        <v/>
      </c>
    </row>
    <row r="695" spans="1:2">
      <c r="A695" s="29"/>
      <c r="B695" s="29" t="str">
        <f t="shared" si="11"/>
        <v/>
      </c>
    </row>
    <row r="696" spans="1:2">
      <c r="A696" s="29"/>
      <c r="B696" s="29" t="str">
        <f t="shared" si="11"/>
        <v/>
      </c>
    </row>
    <row r="697" spans="1:2">
      <c r="A697" s="29"/>
      <c r="B697" s="29" t="str">
        <f t="shared" si="11"/>
        <v/>
      </c>
    </row>
    <row r="698" spans="1:2">
      <c r="A698" s="29" t="s">
        <v>11</v>
      </c>
      <c r="B698" s="29" t="str">
        <f t="shared" si="11"/>
        <v>Statistics</v>
      </c>
    </row>
    <row r="699" spans="1:2">
      <c r="A699" s="29"/>
      <c r="B699" s="29" t="str">
        <f t="shared" si="11"/>
        <v/>
      </c>
    </row>
    <row r="700" spans="1:2">
      <c r="A700" s="29" t="s">
        <v>17</v>
      </c>
      <c r="B700" s="29" t="str">
        <f t="shared" si="11"/>
        <v>DAX</v>
      </c>
    </row>
    <row r="701" spans="1:2">
      <c r="A701" s="29"/>
      <c r="B701" s="29" t="str">
        <f t="shared" si="11"/>
        <v/>
      </c>
    </row>
    <row r="702" spans="1:2">
      <c r="A702" s="29"/>
      <c r="B702" s="29" t="str">
        <f t="shared" si="11"/>
        <v/>
      </c>
    </row>
    <row r="703" spans="1:2">
      <c r="A703" s="29" t="s">
        <v>4</v>
      </c>
      <c r="B703" s="29" t="str">
        <f t="shared" si="11"/>
        <v>TensorFlow</v>
      </c>
    </row>
    <row r="704" spans="1:2">
      <c r="A704" s="29" t="s">
        <v>10</v>
      </c>
      <c r="B704" s="29" t="str">
        <f t="shared" si="11"/>
        <v>Git</v>
      </c>
    </row>
    <row r="705" spans="1:2">
      <c r="A705" s="29" t="s">
        <v>21</v>
      </c>
      <c r="B705" s="29" t="str">
        <f t="shared" si="11"/>
        <v>dbt</v>
      </c>
    </row>
    <row r="706" spans="1:2">
      <c r="A706" s="29" t="s">
        <v>18</v>
      </c>
      <c r="B706" s="29" t="str">
        <f t="shared" si="11"/>
        <v>Power BI</v>
      </c>
    </row>
    <row r="707" spans="1:2">
      <c r="A707" s="29"/>
      <c r="B707" s="29" t="str">
        <f t="shared" si="11"/>
        <v/>
      </c>
    </row>
    <row r="708" spans="1:2">
      <c r="A708" s="29"/>
      <c r="B708" s="29" t="str">
        <f t="shared" si="11"/>
        <v/>
      </c>
    </row>
    <row r="709" spans="1:2">
      <c r="A709" s="29"/>
      <c r="B709" s="29" t="str">
        <f t="shared" si="11"/>
        <v/>
      </c>
    </row>
    <row r="710" spans="1:2">
      <c r="A710" s="29"/>
      <c r="B710" s="29" t="str">
        <f t="shared" si="11"/>
        <v/>
      </c>
    </row>
    <row r="711" spans="1:2">
      <c r="A711" s="29"/>
      <c r="B711" s="29" t="str">
        <f t="shared" si="11"/>
        <v/>
      </c>
    </row>
    <row r="712" spans="1:2">
      <c r="A712" s="29" t="s">
        <v>2</v>
      </c>
      <c r="B712" s="29" t="str">
        <f t="shared" si="11"/>
        <v>Azure</v>
      </c>
    </row>
    <row r="713" spans="1:2">
      <c r="A713" s="29" t="s">
        <v>9</v>
      </c>
      <c r="B713" s="29" t="str">
        <f t="shared" ref="B713:B776" si="12">TRIM(A713)</f>
        <v>NumPy</v>
      </c>
    </row>
    <row r="714" spans="1:2">
      <c r="A714" s="29"/>
      <c r="B714" s="29" t="str">
        <f t="shared" si="12"/>
        <v/>
      </c>
    </row>
    <row r="715" spans="1:2">
      <c r="A715" s="29"/>
      <c r="B715" s="29" t="str">
        <f t="shared" si="12"/>
        <v/>
      </c>
    </row>
    <row r="716" spans="1:2">
      <c r="A716" s="29" t="s">
        <v>23</v>
      </c>
      <c r="B716" s="29" t="str">
        <f t="shared" si="12"/>
        <v>Spark</v>
      </c>
    </row>
    <row r="717" spans="1:2">
      <c r="A717" s="29"/>
      <c r="B717" s="29" t="str">
        <f t="shared" si="12"/>
        <v/>
      </c>
    </row>
    <row r="718" spans="1:2">
      <c r="A718" s="29"/>
      <c r="B718" s="29" t="str">
        <f t="shared" si="12"/>
        <v/>
      </c>
    </row>
    <row r="719" spans="1:2">
      <c r="A719" s="29" t="s">
        <v>22</v>
      </c>
      <c r="B719" s="29" t="str">
        <f t="shared" si="12"/>
        <v>Snowflake</v>
      </c>
    </row>
    <row r="720" spans="1:2">
      <c r="A720" s="29" t="s">
        <v>15</v>
      </c>
      <c r="B720" s="29" t="str">
        <f t="shared" si="12"/>
        <v>ETL</v>
      </c>
    </row>
    <row r="721" spans="1:2">
      <c r="A721" s="29"/>
      <c r="B721" s="29" t="str">
        <f t="shared" si="12"/>
        <v/>
      </c>
    </row>
    <row r="722" spans="1:2">
      <c r="A722" s="29"/>
      <c r="B722" s="29" t="str">
        <f t="shared" si="12"/>
        <v/>
      </c>
    </row>
    <row r="723" spans="1:2">
      <c r="A723" s="29" t="s">
        <v>4</v>
      </c>
      <c r="B723" s="29" t="str">
        <f t="shared" si="12"/>
        <v>TensorFlow</v>
      </c>
    </row>
    <row r="724" spans="1:2">
      <c r="A724" s="29" t="s">
        <v>22</v>
      </c>
      <c r="B724" s="29" t="str">
        <f t="shared" si="12"/>
        <v>Snowflake</v>
      </c>
    </row>
    <row r="725" spans="1:2">
      <c r="A725" s="29" t="s">
        <v>3</v>
      </c>
      <c r="B725" s="29" t="str">
        <f t="shared" si="12"/>
        <v>Machine Learning</v>
      </c>
    </row>
    <row r="726" spans="1:2">
      <c r="A726" s="29"/>
      <c r="B726" s="29" t="str">
        <f t="shared" si="12"/>
        <v/>
      </c>
    </row>
    <row r="727" spans="1:2">
      <c r="A727" s="29"/>
      <c r="B727" s="29" t="str">
        <f t="shared" si="12"/>
        <v/>
      </c>
    </row>
    <row r="728" spans="1:2">
      <c r="A728" s="29"/>
      <c r="B728" s="29" t="str">
        <f t="shared" si="12"/>
        <v/>
      </c>
    </row>
    <row r="729" spans="1:2">
      <c r="A729" s="29"/>
      <c r="B729" s="29" t="str">
        <f t="shared" si="12"/>
        <v/>
      </c>
    </row>
    <row r="730" spans="1:2">
      <c r="A730" s="29"/>
      <c r="B730" s="29" t="str">
        <f t="shared" si="12"/>
        <v/>
      </c>
    </row>
    <row r="731" spans="1:2">
      <c r="A731" s="29"/>
      <c r="B731" s="29" t="str">
        <f t="shared" si="12"/>
        <v/>
      </c>
    </row>
    <row r="732" spans="1:2">
      <c r="A732" s="29" t="s">
        <v>12</v>
      </c>
      <c r="B732" s="29" t="str">
        <f t="shared" si="12"/>
        <v>SQL</v>
      </c>
    </row>
    <row r="733" spans="1:2">
      <c r="A733" s="29"/>
      <c r="B733" s="29" t="str">
        <f t="shared" si="12"/>
        <v/>
      </c>
    </row>
    <row r="734" spans="1:2">
      <c r="A734" s="29"/>
      <c r="B734" s="29" t="str">
        <f t="shared" si="12"/>
        <v/>
      </c>
    </row>
    <row r="735" spans="1:2">
      <c r="A735" s="29" t="s">
        <v>6</v>
      </c>
      <c r="B735" s="29" t="str">
        <f t="shared" si="12"/>
        <v>R</v>
      </c>
    </row>
    <row r="736" spans="1:2">
      <c r="A736" s="29" t="s">
        <v>2</v>
      </c>
      <c r="B736" s="29" t="str">
        <f t="shared" si="12"/>
        <v>Azure</v>
      </c>
    </row>
    <row r="737" spans="1:2">
      <c r="A737" s="29" t="s">
        <v>28</v>
      </c>
      <c r="B737" s="29" t="str">
        <f t="shared" si="12"/>
        <v>AWS</v>
      </c>
    </row>
    <row r="738" spans="1:2">
      <c r="A738" s="29" t="s">
        <v>11</v>
      </c>
      <c r="B738" s="29" t="str">
        <f t="shared" si="12"/>
        <v>Statistics</v>
      </c>
    </row>
    <row r="739" spans="1:2">
      <c r="A739" s="29"/>
      <c r="B739" s="29" t="str">
        <f t="shared" si="12"/>
        <v/>
      </c>
    </row>
    <row r="740" spans="1:2">
      <c r="A740" s="29"/>
      <c r="B740" s="29" t="str">
        <f t="shared" si="12"/>
        <v/>
      </c>
    </row>
    <row r="741" spans="1:2">
      <c r="A741" s="29"/>
      <c r="B741" s="29" t="str">
        <f t="shared" si="12"/>
        <v/>
      </c>
    </row>
    <row r="742" spans="1:2">
      <c r="A742" s="29"/>
      <c r="B742" s="29" t="str">
        <f t="shared" si="12"/>
        <v/>
      </c>
    </row>
    <row r="743" spans="1:2">
      <c r="A743" s="29" t="s">
        <v>22</v>
      </c>
      <c r="B743" s="29" t="str">
        <f t="shared" si="12"/>
        <v>Snowflake</v>
      </c>
    </row>
    <row r="744" spans="1:2">
      <c r="A744" s="29" t="s">
        <v>18</v>
      </c>
      <c r="B744" s="29" t="str">
        <f t="shared" si="12"/>
        <v>Power BI</v>
      </c>
    </row>
    <row r="745" spans="1:2">
      <c r="A745" s="29"/>
      <c r="B745" s="29" t="str">
        <f t="shared" si="12"/>
        <v/>
      </c>
    </row>
    <row r="746" spans="1:2">
      <c r="A746" s="29"/>
      <c r="B746" s="29" t="str">
        <f t="shared" si="12"/>
        <v/>
      </c>
    </row>
    <row r="747" spans="1:2">
      <c r="A747" s="29" t="s">
        <v>9</v>
      </c>
      <c r="B747" s="29" t="str">
        <f t="shared" si="12"/>
        <v>NumPy</v>
      </c>
    </row>
    <row r="748" spans="1:2">
      <c r="A748" s="29" t="s">
        <v>2</v>
      </c>
      <c r="B748" s="29" t="str">
        <f t="shared" si="12"/>
        <v>Azure</v>
      </c>
    </row>
    <row r="749" spans="1:2">
      <c r="A749" s="29"/>
      <c r="B749" s="29" t="str">
        <f t="shared" si="12"/>
        <v/>
      </c>
    </row>
    <row r="750" spans="1:2">
      <c r="A750" s="29" t="s">
        <v>9</v>
      </c>
      <c r="B750" s="29" t="str">
        <f t="shared" si="12"/>
        <v>NumPy</v>
      </c>
    </row>
    <row r="751" spans="1:2">
      <c r="A751" s="29"/>
      <c r="B751" s="29" t="str">
        <f t="shared" si="12"/>
        <v/>
      </c>
    </row>
    <row r="752" spans="1:2">
      <c r="A752" s="29" t="s">
        <v>12</v>
      </c>
      <c r="B752" s="29" t="str">
        <f t="shared" si="12"/>
        <v>SQL</v>
      </c>
    </row>
    <row r="753" spans="1:2">
      <c r="A753" s="29"/>
      <c r="B753" s="29" t="str">
        <f t="shared" si="12"/>
        <v/>
      </c>
    </row>
    <row r="754" spans="1:2">
      <c r="A754" s="29" t="s">
        <v>10</v>
      </c>
      <c r="B754" s="29" t="str">
        <f t="shared" si="12"/>
        <v>Git</v>
      </c>
    </row>
    <row r="755" spans="1:2">
      <c r="A755" s="29"/>
      <c r="B755" s="29" t="str">
        <f t="shared" si="12"/>
        <v/>
      </c>
    </row>
    <row r="756" spans="1:2">
      <c r="A756" s="29"/>
      <c r="B756" s="29" t="str">
        <f t="shared" si="12"/>
        <v/>
      </c>
    </row>
    <row r="757" spans="1:2">
      <c r="A757" s="29"/>
      <c r="B757" s="29" t="str">
        <f t="shared" si="12"/>
        <v/>
      </c>
    </row>
    <row r="758" spans="1:2">
      <c r="A758" s="29" t="s">
        <v>18</v>
      </c>
      <c r="B758" s="29" t="str">
        <f t="shared" si="12"/>
        <v>Power BI</v>
      </c>
    </row>
    <row r="759" spans="1:2">
      <c r="A759" s="29"/>
      <c r="B759" s="29" t="str">
        <f t="shared" si="12"/>
        <v/>
      </c>
    </row>
    <row r="760" spans="1:2">
      <c r="A760" s="29"/>
      <c r="B760" s="29" t="str">
        <f t="shared" si="12"/>
        <v/>
      </c>
    </row>
    <row r="761" spans="1:2">
      <c r="A761" s="29"/>
      <c r="B761" s="29" t="str">
        <f t="shared" si="12"/>
        <v/>
      </c>
    </row>
    <row r="762" spans="1:2">
      <c r="A762" s="29"/>
      <c r="B762" s="29" t="str">
        <f t="shared" si="12"/>
        <v/>
      </c>
    </row>
    <row r="763" spans="1:2">
      <c r="A763" s="29"/>
      <c r="B763" s="29" t="str">
        <f t="shared" si="12"/>
        <v/>
      </c>
    </row>
    <row r="764" spans="1:2">
      <c r="A764" s="29"/>
      <c r="B764" s="29" t="str">
        <f t="shared" si="12"/>
        <v/>
      </c>
    </row>
    <row r="765" spans="1:2">
      <c r="A765" s="29"/>
      <c r="B765" s="29" t="str">
        <f t="shared" si="12"/>
        <v/>
      </c>
    </row>
    <row r="766" spans="1:2">
      <c r="A766" s="29"/>
      <c r="B766" s="29" t="str">
        <f t="shared" si="12"/>
        <v/>
      </c>
    </row>
    <row r="767" spans="1:2">
      <c r="A767" s="29" t="s">
        <v>18</v>
      </c>
      <c r="B767" s="29" t="str">
        <f t="shared" si="12"/>
        <v>Power BI</v>
      </c>
    </row>
    <row r="768" spans="1:2">
      <c r="A768" s="29"/>
      <c r="B768" s="29" t="str">
        <f t="shared" si="12"/>
        <v/>
      </c>
    </row>
    <row r="769" spans="1:2">
      <c r="A769" s="29"/>
      <c r="B769" s="29" t="str">
        <f t="shared" si="12"/>
        <v/>
      </c>
    </row>
    <row r="770" spans="1:2">
      <c r="A770" s="29"/>
      <c r="B770" s="29" t="str">
        <f t="shared" si="12"/>
        <v/>
      </c>
    </row>
    <row r="771" spans="1:2">
      <c r="A771" s="29"/>
      <c r="B771" s="29" t="str">
        <f t="shared" si="12"/>
        <v/>
      </c>
    </row>
    <row r="772" spans="1:2">
      <c r="A772" s="29" t="s">
        <v>4</v>
      </c>
      <c r="B772" s="29" t="str">
        <f t="shared" si="12"/>
        <v>TensorFlow</v>
      </c>
    </row>
    <row r="773" spans="1:2">
      <c r="A773" s="29"/>
      <c r="B773" s="29" t="str">
        <f t="shared" si="12"/>
        <v/>
      </c>
    </row>
    <row r="774" spans="1:2">
      <c r="A774" s="29"/>
      <c r="B774" s="29" t="str">
        <f t="shared" si="12"/>
        <v/>
      </c>
    </row>
    <row r="775" spans="1:2">
      <c r="A775" s="29"/>
      <c r="B775" s="29" t="str">
        <f t="shared" si="12"/>
        <v/>
      </c>
    </row>
    <row r="776" spans="1:2">
      <c r="A776" s="29"/>
      <c r="B776" s="29" t="str">
        <f t="shared" si="12"/>
        <v/>
      </c>
    </row>
    <row r="777" spans="1:2">
      <c r="A777" s="29" t="s">
        <v>4</v>
      </c>
      <c r="B777" s="29" t="str">
        <f t="shared" ref="B777:B840" si="13">TRIM(A777)</f>
        <v>TensorFlow</v>
      </c>
    </row>
    <row r="778" spans="1:2">
      <c r="A778" s="29"/>
      <c r="B778" s="29" t="str">
        <f t="shared" si="13"/>
        <v/>
      </c>
    </row>
    <row r="779" spans="1:2">
      <c r="A779" s="29" t="s">
        <v>10</v>
      </c>
      <c r="B779" s="29" t="str">
        <f t="shared" si="13"/>
        <v>Git</v>
      </c>
    </row>
    <row r="780" spans="1:2">
      <c r="A780" s="29"/>
      <c r="B780" s="29" t="str">
        <f t="shared" si="13"/>
        <v/>
      </c>
    </row>
    <row r="781" spans="1:2">
      <c r="A781" s="29"/>
      <c r="B781" s="29" t="str">
        <f t="shared" si="13"/>
        <v/>
      </c>
    </row>
    <row r="782" spans="1:2">
      <c r="A782" s="29"/>
      <c r="B782" s="29" t="str">
        <f t="shared" si="13"/>
        <v/>
      </c>
    </row>
    <row r="783" spans="1:2">
      <c r="A783" s="29" t="s">
        <v>5</v>
      </c>
      <c r="B783" s="29" t="str">
        <f t="shared" si="13"/>
        <v>Looker</v>
      </c>
    </row>
    <row r="784" spans="1:2">
      <c r="A784" s="29"/>
      <c r="B784" s="29" t="str">
        <f t="shared" si="13"/>
        <v/>
      </c>
    </row>
    <row r="785" spans="1:2">
      <c r="A785" s="29"/>
      <c r="B785" s="29" t="str">
        <f t="shared" si="13"/>
        <v/>
      </c>
    </row>
    <row r="786" spans="1:2">
      <c r="A786" s="29"/>
      <c r="B786" s="29" t="str">
        <f t="shared" si="13"/>
        <v/>
      </c>
    </row>
    <row r="787" spans="1:2">
      <c r="A787" s="29"/>
      <c r="B787" s="29" t="str">
        <f t="shared" si="13"/>
        <v/>
      </c>
    </row>
    <row r="788" spans="1:2">
      <c r="A788" s="29"/>
      <c r="B788" s="29" t="str">
        <f t="shared" si="13"/>
        <v/>
      </c>
    </row>
    <row r="789" spans="1:2">
      <c r="A789" s="29"/>
      <c r="B789" s="29" t="str">
        <f t="shared" si="13"/>
        <v/>
      </c>
    </row>
    <row r="790" spans="1:2">
      <c r="A790" s="29" t="s">
        <v>23</v>
      </c>
      <c r="B790" s="29" t="str">
        <f t="shared" si="13"/>
        <v>Spark</v>
      </c>
    </row>
    <row r="791" spans="1:2">
      <c r="A791" s="29"/>
      <c r="B791" s="29" t="str">
        <f t="shared" si="13"/>
        <v/>
      </c>
    </row>
    <row r="792" spans="1:2">
      <c r="A792" s="29"/>
      <c r="B792" s="29" t="str">
        <f t="shared" si="13"/>
        <v/>
      </c>
    </row>
    <row r="793" spans="1:2">
      <c r="A793" s="29"/>
      <c r="B793" s="29" t="str">
        <f t="shared" si="13"/>
        <v/>
      </c>
    </row>
    <row r="794" spans="1:2">
      <c r="A794" s="29"/>
      <c r="B794" s="29" t="str">
        <f t="shared" si="13"/>
        <v/>
      </c>
    </row>
    <row r="795" spans="1:2">
      <c r="A795" s="29"/>
      <c r="B795" s="29" t="str">
        <f t="shared" si="13"/>
        <v/>
      </c>
    </row>
    <row r="796" spans="1:2">
      <c r="A796" s="29"/>
      <c r="B796" s="29" t="str">
        <f t="shared" si="13"/>
        <v/>
      </c>
    </row>
    <row r="797" spans="1:2">
      <c r="A797" s="29"/>
      <c r="B797" s="29" t="str">
        <f t="shared" si="13"/>
        <v/>
      </c>
    </row>
    <row r="798" spans="1:2">
      <c r="A798" s="29"/>
      <c r="B798" s="29" t="str">
        <f t="shared" si="13"/>
        <v/>
      </c>
    </row>
    <row r="799" spans="1:2">
      <c r="A799" s="29"/>
      <c r="B799" s="29" t="str">
        <f t="shared" si="13"/>
        <v/>
      </c>
    </row>
    <row r="800" spans="1:2">
      <c r="A800" s="29"/>
      <c r="B800" s="29" t="str">
        <f t="shared" si="13"/>
        <v/>
      </c>
    </row>
    <row r="801" spans="1:2">
      <c r="A801" s="29"/>
      <c r="B801" s="29" t="str">
        <f t="shared" si="13"/>
        <v/>
      </c>
    </row>
    <row r="802" spans="1:2">
      <c r="A802" s="29"/>
      <c r="B802" s="29" t="str">
        <f t="shared" si="13"/>
        <v/>
      </c>
    </row>
    <row r="803" spans="1:2">
      <c r="A803" s="29"/>
      <c r="B803" s="29" t="str">
        <f t="shared" si="13"/>
        <v/>
      </c>
    </row>
    <row r="804" spans="1:2">
      <c r="A804" s="29"/>
      <c r="B804" s="29" t="str">
        <f t="shared" si="13"/>
        <v/>
      </c>
    </row>
    <row r="805" spans="1:2">
      <c r="A805" s="29"/>
      <c r="B805" s="29" t="str">
        <f t="shared" si="13"/>
        <v/>
      </c>
    </row>
    <row r="806" spans="1:2">
      <c r="A806" s="29"/>
      <c r="B806" s="29" t="str">
        <f t="shared" si="13"/>
        <v/>
      </c>
    </row>
    <row r="807" spans="1:2">
      <c r="A807" s="29"/>
      <c r="B807" s="29" t="str">
        <f t="shared" si="13"/>
        <v/>
      </c>
    </row>
    <row r="808" spans="1:2">
      <c r="A808" s="29"/>
      <c r="B808" s="29" t="str">
        <f t="shared" si="13"/>
        <v/>
      </c>
    </row>
    <row r="809" spans="1:2">
      <c r="A809" s="29"/>
      <c r="B809" s="29" t="str">
        <f t="shared" si="13"/>
        <v/>
      </c>
    </row>
    <row r="810" spans="1:2">
      <c r="A810" s="29" t="s">
        <v>22</v>
      </c>
      <c r="B810" s="29" t="str">
        <f t="shared" si="13"/>
        <v>Snowflake</v>
      </c>
    </row>
    <row r="811" spans="1:2">
      <c r="A811" s="29"/>
      <c r="B811" s="29" t="str">
        <f t="shared" si="13"/>
        <v/>
      </c>
    </row>
    <row r="812" spans="1:2">
      <c r="A812" s="29"/>
      <c r="B812" s="29" t="str">
        <f t="shared" si="13"/>
        <v/>
      </c>
    </row>
    <row r="813" spans="1:2">
      <c r="A813" s="29"/>
      <c r="B813" s="29" t="str">
        <f t="shared" si="13"/>
        <v/>
      </c>
    </row>
    <row r="814" spans="1:2">
      <c r="A814" s="29"/>
      <c r="B814" s="29" t="str">
        <f t="shared" si="13"/>
        <v/>
      </c>
    </row>
    <row r="815" spans="1:2">
      <c r="A815" s="29" t="s">
        <v>18</v>
      </c>
      <c r="B815" s="29" t="str">
        <f t="shared" si="13"/>
        <v>Power BI</v>
      </c>
    </row>
    <row r="816" spans="1:2">
      <c r="A816" s="29"/>
      <c r="B816" s="29" t="str">
        <f t="shared" si="13"/>
        <v/>
      </c>
    </row>
    <row r="817" spans="1:2">
      <c r="A817" s="29"/>
      <c r="B817" s="29" t="str">
        <f t="shared" si="13"/>
        <v/>
      </c>
    </row>
    <row r="818" spans="1:2">
      <c r="A818" s="29"/>
      <c r="B818" s="29" t="str">
        <f t="shared" si="13"/>
        <v/>
      </c>
    </row>
    <row r="819" spans="1:2">
      <c r="A819" s="29"/>
      <c r="B819" s="29" t="str">
        <f t="shared" si="13"/>
        <v/>
      </c>
    </row>
    <row r="820" spans="1:2">
      <c r="A820" s="29"/>
      <c r="B820" s="29" t="str">
        <f t="shared" si="13"/>
        <v/>
      </c>
    </row>
    <row r="821" spans="1:2">
      <c r="A821" s="29" t="s">
        <v>2</v>
      </c>
      <c r="B821" s="29" t="str">
        <f t="shared" si="13"/>
        <v>Azure</v>
      </c>
    </row>
    <row r="822" spans="1:2">
      <c r="A822" s="29"/>
      <c r="B822" s="29" t="str">
        <f t="shared" si="13"/>
        <v/>
      </c>
    </row>
    <row r="823" spans="1:2">
      <c r="A823" s="29"/>
      <c r="B823" s="29" t="str">
        <f t="shared" si="13"/>
        <v/>
      </c>
    </row>
    <row r="824" spans="1:2">
      <c r="A824" s="29" t="s">
        <v>28</v>
      </c>
      <c r="B824" s="29" t="str">
        <f t="shared" si="13"/>
        <v>AWS</v>
      </c>
    </row>
    <row r="825" spans="1:2">
      <c r="A825" s="29" t="s">
        <v>21</v>
      </c>
      <c r="B825" s="29" t="str">
        <f t="shared" si="13"/>
        <v>dbt</v>
      </c>
    </row>
    <row r="826" spans="1:2">
      <c r="A826" s="29"/>
      <c r="B826" s="29" t="str">
        <f t="shared" si="13"/>
        <v/>
      </c>
    </row>
    <row r="827" spans="1:2">
      <c r="A827" s="29"/>
      <c r="B827" s="29" t="str">
        <f t="shared" si="13"/>
        <v/>
      </c>
    </row>
    <row r="828" spans="1:2">
      <c r="A828" s="29"/>
      <c r="B828" s="29" t="str">
        <f t="shared" si="13"/>
        <v/>
      </c>
    </row>
    <row r="829" spans="1:2">
      <c r="A829" s="29"/>
      <c r="B829" s="29" t="str">
        <f t="shared" si="13"/>
        <v/>
      </c>
    </row>
    <row r="830" spans="1:2">
      <c r="A830" s="29" t="s">
        <v>12</v>
      </c>
      <c r="B830" s="29" t="str">
        <f t="shared" si="13"/>
        <v>SQL</v>
      </c>
    </row>
    <row r="831" spans="1:2">
      <c r="A831" s="29" t="s">
        <v>21</v>
      </c>
      <c r="B831" s="29" t="str">
        <f t="shared" si="13"/>
        <v>dbt</v>
      </c>
    </row>
    <row r="832" spans="1:2">
      <c r="A832" s="29"/>
      <c r="B832" s="29" t="str">
        <f t="shared" si="13"/>
        <v/>
      </c>
    </row>
    <row r="833" spans="1:2">
      <c r="A833" s="29"/>
      <c r="B833" s="29" t="str">
        <f t="shared" si="13"/>
        <v/>
      </c>
    </row>
    <row r="834" spans="1:2">
      <c r="A834" s="29"/>
      <c r="B834" s="29" t="str">
        <f t="shared" si="13"/>
        <v/>
      </c>
    </row>
    <row r="835" spans="1:2">
      <c r="A835" s="29"/>
      <c r="B835" s="29" t="str">
        <f t="shared" si="13"/>
        <v/>
      </c>
    </row>
    <row r="836" spans="1:2">
      <c r="A836" s="29"/>
      <c r="B836" s="29" t="str">
        <f t="shared" si="13"/>
        <v/>
      </c>
    </row>
    <row r="837" spans="1:2">
      <c r="A837" s="29"/>
      <c r="B837" s="29" t="str">
        <f t="shared" si="13"/>
        <v/>
      </c>
    </row>
    <row r="838" spans="1:2">
      <c r="A838" s="29"/>
      <c r="B838" s="29" t="str">
        <f t="shared" si="13"/>
        <v/>
      </c>
    </row>
    <row r="839" spans="1:2">
      <c r="A839" s="29"/>
      <c r="B839" s="29" t="str">
        <f t="shared" si="13"/>
        <v/>
      </c>
    </row>
    <row r="840" spans="1:2">
      <c r="A840" s="29" t="s">
        <v>21</v>
      </c>
      <c r="B840" s="29" t="str">
        <f t="shared" si="13"/>
        <v>dbt</v>
      </c>
    </row>
    <row r="841" spans="1:2">
      <c r="A841" s="29" t="s">
        <v>3</v>
      </c>
      <c r="B841" s="29" t="str">
        <f t="shared" ref="B841:B904" si="14">TRIM(A841)</f>
        <v>Machine Learning</v>
      </c>
    </row>
    <row r="842" spans="1:2">
      <c r="A842" s="29"/>
      <c r="B842" s="29" t="str">
        <f t="shared" si="14"/>
        <v/>
      </c>
    </row>
    <row r="843" spans="1:2">
      <c r="A843" s="29"/>
      <c r="B843" s="29" t="str">
        <f t="shared" si="14"/>
        <v/>
      </c>
    </row>
    <row r="844" spans="1:2">
      <c r="A844" s="29"/>
      <c r="B844" s="29" t="str">
        <f t="shared" si="14"/>
        <v/>
      </c>
    </row>
    <row r="845" spans="1:2">
      <c r="A845" s="29"/>
      <c r="B845" s="29" t="str">
        <f t="shared" si="14"/>
        <v/>
      </c>
    </row>
    <row r="846" spans="1:2">
      <c r="A846" s="29"/>
      <c r="B846" s="29" t="str">
        <f t="shared" si="14"/>
        <v/>
      </c>
    </row>
    <row r="847" spans="1:2">
      <c r="A847" s="29"/>
      <c r="B847" s="29" t="str">
        <f t="shared" si="14"/>
        <v/>
      </c>
    </row>
    <row r="848" spans="1:2">
      <c r="A848" s="29"/>
      <c r="B848" s="29" t="str">
        <f t="shared" si="14"/>
        <v/>
      </c>
    </row>
    <row r="849" spans="1:2">
      <c r="A849" s="29" t="s">
        <v>6</v>
      </c>
      <c r="B849" s="29" t="str">
        <f t="shared" si="14"/>
        <v>R</v>
      </c>
    </row>
    <row r="850" spans="1:2">
      <c r="A850" s="29"/>
      <c r="B850" s="29" t="str">
        <f t="shared" si="14"/>
        <v/>
      </c>
    </row>
    <row r="851" spans="1:2">
      <c r="A851" s="29"/>
      <c r="B851" s="29" t="str">
        <f t="shared" si="14"/>
        <v/>
      </c>
    </row>
    <row r="852" spans="1:2">
      <c r="A852" s="29" t="s">
        <v>23</v>
      </c>
      <c r="B852" s="29" t="str">
        <f t="shared" si="14"/>
        <v>Spark</v>
      </c>
    </row>
    <row r="853" spans="1:2">
      <c r="A853" s="29"/>
      <c r="B853" s="29" t="str">
        <f t="shared" si="14"/>
        <v/>
      </c>
    </row>
    <row r="854" spans="1:2">
      <c r="A854" s="29"/>
      <c r="B854" s="29" t="str">
        <f t="shared" si="14"/>
        <v/>
      </c>
    </row>
    <row r="855" spans="1:2">
      <c r="A855" s="29"/>
      <c r="B855" s="29" t="str">
        <f t="shared" si="14"/>
        <v/>
      </c>
    </row>
    <row r="856" spans="1:2">
      <c r="A856" s="29"/>
      <c r="B856" s="29" t="str">
        <f t="shared" si="14"/>
        <v/>
      </c>
    </row>
    <row r="857" spans="1:2">
      <c r="A857" s="29"/>
      <c r="B857" s="29" t="str">
        <f t="shared" si="14"/>
        <v/>
      </c>
    </row>
    <row r="858" spans="1:2">
      <c r="A858" s="29"/>
      <c r="B858" s="29" t="str">
        <f t="shared" si="14"/>
        <v/>
      </c>
    </row>
    <row r="859" spans="1:2">
      <c r="A859" s="29"/>
      <c r="B859" s="29" t="str">
        <f t="shared" si="14"/>
        <v/>
      </c>
    </row>
    <row r="860" spans="1:2">
      <c r="A860" s="29"/>
      <c r="B860" s="29" t="str">
        <f t="shared" si="14"/>
        <v/>
      </c>
    </row>
    <row r="861" spans="1:2">
      <c r="A861" s="29"/>
      <c r="B861" s="29" t="str">
        <f t="shared" si="14"/>
        <v/>
      </c>
    </row>
    <row r="862" spans="1:2">
      <c r="A862" s="29" t="s">
        <v>2</v>
      </c>
      <c r="B862" s="29" t="str">
        <f t="shared" si="14"/>
        <v>Azure</v>
      </c>
    </row>
    <row r="863" spans="1:2">
      <c r="A863" s="29"/>
      <c r="B863" s="29" t="str">
        <f t="shared" si="14"/>
        <v/>
      </c>
    </row>
    <row r="864" spans="1:2">
      <c r="A864" s="29"/>
      <c r="B864" s="29" t="str">
        <f t="shared" si="14"/>
        <v/>
      </c>
    </row>
    <row r="865" spans="1:2">
      <c r="A865" s="29" t="s">
        <v>35</v>
      </c>
      <c r="B865" s="29" t="str">
        <f t="shared" si="14"/>
        <v>Pandas</v>
      </c>
    </row>
    <row r="866" spans="1:2">
      <c r="A866" s="29"/>
      <c r="B866" s="29" t="str">
        <f t="shared" si="14"/>
        <v/>
      </c>
    </row>
    <row r="867" spans="1:2">
      <c r="A867" s="29"/>
      <c r="B867" s="29" t="str">
        <f t="shared" si="14"/>
        <v/>
      </c>
    </row>
    <row r="868" spans="1:2">
      <c r="A868" s="29" t="s">
        <v>12</v>
      </c>
      <c r="B868" s="29" t="str">
        <f t="shared" si="14"/>
        <v>SQL</v>
      </c>
    </row>
    <row r="869" spans="1:2">
      <c r="A869" s="29" t="s">
        <v>21</v>
      </c>
      <c r="B869" s="29" t="str">
        <f t="shared" si="14"/>
        <v>dbt</v>
      </c>
    </row>
    <row r="870" spans="1:2">
      <c r="A870" s="29"/>
      <c r="B870" s="29" t="str">
        <f t="shared" si="14"/>
        <v/>
      </c>
    </row>
    <row r="871" spans="1:2">
      <c r="A871" s="29"/>
      <c r="B871" s="29" t="str">
        <f t="shared" si="14"/>
        <v/>
      </c>
    </row>
    <row r="872" spans="1:2">
      <c r="A872" s="29"/>
      <c r="B872" s="29" t="str">
        <f t="shared" si="14"/>
        <v/>
      </c>
    </row>
    <row r="873" spans="1:2">
      <c r="A873" s="29"/>
      <c r="B873" s="29" t="str">
        <f t="shared" si="14"/>
        <v/>
      </c>
    </row>
    <row r="874" spans="1:2">
      <c r="A874" s="29"/>
      <c r="B874" s="29" t="str">
        <f t="shared" si="14"/>
        <v/>
      </c>
    </row>
    <row r="875" spans="1:2">
      <c r="A875" s="29"/>
      <c r="B875" s="29" t="str">
        <f t="shared" si="14"/>
        <v/>
      </c>
    </row>
    <row r="876" spans="1:2">
      <c r="A876" s="29"/>
      <c r="B876" s="29" t="str">
        <f t="shared" si="14"/>
        <v/>
      </c>
    </row>
    <row r="877" spans="1:2">
      <c r="A877" s="29"/>
      <c r="B877" s="29" t="str">
        <f t="shared" si="14"/>
        <v/>
      </c>
    </row>
    <row r="878" spans="1:2">
      <c r="A878" s="29"/>
      <c r="B878" s="29" t="str">
        <f t="shared" si="14"/>
        <v/>
      </c>
    </row>
    <row r="879" spans="1:2">
      <c r="A879" s="29"/>
      <c r="B879" s="29" t="str">
        <f t="shared" si="14"/>
        <v/>
      </c>
    </row>
    <row r="880" spans="1:2">
      <c r="A880" s="29"/>
      <c r="B880" s="29" t="str">
        <f t="shared" si="14"/>
        <v/>
      </c>
    </row>
    <row r="881" spans="1:2">
      <c r="A881" s="29" t="s">
        <v>14</v>
      </c>
      <c r="B881" s="29" t="str">
        <f t="shared" si="14"/>
        <v>Tableau</v>
      </c>
    </row>
    <row r="882" spans="1:2">
      <c r="A882" s="29"/>
      <c r="B882" s="29" t="str">
        <f t="shared" si="14"/>
        <v/>
      </c>
    </row>
    <row r="883" spans="1:2">
      <c r="A883" s="29"/>
      <c r="B883" s="29" t="str">
        <f t="shared" si="14"/>
        <v/>
      </c>
    </row>
    <row r="884" spans="1:2">
      <c r="A884" s="29"/>
      <c r="B884" s="29" t="str">
        <f t="shared" si="14"/>
        <v/>
      </c>
    </row>
    <row r="885" spans="1:2">
      <c r="A885" s="29"/>
      <c r="B885" s="29" t="str">
        <f t="shared" si="14"/>
        <v/>
      </c>
    </row>
    <row r="886" spans="1:2">
      <c r="A886" s="29" t="s">
        <v>23</v>
      </c>
      <c r="B886" s="29" t="str">
        <f t="shared" si="14"/>
        <v>Spark</v>
      </c>
    </row>
    <row r="887" spans="1:2">
      <c r="A887" s="29"/>
      <c r="B887" s="29" t="str">
        <f t="shared" si="14"/>
        <v/>
      </c>
    </row>
    <row r="888" spans="1:2">
      <c r="A888" s="29"/>
      <c r="B888" s="29" t="str">
        <f t="shared" si="14"/>
        <v/>
      </c>
    </row>
    <row r="889" spans="1:2">
      <c r="A889" s="29"/>
      <c r="B889" s="29" t="str">
        <f t="shared" si="14"/>
        <v/>
      </c>
    </row>
    <row r="890" spans="1:2">
      <c r="A890" s="29"/>
      <c r="B890" s="29" t="str">
        <f t="shared" si="14"/>
        <v/>
      </c>
    </row>
    <row r="891" spans="1:2">
      <c r="A891" s="29"/>
      <c r="B891" s="29" t="str">
        <f t="shared" si="14"/>
        <v/>
      </c>
    </row>
    <row r="892" spans="1:2">
      <c r="A892" s="29" t="s">
        <v>3</v>
      </c>
      <c r="B892" s="29" t="str">
        <f t="shared" si="14"/>
        <v>Machine Learning</v>
      </c>
    </row>
    <row r="893" spans="1:2">
      <c r="A893" s="29"/>
      <c r="B893" s="29" t="str">
        <f t="shared" si="14"/>
        <v/>
      </c>
    </row>
    <row r="894" spans="1:2">
      <c r="A894" s="29"/>
      <c r="B894" s="29" t="str">
        <f t="shared" si="14"/>
        <v/>
      </c>
    </row>
    <row r="895" spans="1:2">
      <c r="A895" s="29"/>
      <c r="B895" s="29" t="str">
        <f t="shared" si="14"/>
        <v/>
      </c>
    </row>
    <row r="896" spans="1:2">
      <c r="A896" s="29"/>
      <c r="B896" s="29" t="str">
        <f t="shared" si="14"/>
        <v/>
      </c>
    </row>
    <row r="897" spans="1:2">
      <c r="A897" s="29" t="s">
        <v>28</v>
      </c>
      <c r="B897" s="29" t="str">
        <f t="shared" si="14"/>
        <v>AWS</v>
      </c>
    </row>
    <row r="898" spans="1:2">
      <c r="A898" s="29"/>
      <c r="B898" s="29" t="str">
        <f t="shared" si="14"/>
        <v/>
      </c>
    </row>
    <row r="899" spans="1:2">
      <c r="A899" s="29"/>
      <c r="B899" s="29" t="str">
        <f t="shared" si="14"/>
        <v/>
      </c>
    </row>
    <row r="900" spans="1:2">
      <c r="A900" s="29" t="s">
        <v>6</v>
      </c>
      <c r="B900" s="29" t="str">
        <f t="shared" si="14"/>
        <v>R</v>
      </c>
    </row>
    <row r="901" spans="1:2">
      <c r="A901" s="29" t="s">
        <v>5</v>
      </c>
      <c r="B901" s="29" t="str">
        <f t="shared" si="14"/>
        <v>Looker</v>
      </c>
    </row>
    <row r="902" spans="1:2">
      <c r="A902" s="29" t="s">
        <v>15</v>
      </c>
      <c r="B902" s="29" t="str">
        <f t="shared" si="14"/>
        <v>ETL</v>
      </c>
    </row>
    <row r="903" spans="1:2">
      <c r="A903" s="29" t="s">
        <v>18</v>
      </c>
      <c r="B903" s="29" t="str">
        <f t="shared" si="14"/>
        <v>Power BI</v>
      </c>
    </row>
    <row r="904" spans="1:2">
      <c r="A904" s="29"/>
      <c r="B904" s="29" t="str">
        <f t="shared" si="14"/>
        <v/>
      </c>
    </row>
    <row r="905" spans="1:2">
      <c r="A905" s="29"/>
      <c r="B905" s="29" t="str">
        <f t="shared" ref="B905:B968" si="15">TRIM(A905)</f>
        <v/>
      </c>
    </row>
    <row r="906" spans="1:2">
      <c r="A906" s="29"/>
      <c r="B906" s="29" t="str">
        <f t="shared" si="15"/>
        <v/>
      </c>
    </row>
    <row r="907" spans="1:2">
      <c r="A907" s="29" t="s">
        <v>24</v>
      </c>
      <c r="B907" s="29" t="str">
        <f t="shared" si="15"/>
        <v>Python</v>
      </c>
    </row>
    <row r="908" spans="1:2">
      <c r="A908" s="29"/>
      <c r="B908" s="29" t="str">
        <f t="shared" si="15"/>
        <v/>
      </c>
    </row>
    <row r="909" spans="1:2">
      <c r="A909" s="29"/>
      <c r="B909" s="29" t="str">
        <f t="shared" si="15"/>
        <v/>
      </c>
    </row>
    <row r="910" spans="1:2">
      <c r="A910" s="29" t="s">
        <v>21</v>
      </c>
      <c r="B910" s="29" t="str">
        <f t="shared" si="15"/>
        <v>dbt</v>
      </c>
    </row>
    <row r="911" spans="1:2">
      <c r="A911" s="29" t="s">
        <v>10</v>
      </c>
      <c r="B911" s="29" t="str">
        <f t="shared" si="15"/>
        <v>Git</v>
      </c>
    </row>
    <row r="912" spans="1:2">
      <c r="A912" s="29"/>
      <c r="B912" s="29" t="str">
        <f t="shared" si="15"/>
        <v/>
      </c>
    </row>
    <row r="913" spans="1:2">
      <c r="A913" s="29"/>
      <c r="B913" s="29" t="str">
        <f t="shared" si="15"/>
        <v/>
      </c>
    </row>
    <row r="914" spans="1:2">
      <c r="A914" s="29"/>
      <c r="B914" s="29" t="str">
        <f t="shared" si="15"/>
        <v/>
      </c>
    </row>
    <row r="915" spans="1:2">
      <c r="A915" s="29"/>
      <c r="B915" s="29" t="str">
        <f t="shared" si="15"/>
        <v/>
      </c>
    </row>
    <row r="916" spans="1:2">
      <c r="A916" s="29" t="s">
        <v>28</v>
      </c>
      <c r="B916" s="29" t="str">
        <f t="shared" si="15"/>
        <v>AWS</v>
      </c>
    </row>
    <row r="917" spans="1:2">
      <c r="A917" s="29" t="s">
        <v>21</v>
      </c>
      <c r="B917" s="29" t="str">
        <f t="shared" si="15"/>
        <v>dbt</v>
      </c>
    </row>
    <row r="918" spans="1:2">
      <c r="A918" s="29" t="s">
        <v>4</v>
      </c>
      <c r="B918" s="29" t="str">
        <f t="shared" si="15"/>
        <v>TensorFlow</v>
      </c>
    </row>
    <row r="919" spans="1:2">
      <c r="A919" s="29"/>
      <c r="B919" s="29" t="str">
        <f t="shared" si="15"/>
        <v/>
      </c>
    </row>
    <row r="920" spans="1:2">
      <c r="A920" s="29"/>
      <c r="B920" s="29" t="str">
        <f t="shared" si="15"/>
        <v/>
      </c>
    </row>
    <row r="921" spans="1:2">
      <c r="A921" s="29" t="s">
        <v>23</v>
      </c>
      <c r="B921" s="29" t="str">
        <f t="shared" si="15"/>
        <v>Spark</v>
      </c>
    </row>
    <row r="922" spans="1:2">
      <c r="A922" s="29"/>
      <c r="B922" s="29" t="str">
        <f t="shared" si="15"/>
        <v/>
      </c>
    </row>
    <row r="923" spans="1:2">
      <c r="A923" s="29" t="s">
        <v>6</v>
      </c>
      <c r="B923" s="29" t="str">
        <f t="shared" si="15"/>
        <v>R</v>
      </c>
    </row>
    <row r="924" spans="1:2">
      <c r="A924" s="29" t="s">
        <v>8</v>
      </c>
      <c r="B924" s="29" t="str">
        <f t="shared" si="15"/>
        <v>Excel</v>
      </c>
    </row>
    <row r="925" spans="1:2">
      <c r="A925" s="29" t="s">
        <v>23</v>
      </c>
      <c r="B925" s="29" t="str">
        <f t="shared" si="15"/>
        <v>Spark</v>
      </c>
    </row>
    <row r="926" spans="1:2">
      <c r="A926" s="29" t="s">
        <v>23</v>
      </c>
      <c r="B926" s="29" t="str">
        <f t="shared" si="15"/>
        <v>Spark</v>
      </c>
    </row>
    <row r="927" spans="1:2">
      <c r="A927" s="29"/>
      <c r="B927" s="29" t="str">
        <f t="shared" si="15"/>
        <v/>
      </c>
    </row>
    <row r="928" spans="1:2">
      <c r="A928" s="29" t="s">
        <v>3</v>
      </c>
      <c r="B928" s="29" t="str">
        <f t="shared" si="15"/>
        <v>Machine Learning</v>
      </c>
    </row>
    <row r="929" spans="1:2">
      <c r="A929" s="29"/>
      <c r="B929" s="29" t="str">
        <f t="shared" si="15"/>
        <v/>
      </c>
    </row>
    <row r="930" spans="1:2">
      <c r="A930" s="29" t="s">
        <v>21</v>
      </c>
      <c r="B930" s="29" t="str">
        <f t="shared" si="15"/>
        <v>dbt</v>
      </c>
    </row>
    <row r="931" spans="1:2">
      <c r="A931" s="29"/>
      <c r="B931" s="29" t="str">
        <f t="shared" si="15"/>
        <v/>
      </c>
    </row>
    <row r="932" spans="1:2">
      <c r="A932" s="29" t="s">
        <v>15</v>
      </c>
      <c r="B932" s="29" t="str">
        <f t="shared" si="15"/>
        <v>ETL</v>
      </c>
    </row>
    <row r="933" spans="1:2">
      <c r="A933" s="29"/>
      <c r="B933" s="29" t="str">
        <f t="shared" si="15"/>
        <v/>
      </c>
    </row>
    <row r="934" spans="1:2">
      <c r="A934" s="29"/>
      <c r="B934" s="29" t="str">
        <f t="shared" si="15"/>
        <v/>
      </c>
    </row>
    <row r="935" spans="1:2">
      <c r="A935" s="29" t="s">
        <v>10</v>
      </c>
      <c r="B935" s="29" t="str">
        <f t="shared" si="15"/>
        <v>Git</v>
      </c>
    </row>
    <row r="936" spans="1:2">
      <c r="A936" s="29"/>
      <c r="B936" s="29" t="str">
        <f t="shared" si="15"/>
        <v/>
      </c>
    </row>
    <row r="937" spans="1:2">
      <c r="A937" s="29" t="s">
        <v>17</v>
      </c>
      <c r="B937" s="29" t="str">
        <f t="shared" si="15"/>
        <v>DAX</v>
      </c>
    </row>
    <row r="938" spans="1:2">
      <c r="A938" s="29" t="s">
        <v>24</v>
      </c>
      <c r="B938" s="29" t="str">
        <f t="shared" si="15"/>
        <v>Python</v>
      </c>
    </row>
    <row r="939" spans="1:2">
      <c r="A939" s="29" t="s">
        <v>22</v>
      </c>
      <c r="B939" s="29" t="str">
        <f t="shared" si="15"/>
        <v>Snowflake</v>
      </c>
    </row>
    <row r="940" spans="1:2">
      <c r="A940" s="29" t="s">
        <v>11</v>
      </c>
      <c r="B940" s="29" t="str">
        <f t="shared" si="15"/>
        <v>Statistics</v>
      </c>
    </row>
    <row r="941" spans="1:2">
      <c r="A941" s="29" t="s">
        <v>4</v>
      </c>
      <c r="B941" s="29" t="str">
        <f t="shared" si="15"/>
        <v>TensorFlow</v>
      </c>
    </row>
    <row r="942" spans="1:2">
      <c r="A942" s="29"/>
      <c r="B942" s="29" t="str">
        <f t="shared" si="15"/>
        <v/>
      </c>
    </row>
    <row r="943" spans="1:2">
      <c r="A943" s="29"/>
      <c r="B943" s="29" t="str">
        <f t="shared" si="15"/>
        <v/>
      </c>
    </row>
    <row r="944" spans="1:2">
      <c r="A944" s="29"/>
      <c r="B944" s="29" t="str">
        <f t="shared" si="15"/>
        <v/>
      </c>
    </row>
    <row r="945" spans="1:2">
      <c r="A945" s="29"/>
      <c r="B945" s="29" t="str">
        <f t="shared" si="15"/>
        <v/>
      </c>
    </row>
    <row r="946" spans="1:2">
      <c r="A946" s="29" t="s">
        <v>8</v>
      </c>
      <c r="B946" s="29" t="str">
        <f t="shared" si="15"/>
        <v>Excel</v>
      </c>
    </row>
    <row r="947" spans="1:2">
      <c r="A947" s="29"/>
      <c r="B947" s="29" t="str">
        <f t="shared" si="15"/>
        <v/>
      </c>
    </row>
    <row r="948" spans="1:2">
      <c r="A948" s="29" t="s">
        <v>6</v>
      </c>
      <c r="B948" s="29" t="str">
        <f t="shared" si="15"/>
        <v>R</v>
      </c>
    </row>
    <row r="949" spans="1:2">
      <c r="A949" s="29" t="s">
        <v>17</v>
      </c>
      <c r="B949" s="29" t="str">
        <f t="shared" si="15"/>
        <v>DAX</v>
      </c>
    </row>
    <row r="950" spans="1:2">
      <c r="A950" s="29" t="s">
        <v>5</v>
      </c>
      <c r="B950" s="29" t="str">
        <f t="shared" si="15"/>
        <v>Looker</v>
      </c>
    </row>
    <row r="951" spans="1:2">
      <c r="A951" s="29"/>
      <c r="B951" s="29" t="str">
        <f t="shared" si="15"/>
        <v/>
      </c>
    </row>
    <row r="952" spans="1:2">
      <c r="A952" s="29"/>
      <c r="B952" s="29" t="str">
        <f t="shared" si="15"/>
        <v/>
      </c>
    </row>
    <row r="953" spans="1:2">
      <c r="A953" s="29" t="s">
        <v>10</v>
      </c>
      <c r="B953" s="29" t="str">
        <f t="shared" si="15"/>
        <v>Git</v>
      </c>
    </row>
    <row r="954" spans="1:2">
      <c r="A954" s="29" t="s">
        <v>2</v>
      </c>
      <c r="B954" s="29" t="str">
        <f t="shared" si="15"/>
        <v>Azure</v>
      </c>
    </row>
    <row r="955" spans="1:2">
      <c r="A955" s="29" t="s">
        <v>28</v>
      </c>
      <c r="B955" s="29" t="str">
        <f t="shared" si="15"/>
        <v>AWS</v>
      </c>
    </row>
    <row r="956" spans="1:2">
      <c r="A956" s="29"/>
      <c r="B956" s="29" t="str">
        <f t="shared" si="15"/>
        <v/>
      </c>
    </row>
    <row r="957" spans="1:2">
      <c r="A957" s="29" t="s">
        <v>18</v>
      </c>
      <c r="B957" s="29" t="str">
        <f t="shared" si="15"/>
        <v>Power BI</v>
      </c>
    </row>
    <row r="958" spans="1:2">
      <c r="A958" s="29" t="s">
        <v>5</v>
      </c>
      <c r="B958" s="29" t="str">
        <f t="shared" si="15"/>
        <v>Looker</v>
      </c>
    </row>
    <row r="959" spans="1:2">
      <c r="A959" s="29" t="s">
        <v>5</v>
      </c>
      <c r="B959" s="29" t="str">
        <f t="shared" si="15"/>
        <v>Looker</v>
      </c>
    </row>
    <row r="960" spans="1:2">
      <c r="A960" s="29" t="s">
        <v>3</v>
      </c>
      <c r="B960" s="29" t="str">
        <f t="shared" si="15"/>
        <v>Machine Learning</v>
      </c>
    </row>
    <row r="961" spans="1:2">
      <c r="A961" s="29"/>
      <c r="B961" s="29" t="str">
        <f t="shared" si="15"/>
        <v/>
      </c>
    </row>
    <row r="962" spans="1:2">
      <c r="A962" s="29"/>
      <c r="B962" s="29" t="str">
        <f t="shared" si="15"/>
        <v/>
      </c>
    </row>
    <row r="963" spans="1:2">
      <c r="A963" s="29"/>
      <c r="B963" s="29" t="str">
        <f t="shared" si="15"/>
        <v/>
      </c>
    </row>
    <row r="964" spans="1:2">
      <c r="A964" s="29" t="s">
        <v>17</v>
      </c>
      <c r="B964" s="29" t="str">
        <f t="shared" si="15"/>
        <v>DAX</v>
      </c>
    </row>
    <row r="965" spans="1:2">
      <c r="A965" s="29"/>
      <c r="B965" s="29" t="str">
        <f t="shared" si="15"/>
        <v/>
      </c>
    </row>
    <row r="966" spans="1:2">
      <c r="A966" s="29" t="s">
        <v>2</v>
      </c>
      <c r="B966" s="29" t="str">
        <f t="shared" si="15"/>
        <v>Azure</v>
      </c>
    </row>
    <row r="967" spans="1:2">
      <c r="A967" s="29" t="s">
        <v>8</v>
      </c>
      <c r="B967" s="29" t="str">
        <f t="shared" si="15"/>
        <v>Excel</v>
      </c>
    </row>
    <row r="968" spans="1:2">
      <c r="A968" s="29" t="s">
        <v>15</v>
      </c>
      <c r="B968" s="29" t="str">
        <f t="shared" si="15"/>
        <v>ETL</v>
      </c>
    </row>
    <row r="969" spans="1:2">
      <c r="A969" s="29"/>
      <c r="B969" s="29" t="str">
        <f t="shared" ref="B969:B1032" si="16">TRIM(A969)</f>
        <v/>
      </c>
    </row>
    <row r="970" spans="1:2">
      <c r="A970" s="29" t="s">
        <v>28</v>
      </c>
      <c r="B970" s="29" t="str">
        <f t="shared" si="16"/>
        <v>AWS</v>
      </c>
    </row>
    <row r="971" spans="1:2">
      <c r="A971" s="29"/>
      <c r="B971" s="29" t="str">
        <f t="shared" si="16"/>
        <v/>
      </c>
    </row>
    <row r="972" spans="1:2">
      <c r="A972" s="29" t="s">
        <v>28</v>
      </c>
      <c r="B972" s="29" t="str">
        <f t="shared" si="16"/>
        <v>AWS</v>
      </c>
    </row>
    <row r="973" spans="1:2">
      <c r="A973" s="29" t="s">
        <v>11</v>
      </c>
      <c r="B973" s="29" t="str">
        <f t="shared" si="16"/>
        <v>Statistics</v>
      </c>
    </row>
    <row r="974" spans="1:2">
      <c r="A974" s="29" t="s">
        <v>14</v>
      </c>
      <c r="B974" s="29" t="str">
        <f t="shared" si="16"/>
        <v>Tableau</v>
      </c>
    </row>
    <row r="975" spans="1:2">
      <c r="A975" s="29" t="s">
        <v>11</v>
      </c>
      <c r="B975" s="29" t="str">
        <f t="shared" si="16"/>
        <v>Statistics</v>
      </c>
    </row>
    <row r="976" spans="1:2">
      <c r="A976" s="29"/>
      <c r="B976" s="29" t="str">
        <f t="shared" si="16"/>
        <v/>
      </c>
    </row>
    <row r="977" spans="1:2">
      <c r="A977" s="29"/>
      <c r="B977" s="29" t="str">
        <f t="shared" si="16"/>
        <v/>
      </c>
    </row>
    <row r="978" spans="1:2">
      <c r="A978" s="29" t="s">
        <v>5</v>
      </c>
      <c r="B978" s="29" t="str">
        <f t="shared" si="16"/>
        <v>Looker</v>
      </c>
    </row>
    <row r="979" spans="1:2">
      <c r="A979" s="29" t="s">
        <v>4</v>
      </c>
      <c r="B979" s="29" t="str">
        <f t="shared" si="16"/>
        <v>TensorFlow</v>
      </c>
    </row>
    <row r="980" spans="1:2">
      <c r="A980" s="29" t="s">
        <v>12</v>
      </c>
      <c r="B980" s="29" t="str">
        <f t="shared" si="16"/>
        <v>SQL</v>
      </c>
    </row>
    <row r="981" spans="1:2">
      <c r="A981" s="29"/>
      <c r="B981" s="29" t="str">
        <f t="shared" si="16"/>
        <v/>
      </c>
    </row>
    <row r="982" spans="1:2">
      <c r="A982" s="29"/>
      <c r="B982" s="29" t="str">
        <f t="shared" si="16"/>
        <v/>
      </c>
    </row>
    <row r="983" spans="1:2">
      <c r="A983" s="29"/>
      <c r="B983" s="29" t="str">
        <f t="shared" si="16"/>
        <v/>
      </c>
    </row>
    <row r="984" spans="1:2">
      <c r="A984" s="29"/>
      <c r="B984" s="29" t="str">
        <f t="shared" si="16"/>
        <v/>
      </c>
    </row>
    <row r="985" spans="1:2">
      <c r="A985" s="29"/>
      <c r="B985" s="29" t="str">
        <f t="shared" si="16"/>
        <v/>
      </c>
    </row>
    <row r="986" spans="1:2">
      <c r="A986" s="29"/>
      <c r="B986" s="29" t="str">
        <f t="shared" si="16"/>
        <v/>
      </c>
    </row>
    <row r="987" spans="1:2">
      <c r="A987" s="29" t="s">
        <v>21</v>
      </c>
      <c r="B987" s="29" t="str">
        <f t="shared" si="16"/>
        <v>dbt</v>
      </c>
    </row>
    <row r="988" spans="1:2">
      <c r="A988" s="29"/>
      <c r="B988" s="29" t="str">
        <f t="shared" si="16"/>
        <v/>
      </c>
    </row>
    <row r="989" spans="1:2">
      <c r="A989" s="29" t="s">
        <v>23</v>
      </c>
      <c r="B989" s="29" t="str">
        <f t="shared" si="16"/>
        <v>Spark</v>
      </c>
    </row>
    <row r="990" spans="1:2">
      <c r="A990" s="29" t="s">
        <v>5</v>
      </c>
      <c r="B990" s="29" t="str">
        <f t="shared" si="16"/>
        <v>Looker</v>
      </c>
    </row>
    <row r="991" spans="1:2">
      <c r="A991" s="29"/>
      <c r="B991" s="29" t="str">
        <f t="shared" si="16"/>
        <v/>
      </c>
    </row>
    <row r="992" spans="1:2">
      <c r="A992" s="29"/>
      <c r="B992" s="29" t="str">
        <f t="shared" si="16"/>
        <v/>
      </c>
    </row>
    <row r="993" spans="1:2">
      <c r="A993" s="29"/>
      <c r="B993" s="29" t="str">
        <f t="shared" si="16"/>
        <v/>
      </c>
    </row>
    <row r="994" spans="1:2">
      <c r="A994" s="29" t="s">
        <v>4</v>
      </c>
      <c r="B994" s="29" t="str">
        <f t="shared" si="16"/>
        <v>TensorFlow</v>
      </c>
    </row>
    <row r="995" spans="1:2">
      <c r="A995" s="29"/>
      <c r="B995" s="29" t="str">
        <f t="shared" si="16"/>
        <v/>
      </c>
    </row>
    <row r="996" spans="1:2">
      <c r="A996" s="29" t="s">
        <v>24</v>
      </c>
      <c r="B996" s="29" t="str">
        <f t="shared" si="16"/>
        <v>Python</v>
      </c>
    </row>
    <row r="997" spans="1:2">
      <c r="A997" s="29"/>
      <c r="B997" s="29" t="str">
        <f t="shared" si="16"/>
        <v/>
      </c>
    </row>
    <row r="998" spans="1:2">
      <c r="A998" s="29" t="s">
        <v>15</v>
      </c>
      <c r="B998" s="29" t="str">
        <f t="shared" si="16"/>
        <v>ETL</v>
      </c>
    </row>
    <row r="999" spans="1:2">
      <c r="A999" s="29"/>
      <c r="B999" s="29" t="str">
        <f t="shared" si="16"/>
        <v/>
      </c>
    </row>
    <row r="1000" spans="1:2">
      <c r="A1000" s="29"/>
      <c r="B1000" s="29" t="str">
        <f t="shared" si="16"/>
        <v/>
      </c>
    </row>
    <row r="1001" spans="1:2">
      <c r="A1001" s="29" t="s">
        <v>6</v>
      </c>
      <c r="B1001" s="29" t="str">
        <f t="shared" si="16"/>
        <v>R</v>
      </c>
    </row>
    <row r="1002" spans="1:2">
      <c r="A1002" s="29" t="s">
        <v>22</v>
      </c>
      <c r="B1002" s="29" t="str">
        <f t="shared" si="16"/>
        <v>Snowflake</v>
      </c>
    </row>
    <row r="1003" spans="1:2">
      <c r="A1003" s="29" t="s">
        <v>23</v>
      </c>
      <c r="B1003" s="29" t="str">
        <f t="shared" si="16"/>
        <v>Spark</v>
      </c>
    </row>
    <row r="1004" spans="1:2">
      <c r="A1004" s="29" t="s">
        <v>11</v>
      </c>
      <c r="B1004" s="29" t="str">
        <f t="shared" si="16"/>
        <v>Statistics</v>
      </c>
    </row>
    <row r="1005" spans="1:2">
      <c r="A1005" s="29"/>
      <c r="B1005" s="29" t="str">
        <f t="shared" si="16"/>
        <v/>
      </c>
    </row>
    <row r="1006" spans="1:2">
      <c r="A1006" s="29"/>
      <c r="B1006" s="29" t="str">
        <f t="shared" si="16"/>
        <v/>
      </c>
    </row>
    <row r="1007" spans="1:2">
      <c r="A1007" s="29"/>
      <c r="B1007" s="29" t="str">
        <f t="shared" si="16"/>
        <v/>
      </c>
    </row>
    <row r="1008" spans="1:2">
      <c r="A1008" s="29" t="s">
        <v>35</v>
      </c>
      <c r="B1008" s="29" t="str">
        <f t="shared" si="16"/>
        <v>Pandas</v>
      </c>
    </row>
    <row r="1009" spans="1:2">
      <c r="A1009" s="29"/>
      <c r="B1009" s="29" t="str">
        <f t="shared" si="16"/>
        <v/>
      </c>
    </row>
    <row r="1010" spans="1:2">
      <c r="A1010" s="29" t="s">
        <v>3</v>
      </c>
      <c r="B1010" s="29" t="str">
        <f t="shared" si="16"/>
        <v>Machine Learning</v>
      </c>
    </row>
    <row r="1011" spans="1:2">
      <c r="A1011" s="29" t="s">
        <v>28</v>
      </c>
      <c r="B1011" s="29" t="str">
        <f t="shared" si="16"/>
        <v>AWS</v>
      </c>
    </row>
    <row r="1012" spans="1:2">
      <c r="A1012" s="29"/>
      <c r="B1012" s="29" t="str">
        <f t="shared" si="16"/>
        <v/>
      </c>
    </row>
    <row r="1013" spans="1:2">
      <c r="A1013" s="29" t="s">
        <v>18</v>
      </c>
      <c r="B1013" s="29" t="str">
        <f t="shared" si="16"/>
        <v>Power BI</v>
      </c>
    </row>
    <row r="1014" spans="1:2">
      <c r="A1014" s="29" t="s">
        <v>21</v>
      </c>
      <c r="B1014" s="29" t="str">
        <f t="shared" si="16"/>
        <v>dbt</v>
      </c>
    </row>
    <row r="1015" spans="1:2">
      <c r="A1015" s="29"/>
      <c r="B1015" s="29" t="str">
        <f t="shared" si="16"/>
        <v/>
      </c>
    </row>
    <row r="1016" spans="1:2">
      <c r="A1016" s="29"/>
      <c r="B1016" s="29" t="str">
        <f t="shared" si="16"/>
        <v/>
      </c>
    </row>
    <row r="1017" spans="1:2">
      <c r="A1017" s="29" t="s">
        <v>21</v>
      </c>
      <c r="B1017" s="29" t="str">
        <f t="shared" si="16"/>
        <v>dbt</v>
      </c>
    </row>
    <row r="1018" spans="1:2">
      <c r="A1018" s="29" t="s">
        <v>24</v>
      </c>
      <c r="B1018" s="29" t="str">
        <f t="shared" si="16"/>
        <v>Python</v>
      </c>
    </row>
    <row r="1019" spans="1:2">
      <c r="A1019" s="29"/>
      <c r="B1019" s="29" t="str">
        <f t="shared" si="16"/>
        <v/>
      </c>
    </row>
    <row r="1020" spans="1:2">
      <c r="A1020" s="29"/>
      <c r="B1020" s="29" t="str">
        <f t="shared" si="16"/>
        <v/>
      </c>
    </row>
    <row r="1021" spans="1:2">
      <c r="A1021" s="29" t="s">
        <v>28</v>
      </c>
      <c r="B1021" s="29" t="str">
        <f t="shared" si="16"/>
        <v>AWS</v>
      </c>
    </row>
    <row r="1022" spans="1:2">
      <c r="A1022" s="29" t="s">
        <v>17</v>
      </c>
      <c r="B1022" s="29" t="str">
        <f t="shared" si="16"/>
        <v>DAX</v>
      </c>
    </row>
    <row r="1023" spans="1:2">
      <c r="A1023" s="29" t="s">
        <v>35</v>
      </c>
      <c r="B1023" s="29" t="str">
        <f t="shared" si="16"/>
        <v>Pandas</v>
      </c>
    </row>
    <row r="1024" spans="1:2">
      <c r="A1024" s="29"/>
      <c r="B1024" s="29" t="str">
        <f t="shared" si="16"/>
        <v/>
      </c>
    </row>
    <row r="1025" spans="1:2">
      <c r="A1025" s="29"/>
      <c r="B1025" s="29" t="str">
        <f t="shared" si="16"/>
        <v/>
      </c>
    </row>
    <row r="1026" spans="1:2">
      <c r="A1026" s="29" t="s">
        <v>14</v>
      </c>
      <c r="B1026" s="29" t="str">
        <f t="shared" si="16"/>
        <v>Tableau</v>
      </c>
    </row>
    <row r="1027" spans="1:2">
      <c r="A1027" s="29"/>
      <c r="B1027" s="29" t="str">
        <f t="shared" si="16"/>
        <v/>
      </c>
    </row>
    <row r="1028" spans="1:2">
      <c r="A1028" s="29"/>
      <c r="B1028" s="29" t="str">
        <f t="shared" si="16"/>
        <v/>
      </c>
    </row>
    <row r="1029" spans="1:2">
      <c r="A1029" s="29" t="s">
        <v>4</v>
      </c>
      <c r="B1029" s="29" t="str">
        <f t="shared" si="16"/>
        <v>TensorFlow</v>
      </c>
    </row>
    <row r="1030" spans="1:2">
      <c r="A1030" s="29" t="s">
        <v>18</v>
      </c>
      <c r="B1030" s="29" t="str">
        <f t="shared" si="16"/>
        <v>Power BI</v>
      </c>
    </row>
    <row r="1031" spans="1:2">
      <c r="A1031" s="29"/>
      <c r="B1031" s="29" t="str">
        <f t="shared" si="16"/>
        <v/>
      </c>
    </row>
    <row r="1032" spans="1:2">
      <c r="A1032" s="29"/>
      <c r="B1032" s="29" t="str">
        <f t="shared" si="16"/>
        <v/>
      </c>
    </row>
    <row r="1033" spans="1:2">
      <c r="A1033" s="29" t="s">
        <v>15</v>
      </c>
      <c r="B1033" s="29" t="str">
        <f t="shared" ref="B1033:B1096" si="17">TRIM(A1033)</f>
        <v>ETL</v>
      </c>
    </row>
    <row r="1034" spans="1:2">
      <c r="A1034" s="29" t="s">
        <v>12</v>
      </c>
      <c r="B1034" s="29" t="str">
        <f t="shared" si="17"/>
        <v>SQL</v>
      </c>
    </row>
    <row r="1035" spans="1:2">
      <c r="A1035" s="29" t="s">
        <v>10</v>
      </c>
      <c r="B1035" s="29" t="str">
        <f t="shared" si="17"/>
        <v>Git</v>
      </c>
    </row>
    <row r="1036" spans="1:2">
      <c r="A1036" s="29" t="s">
        <v>18</v>
      </c>
      <c r="B1036" s="29" t="str">
        <f t="shared" si="17"/>
        <v>Power BI</v>
      </c>
    </row>
    <row r="1037" spans="1:2">
      <c r="A1037" s="29"/>
      <c r="B1037" s="29" t="str">
        <f t="shared" si="17"/>
        <v/>
      </c>
    </row>
    <row r="1038" spans="1:2">
      <c r="A1038" s="29"/>
      <c r="B1038" s="29" t="str">
        <f t="shared" si="17"/>
        <v/>
      </c>
    </row>
    <row r="1039" spans="1:2">
      <c r="A1039" s="29" t="s">
        <v>22</v>
      </c>
      <c r="B1039" s="29" t="str">
        <f t="shared" si="17"/>
        <v>Snowflake</v>
      </c>
    </row>
    <row r="1040" spans="1:2">
      <c r="A1040" s="29" t="s">
        <v>21</v>
      </c>
      <c r="B1040" s="29" t="str">
        <f t="shared" si="17"/>
        <v>dbt</v>
      </c>
    </row>
    <row r="1041" spans="1:2">
      <c r="A1041" s="29" t="s">
        <v>4</v>
      </c>
      <c r="B1041" s="29" t="str">
        <f t="shared" si="17"/>
        <v>TensorFlow</v>
      </c>
    </row>
    <row r="1042" spans="1:2">
      <c r="A1042" s="29" t="s">
        <v>28</v>
      </c>
      <c r="B1042" s="29" t="str">
        <f t="shared" si="17"/>
        <v>AWS</v>
      </c>
    </row>
    <row r="1043" spans="1:2">
      <c r="A1043" s="29"/>
      <c r="B1043" s="29" t="str">
        <f t="shared" si="17"/>
        <v/>
      </c>
    </row>
    <row r="1044" spans="1:2">
      <c r="A1044" s="29"/>
      <c r="B1044" s="29" t="str">
        <f t="shared" si="17"/>
        <v/>
      </c>
    </row>
    <row r="1045" spans="1:2">
      <c r="A1045" s="29" t="s">
        <v>8</v>
      </c>
      <c r="B1045" s="29" t="str">
        <f t="shared" si="17"/>
        <v>Excel</v>
      </c>
    </row>
    <row r="1046" spans="1:2">
      <c r="A1046" s="29" t="s">
        <v>35</v>
      </c>
      <c r="B1046" s="29" t="str">
        <f t="shared" si="17"/>
        <v>Pandas</v>
      </c>
    </row>
    <row r="1047" spans="1:2">
      <c r="A1047" s="29" t="s">
        <v>10</v>
      </c>
      <c r="B1047" s="29" t="str">
        <f t="shared" si="17"/>
        <v>Git</v>
      </c>
    </row>
    <row r="1048" spans="1:2">
      <c r="A1048" s="29" t="s">
        <v>2</v>
      </c>
      <c r="B1048" s="29" t="str">
        <f t="shared" si="17"/>
        <v>Azure</v>
      </c>
    </row>
    <row r="1049" spans="1:2">
      <c r="A1049" s="29" t="s">
        <v>5</v>
      </c>
      <c r="B1049" s="29" t="str">
        <f t="shared" si="17"/>
        <v>Looker</v>
      </c>
    </row>
    <row r="1050" spans="1:2">
      <c r="A1050" s="29" t="s">
        <v>11</v>
      </c>
      <c r="B1050" s="29" t="str">
        <f t="shared" si="17"/>
        <v>Statistics</v>
      </c>
    </row>
    <row r="1051" spans="1:2">
      <c r="A1051" s="29" t="s">
        <v>14</v>
      </c>
      <c r="B1051" s="29" t="str">
        <f t="shared" si="17"/>
        <v>Tableau</v>
      </c>
    </row>
    <row r="1052" spans="1:2">
      <c r="A1052" s="29" t="s">
        <v>6</v>
      </c>
      <c r="B1052" s="29" t="str">
        <f t="shared" si="17"/>
        <v>R</v>
      </c>
    </row>
    <row r="1053" spans="1:2">
      <c r="A1053" s="29"/>
      <c r="B1053" s="29" t="str">
        <f t="shared" si="17"/>
        <v/>
      </c>
    </row>
    <row r="1054" spans="1:2">
      <c r="A1054" s="29"/>
      <c r="B1054" s="29" t="str">
        <f t="shared" si="17"/>
        <v/>
      </c>
    </row>
    <row r="1055" spans="1:2">
      <c r="A1055" s="29"/>
      <c r="B1055" s="29" t="str">
        <f t="shared" si="17"/>
        <v/>
      </c>
    </row>
    <row r="1056" spans="1:2">
      <c r="A1056" s="29" t="s">
        <v>3</v>
      </c>
      <c r="B1056" s="29" t="str">
        <f t="shared" si="17"/>
        <v>Machine Learning</v>
      </c>
    </row>
    <row r="1057" spans="1:2">
      <c r="A1057" s="29"/>
      <c r="B1057" s="29" t="str">
        <f t="shared" si="17"/>
        <v/>
      </c>
    </row>
    <row r="1058" spans="1:2">
      <c r="A1058" s="29"/>
      <c r="B1058" s="29" t="str">
        <f t="shared" si="17"/>
        <v/>
      </c>
    </row>
    <row r="1059" spans="1:2">
      <c r="A1059" s="29" t="s">
        <v>8</v>
      </c>
      <c r="B1059" s="29" t="str">
        <f t="shared" si="17"/>
        <v>Excel</v>
      </c>
    </row>
    <row r="1060" spans="1:2">
      <c r="A1060" s="29" t="s">
        <v>6</v>
      </c>
      <c r="B1060" s="29" t="str">
        <f t="shared" si="17"/>
        <v>R</v>
      </c>
    </row>
    <row r="1061" spans="1:2">
      <c r="A1061" s="29" t="s">
        <v>6</v>
      </c>
      <c r="B1061" s="29" t="str">
        <f t="shared" si="17"/>
        <v>R</v>
      </c>
    </row>
    <row r="1062" spans="1:2">
      <c r="A1062" s="29"/>
      <c r="B1062" s="29" t="str">
        <f t="shared" si="17"/>
        <v/>
      </c>
    </row>
    <row r="1063" spans="1:2">
      <c r="A1063" s="29"/>
      <c r="B1063" s="29" t="str">
        <f t="shared" si="17"/>
        <v/>
      </c>
    </row>
    <row r="1064" spans="1:2">
      <c r="A1064" s="29"/>
      <c r="B1064" s="29" t="str">
        <f t="shared" si="17"/>
        <v/>
      </c>
    </row>
    <row r="1065" spans="1:2">
      <c r="A1065" s="29" t="s">
        <v>12</v>
      </c>
      <c r="B1065" s="29" t="str">
        <f t="shared" si="17"/>
        <v>SQL</v>
      </c>
    </row>
    <row r="1066" spans="1:2">
      <c r="A1066" s="29" t="s">
        <v>3</v>
      </c>
      <c r="B1066" s="29" t="str">
        <f t="shared" si="17"/>
        <v>Machine Learning</v>
      </c>
    </row>
    <row r="1067" spans="1:2">
      <c r="A1067" s="29" t="s">
        <v>9</v>
      </c>
      <c r="B1067" s="29" t="str">
        <f t="shared" si="17"/>
        <v>NumPy</v>
      </c>
    </row>
    <row r="1068" spans="1:2">
      <c r="A1068" s="29"/>
      <c r="B1068" s="29" t="str">
        <f t="shared" si="17"/>
        <v/>
      </c>
    </row>
    <row r="1069" spans="1:2">
      <c r="A1069" s="29" t="s">
        <v>22</v>
      </c>
      <c r="B1069" s="29" t="str">
        <f t="shared" si="17"/>
        <v>Snowflake</v>
      </c>
    </row>
    <row r="1070" spans="1:2">
      <c r="A1070" s="29" t="s">
        <v>15</v>
      </c>
      <c r="B1070" s="29" t="str">
        <f t="shared" si="17"/>
        <v>ETL</v>
      </c>
    </row>
    <row r="1071" spans="1:2">
      <c r="A1071" s="29" t="s">
        <v>9</v>
      </c>
      <c r="B1071" s="29" t="str">
        <f t="shared" si="17"/>
        <v>NumPy</v>
      </c>
    </row>
    <row r="1072" spans="1:2">
      <c r="A1072" s="29" t="s">
        <v>5</v>
      </c>
      <c r="B1072" s="29" t="str">
        <f t="shared" si="17"/>
        <v>Looker</v>
      </c>
    </row>
    <row r="1073" spans="1:2">
      <c r="A1073" s="29" t="s">
        <v>28</v>
      </c>
      <c r="B1073" s="29" t="str">
        <f t="shared" si="17"/>
        <v>AWS</v>
      </c>
    </row>
    <row r="1074" spans="1:2">
      <c r="A1074" s="29" t="s">
        <v>6</v>
      </c>
      <c r="B1074" s="29" t="str">
        <f t="shared" si="17"/>
        <v>R</v>
      </c>
    </row>
    <row r="1075" spans="1:2">
      <c r="A1075" s="29" t="s">
        <v>9</v>
      </c>
      <c r="B1075" s="29" t="str">
        <f t="shared" si="17"/>
        <v>NumPy</v>
      </c>
    </row>
    <row r="1076" spans="1:2">
      <c r="A1076" s="29"/>
      <c r="B1076" s="29" t="str">
        <f t="shared" si="17"/>
        <v/>
      </c>
    </row>
    <row r="1077" spans="1:2">
      <c r="A1077" s="29" t="s">
        <v>8</v>
      </c>
      <c r="B1077" s="29" t="str">
        <f t="shared" si="17"/>
        <v>Excel</v>
      </c>
    </row>
    <row r="1078" spans="1:2">
      <c r="A1078" s="29" t="s">
        <v>21</v>
      </c>
      <c r="B1078" s="29" t="str">
        <f t="shared" si="17"/>
        <v>dbt</v>
      </c>
    </row>
    <row r="1079" spans="1:2">
      <c r="A1079" s="29" t="s">
        <v>3</v>
      </c>
      <c r="B1079" s="29" t="str">
        <f t="shared" si="17"/>
        <v>Machine Learning</v>
      </c>
    </row>
    <row r="1080" spans="1:2">
      <c r="A1080" s="29"/>
      <c r="B1080" s="29" t="str">
        <f t="shared" si="17"/>
        <v/>
      </c>
    </row>
    <row r="1081" spans="1:2">
      <c r="A1081" s="29" t="s">
        <v>35</v>
      </c>
      <c r="B1081" s="29" t="str">
        <f t="shared" si="17"/>
        <v>Pandas</v>
      </c>
    </row>
    <row r="1082" spans="1:2">
      <c r="A1082" s="29" t="s">
        <v>15</v>
      </c>
      <c r="B1082" s="29" t="str">
        <f t="shared" si="17"/>
        <v>ETL</v>
      </c>
    </row>
    <row r="1083" spans="1:2">
      <c r="A1083" s="29" t="s">
        <v>18</v>
      </c>
      <c r="B1083" s="29" t="str">
        <f t="shared" si="17"/>
        <v>Power BI</v>
      </c>
    </row>
    <row r="1084" spans="1:2">
      <c r="A1084" s="29" t="s">
        <v>9</v>
      </c>
      <c r="B1084" s="29" t="str">
        <f t="shared" si="17"/>
        <v>NumPy</v>
      </c>
    </row>
    <row r="1085" spans="1:2">
      <c r="A1085" s="29"/>
      <c r="B1085" s="29" t="str">
        <f t="shared" si="17"/>
        <v/>
      </c>
    </row>
    <row r="1086" spans="1:2">
      <c r="A1086" s="29" t="s">
        <v>4</v>
      </c>
      <c r="B1086" s="29" t="str">
        <f t="shared" si="17"/>
        <v>TensorFlow</v>
      </c>
    </row>
    <row r="1087" spans="1:2">
      <c r="A1087" s="29" t="s">
        <v>21</v>
      </c>
      <c r="B1087" s="29" t="str">
        <f t="shared" si="17"/>
        <v>dbt</v>
      </c>
    </row>
    <row r="1088" spans="1:2">
      <c r="A1088" s="29" t="s">
        <v>35</v>
      </c>
      <c r="B1088" s="29" t="str">
        <f t="shared" si="17"/>
        <v>Pandas</v>
      </c>
    </row>
    <row r="1089" spans="1:2">
      <c r="A1089" s="29" t="s">
        <v>28</v>
      </c>
      <c r="B1089" s="29" t="str">
        <f t="shared" si="17"/>
        <v>AWS</v>
      </c>
    </row>
    <row r="1090" spans="1:2">
      <c r="A1090" s="29" t="s">
        <v>15</v>
      </c>
      <c r="B1090" s="29" t="str">
        <f t="shared" si="17"/>
        <v>ETL</v>
      </c>
    </row>
    <row r="1091" spans="1:2">
      <c r="A1091" s="29"/>
      <c r="B1091" s="29" t="str">
        <f t="shared" si="17"/>
        <v/>
      </c>
    </row>
    <row r="1092" spans="1:2">
      <c r="A1092" s="29" t="s">
        <v>11</v>
      </c>
      <c r="B1092" s="29" t="str">
        <f t="shared" si="17"/>
        <v>Statistics</v>
      </c>
    </row>
    <row r="1093" spans="1:2">
      <c r="A1093" s="29"/>
      <c r="B1093" s="29" t="str">
        <f t="shared" si="17"/>
        <v/>
      </c>
    </row>
    <row r="1094" spans="1:2">
      <c r="A1094" s="29"/>
      <c r="B1094" s="29" t="str">
        <f t="shared" si="17"/>
        <v/>
      </c>
    </row>
    <row r="1095" spans="1:2">
      <c r="A1095" s="29" t="s">
        <v>9</v>
      </c>
      <c r="B1095" s="29" t="str">
        <f t="shared" si="17"/>
        <v>NumPy</v>
      </c>
    </row>
    <row r="1096" spans="1:2">
      <c r="A1096" s="29"/>
      <c r="B1096" s="29" t="str">
        <f t="shared" si="17"/>
        <v/>
      </c>
    </row>
    <row r="1097" spans="1:2">
      <c r="A1097" s="29" t="s">
        <v>12</v>
      </c>
      <c r="B1097" s="29" t="str">
        <f t="shared" ref="B1097:B1160" si="18">TRIM(A1097)</f>
        <v>SQL</v>
      </c>
    </row>
    <row r="1098" spans="1:2">
      <c r="A1098" s="29" t="s">
        <v>24</v>
      </c>
      <c r="B1098" s="29" t="str">
        <f t="shared" si="18"/>
        <v>Python</v>
      </c>
    </row>
    <row r="1099" spans="1:2">
      <c r="A1099" s="29" t="s">
        <v>35</v>
      </c>
      <c r="B1099" s="29" t="str">
        <f t="shared" si="18"/>
        <v>Pandas</v>
      </c>
    </row>
    <row r="1100" spans="1:2">
      <c r="A1100" s="29"/>
      <c r="B1100" s="29" t="str">
        <f t="shared" si="18"/>
        <v/>
      </c>
    </row>
    <row r="1101" spans="1:2">
      <c r="A1101" s="29"/>
      <c r="B1101" s="29" t="str">
        <f t="shared" si="18"/>
        <v/>
      </c>
    </row>
    <row r="1102" spans="1:2">
      <c r="A1102" s="29" t="s">
        <v>21</v>
      </c>
      <c r="B1102" s="29" t="str">
        <f t="shared" si="18"/>
        <v>dbt</v>
      </c>
    </row>
    <row r="1103" spans="1:2">
      <c r="A1103" s="29" t="s">
        <v>12</v>
      </c>
      <c r="B1103" s="29" t="str">
        <f t="shared" si="18"/>
        <v>SQL</v>
      </c>
    </row>
    <row r="1104" spans="1:2">
      <c r="A1104" s="29" t="s">
        <v>14</v>
      </c>
      <c r="B1104" s="29" t="str">
        <f t="shared" si="18"/>
        <v>Tableau</v>
      </c>
    </row>
    <row r="1105" spans="1:2">
      <c r="A1105" s="29"/>
      <c r="B1105" s="29" t="str">
        <f t="shared" si="18"/>
        <v/>
      </c>
    </row>
    <row r="1106" spans="1:2">
      <c r="A1106" s="29" t="s">
        <v>23</v>
      </c>
      <c r="B1106" s="29" t="str">
        <f t="shared" si="18"/>
        <v>Spark</v>
      </c>
    </row>
    <row r="1107" spans="1:2">
      <c r="A1107" s="29" t="s">
        <v>6</v>
      </c>
      <c r="B1107" s="29" t="str">
        <f t="shared" si="18"/>
        <v>R</v>
      </c>
    </row>
    <row r="1108" spans="1:2">
      <c r="A1108" s="29" t="s">
        <v>4</v>
      </c>
      <c r="B1108" s="29" t="str">
        <f t="shared" si="18"/>
        <v>TensorFlow</v>
      </c>
    </row>
    <row r="1109" spans="1:2">
      <c r="A1109" s="29" t="s">
        <v>15</v>
      </c>
      <c r="B1109" s="29" t="str">
        <f t="shared" si="18"/>
        <v>ETL</v>
      </c>
    </row>
    <row r="1110" spans="1:2">
      <c r="A1110" s="29" t="s">
        <v>9</v>
      </c>
      <c r="B1110" s="29" t="str">
        <f t="shared" si="18"/>
        <v>NumPy</v>
      </c>
    </row>
    <row r="1111" spans="1:2">
      <c r="A1111" s="29" t="s">
        <v>2</v>
      </c>
      <c r="B1111" s="29" t="str">
        <f t="shared" si="18"/>
        <v>Azure</v>
      </c>
    </row>
    <row r="1112" spans="1:2">
      <c r="A1112" s="29" t="s">
        <v>28</v>
      </c>
      <c r="B1112" s="29" t="str">
        <f t="shared" si="18"/>
        <v>AWS</v>
      </c>
    </row>
    <row r="1113" spans="1:2">
      <c r="A1113" s="29" t="s">
        <v>35</v>
      </c>
      <c r="B1113" s="29" t="str">
        <f t="shared" si="18"/>
        <v>Pandas</v>
      </c>
    </row>
    <row r="1114" spans="1:2">
      <c r="A1114" s="29"/>
      <c r="B1114" s="29" t="str">
        <f t="shared" si="18"/>
        <v/>
      </c>
    </row>
    <row r="1115" spans="1:2">
      <c r="A1115" s="29" t="s">
        <v>17</v>
      </c>
      <c r="B1115" s="29" t="str">
        <f t="shared" si="18"/>
        <v>DAX</v>
      </c>
    </row>
    <row r="1116" spans="1:2">
      <c r="A1116" s="29" t="s">
        <v>28</v>
      </c>
      <c r="B1116" s="29" t="str">
        <f t="shared" si="18"/>
        <v>AWS</v>
      </c>
    </row>
    <row r="1117" spans="1:2">
      <c r="A1117" s="29" t="s">
        <v>23</v>
      </c>
      <c r="B1117" s="29" t="str">
        <f t="shared" si="18"/>
        <v>Spark</v>
      </c>
    </row>
    <row r="1118" spans="1:2">
      <c r="A1118" s="29" t="s">
        <v>24</v>
      </c>
      <c r="B1118" s="29" t="str">
        <f t="shared" si="18"/>
        <v>Python</v>
      </c>
    </row>
    <row r="1119" spans="1:2">
      <c r="A1119" s="29" t="s">
        <v>24</v>
      </c>
      <c r="B1119" s="29" t="str">
        <f t="shared" si="18"/>
        <v>Python</v>
      </c>
    </row>
    <row r="1120" spans="1:2">
      <c r="A1120" s="29"/>
      <c r="B1120" s="29" t="str">
        <f t="shared" si="18"/>
        <v/>
      </c>
    </row>
    <row r="1121" spans="1:2">
      <c r="A1121" s="29" t="s">
        <v>22</v>
      </c>
      <c r="B1121" s="29" t="str">
        <f t="shared" si="18"/>
        <v>Snowflake</v>
      </c>
    </row>
    <row r="1122" spans="1:2">
      <c r="A1122" s="29" t="s">
        <v>2</v>
      </c>
      <c r="B1122" s="29" t="str">
        <f t="shared" si="18"/>
        <v>Azure</v>
      </c>
    </row>
    <row r="1123" spans="1:2">
      <c r="A1123" s="29" t="s">
        <v>17</v>
      </c>
      <c r="B1123" s="29" t="str">
        <f t="shared" si="18"/>
        <v>DAX</v>
      </c>
    </row>
    <row r="1124" spans="1:2">
      <c r="A1124" s="29" t="s">
        <v>18</v>
      </c>
      <c r="B1124" s="29" t="str">
        <f t="shared" si="18"/>
        <v>Power BI</v>
      </c>
    </row>
    <row r="1125" spans="1:2">
      <c r="A1125" s="29"/>
      <c r="B1125" s="29" t="str">
        <f t="shared" si="18"/>
        <v/>
      </c>
    </row>
    <row r="1126" spans="1:2">
      <c r="A1126" s="29" t="s">
        <v>6</v>
      </c>
      <c r="B1126" s="29" t="str">
        <f t="shared" si="18"/>
        <v>R</v>
      </c>
    </row>
    <row r="1127" spans="1:2">
      <c r="A1127" s="29" t="s">
        <v>22</v>
      </c>
      <c r="B1127" s="29" t="str">
        <f t="shared" si="18"/>
        <v>Snowflake</v>
      </c>
    </row>
    <row r="1128" spans="1:2">
      <c r="A1128" s="29" t="s">
        <v>11</v>
      </c>
      <c r="B1128" s="29" t="str">
        <f t="shared" si="18"/>
        <v>Statistics</v>
      </c>
    </row>
    <row r="1129" spans="1:2">
      <c r="A1129" s="29" t="s">
        <v>15</v>
      </c>
      <c r="B1129" s="29" t="str">
        <f t="shared" si="18"/>
        <v>ETL</v>
      </c>
    </row>
    <row r="1130" spans="1:2">
      <c r="A1130" s="29" t="s">
        <v>17</v>
      </c>
      <c r="B1130" s="29" t="str">
        <f t="shared" si="18"/>
        <v>DAX</v>
      </c>
    </row>
    <row r="1131" spans="1:2">
      <c r="A1131" s="29" t="s">
        <v>8</v>
      </c>
      <c r="B1131" s="29" t="str">
        <f t="shared" si="18"/>
        <v>Excel</v>
      </c>
    </row>
    <row r="1132" spans="1:2">
      <c r="A1132" s="29" t="s">
        <v>17</v>
      </c>
      <c r="B1132" s="29" t="str">
        <f t="shared" si="18"/>
        <v>DAX</v>
      </c>
    </row>
    <row r="1133" spans="1:2">
      <c r="A1133" s="29"/>
      <c r="B1133" s="29" t="str">
        <f t="shared" si="18"/>
        <v/>
      </c>
    </row>
    <row r="1134" spans="1:2">
      <c r="A1134" s="29"/>
      <c r="B1134" s="29" t="str">
        <f t="shared" si="18"/>
        <v/>
      </c>
    </row>
    <row r="1135" spans="1:2">
      <c r="A1135" s="29"/>
      <c r="B1135" s="29" t="str">
        <f t="shared" si="18"/>
        <v/>
      </c>
    </row>
    <row r="1136" spans="1:2">
      <c r="A1136" s="29" t="s">
        <v>9</v>
      </c>
      <c r="B1136" s="29" t="str">
        <f t="shared" si="18"/>
        <v>NumPy</v>
      </c>
    </row>
    <row r="1137" spans="1:2">
      <c r="A1137" s="29"/>
      <c r="B1137" s="29" t="str">
        <f t="shared" si="18"/>
        <v/>
      </c>
    </row>
    <row r="1138" spans="1:2">
      <c r="A1138" s="29" t="s">
        <v>35</v>
      </c>
      <c r="B1138" s="29" t="str">
        <f t="shared" si="18"/>
        <v>Pandas</v>
      </c>
    </row>
    <row r="1139" spans="1:2">
      <c r="A1139" s="29" t="s">
        <v>21</v>
      </c>
      <c r="B1139" s="29" t="str">
        <f t="shared" si="18"/>
        <v>dbt</v>
      </c>
    </row>
    <row r="1140" spans="1:2">
      <c r="A1140" s="29"/>
      <c r="B1140" s="29" t="str">
        <f t="shared" si="18"/>
        <v/>
      </c>
    </row>
    <row r="1141" spans="1:2">
      <c r="A1141" s="29"/>
      <c r="B1141" s="29" t="str">
        <f t="shared" si="18"/>
        <v/>
      </c>
    </row>
    <row r="1142" spans="1:2">
      <c r="A1142" s="29" t="s">
        <v>6</v>
      </c>
      <c r="B1142" s="29" t="str">
        <f t="shared" si="18"/>
        <v>R</v>
      </c>
    </row>
    <row r="1143" spans="1:2">
      <c r="A1143" s="29" t="s">
        <v>3</v>
      </c>
      <c r="B1143" s="29" t="str">
        <f t="shared" si="18"/>
        <v>Machine Learning</v>
      </c>
    </row>
    <row r="1144" spans="1:2">
      <c r="A1144" s="29"/>
      <c r="B1144" s="29" t="str">
        <f t="shared" si="18"/>
        <v/>
      </c>
    </row>
    <row r="1145" spans="1:2">
      <c r="A1145" s="29" t="s">
        <v>5</v>
      </c>
      <c r="B1145" s="29" t="str">
        <f t="shared" si="18"/>
        <v>Looker</v>
      </c>
    </row>
    <row r="1146" spans="1:2">
      <c r="A1146" s="29"/>
      <c r="B1146" s="29" t="str">
        <f t="shared" si="18"/>
        <v/>
      </c>
    </row>
    <row r="1147" spans="1:2">
      <c r="A1147" s="29" t="s">
        <v>2</v>
      </c>
      <c r="B1147" s="29" t="str">
        <f t="shared" si="18"/>
        <v>Azure</v>
      </c>
    </row>
    <row r="1148" spans="1:2">
      <c r="A1148" s="29"/>
      <c r="B1148" s="29" t="str">
        <f t="shared" si="18"/>
        <v/>
      </c>
    </row>
    <row r="1149" spans="1:2">
      <c r="A1149" s="29"/>
      <c r="B1149" s="29" t="str">
        <f t="shared" si="18"/>
        <v/>
      </c>
    </row>
    <row r="1150" spans="1:2">
      <c r="A1150" s="29" t="s">
        <v>5</v>
      </c>
      <c r="B1150" s="29" t="str">
        <f t="shared" si="18"/>
        <v>Looker</v>
      </c>
    </row>
    <row r="1151" spans="1:2">
      <c r="A1151" s="29" t="s">
        <v>12</v>
      </c>
      <c r="B1151" s="29" t="str">
        <f t="shared" si="18"/>
        <v>SQL</v>
      </c>
    </row>
    <row r="1152" spans="1:2">
      <c r="A1152" s="29" t="s">
        <v>4</v>
      </c>
      <c r="B1152" s="29" t="str">
        <f t="shared" si="18"/>
        <v>TensorFlow</v>
      </c>
    </row>
    <row r="1153" spans="1:2">
      <c r="A1153" s="29" t="s">
        <v>21</v>
      </c>
      <c r="B1153" s="29" t="str">
        <f t="shared" si="18"/>
        <v>dbt</v>
      </c>
    </row>
    <row r="1154" spans="1:2">
      <c r="A1154" s="29"/>
      <c r="B1154" s="29" t="str">
        <f t="shared" si="18"/>
        <v/>
      </c>
    </row>
    <row r="1155" spans="1:2">
      <c r="A1155" s="29"/>
      <c r="B1155" s="29" t="str">
        <f t="shared" si="18"/>
        <v/>
      </c>
    </row>
    <row r="1156" spans="1:2">
      <c r="A1156" s="29" t="s">
        <v>15</v>
      </c>
      <c r="B1156" s="29" t="str">
        <f t="shared" si="18"/>
        <v>ETL</v>
      </c>
    </row>
    <row r="1157" spans="1:2">
      <c r="A1157" s="29" t="s">
        <v>22</v>
      </c>
      <c r="B1157" s="29" t="str">
        <f t="shared" si="18"/>
        <v>Snowflake</v>
      </c>
    </row>
    <row r="1158" spans="1:2">
      <c r="A1158" s="29" t="s">
        <v>9</v>
      </c>
      <c r="B1158" s="29" t="str">
        <f t="shared" si="18"/>
        <v>NumPy</v>
      </c>
    </row>
    <row r="1159" spans="1:2">
      <c r="A1159" s="29" t="s">
        <v>35</v>
      </c>
      <c r="B1159" s="29" t="str">
        <f t="shared" si="18"/>
        <v>Pandas</v>
      </c>
    </row>
    <row r="1160" spans="1:2">
      <c r="A1160" s="29" t="s">
        <v>14</v>
      </c>
      <c r="B1160" s="29" t="str">
        <f t="shared" si="18"/>
        <v>Tableau</v>
      </c>
    </row>
    <row r="1161" spans="1:2">
      <c r="A1161" s="29" t="s">
        <v>14</v>
      </c>
      <c r="B1161" s="29" t="str">
        <f t="shared" ref="B1161:B1197" si="19">TRIM(A1161)</f>
        <v>Tableau</v>
      </c>
    </row>
    <row r="1162" spans="1:2">
      <c r="A1162" s="29" t="s">
        <v>17</v>
      </c>
      <c r="B1162" s="29" t="str">
        <f t="shared" si="19"/>
        <v>DAX</v>
      </c>
    </row>
    <row r="1163" spans="1:2">
      <c r="A1163" s="29" t="s">
        <v>14</v>
      </c>
      <c r="B1163" s="29" t="str">
        <f t="shared" si="19"/>
        <v>Tableau</v>
      </c>
    </row>
    <row r="1164" spans="1:2">
      <c r="A1164" s="29" t="s">
        <v>11</v>
      </c>
      <c r="B1164" s="29" t="str">
        <f t="shared" si="19"/>
        <v>Statistics</v>
      </c>
    </row>
    <row r="1165" spans="1:2">
      <c r="A1165" s="29" t="s">
        <v>21</v>
      </c>
      <c r="B1165" s="29" t="str">
        <f t="shared" si="19"/>
        <v>dbt</v>
      </c>
    </row>
    <row r="1166" spans="1:2">
      <c r="A1166" s="29" t="s">
        <v>17</v>
      </c>
      <c r="B1166" s="29" t="str">
        <f t="shared" si="19"/>
        <v>DAX</v>
      </c>
    </row>
    <row r="1167" spans="1:2">
      <c r="A1167" s="29" t="s">
        <v>8</v>
      </c>
      <c r="B1167" s="29" t="str">
        <f t="shared" si="19"/>
        <v>Excel</v>
      </c>
    </row>
    <row r="1168" spans="1:2">
      <c r="A1168" s="29"/>
      <c r="B1168" s="29" t="str">
        <f t="shared" si="19"/>
        <v/>
      </c>
    </row>
    <row r="1169" spans="1:2">
      <c r="A1169" s="29"/>
      <c r="B1169" s="29" t="str">
        <f t="shared" si="19"/>
        <v/>
      </c>
    </row>
    <row r="1170" spans="1:2">
      <c r="A1170" s="29" t="s">
        <v>24</v>
      </c>
      <c r="B1170" s="29" t="str">
        <f t="shared" si="19"/>
        <v>Python</v>
      </c>
    </row>
    <row r="1171" spans="1:2">
      <c r="A1171" s="29" t="s">
        <v>15</v>
      </c>
      <c r="B1171" s="29" t="str">
        <f t="shared" si="19"/>
        <v>ETL</v>
      </c>
    </row>
    <row r="1172" spans="1:2">
      <c r="A1172" s="29" t="s">
        <v>28</v>
      </c>
      <c r="B1172" s="29" t="str">
        <f t="shared" si="19"/>
        <v>AWS</v>
      </c>
    </row>
    <row r="1173" spans="1:2">
      <c r="A1173" s="29"/>
      <c r="B1173" s="29" t="str">
        <f t="shared" si="19"/>
        <v/>
      </c>
    </row>
    <row r="1174" spans="1:2">
      <c r="A1174" s="29" t="s">
        <v>18</v>
      </c>
      <c r="B1174" s="29" t="str">
        <f t="shared" si="19"/>
        <v>Power BI</v>
      </c>
    </row>
    <row r="1175" spans="1:2">
      <c r="A1175" s="29" t="s">
        <v>3</v>
      </c>
      <c r="B1175" s="29" t="str">
        <f t="shared" si="19"/>
        <v>Machine Learning</v>
      </c>
    </row>
    <row r="1176" spans="1:2">
      <c r="A1176" s="29" t="s">
        <v>5</v>
      </c>
      <c r="B1176" s="29" t="str">
        <f t="shared" si="19"/>
        <v>Looker</v>
      </c>
    </row>
    <row r="1177" spans="1:2">
      <c r="A1177" s="29"/>
      <c r="B1177" s="29" t="str">
        <f t="shared" si="19"/>
        <v/>
      </c>
    </row>
    <row r="1178" spans="1:2">
      <c r="A1178" s="29" t="s">
        <v>23</v>
      </c>
      <c r="B1178" s="29" t="str">
        <f t="shared" si="19"/>
        <v>Spark</v>
      </c>
    </row>
    <row r="1179" spans="1:2">
      <c r="A1179" s="29" t="s">
        <v>3</v>
      </c>
      <c r="B1179" s="29" t="str">
        <f t="shared" si="19"/>
        <v>Machine Learning</v>
      </c>
    </row>
    <row r="1180" spans="1:2">
      <c r="A1180" s="29"/>
      <c r="B1180" s="29" t="str">
        <f t="shared" si="19"/>
        <v/>
      </c>
    </row>
    <row r="1181" spans="1:2">
      <c r="A1181" s="29" t="s">
        <v>18</v>
      </c>
      <c r="B1181" s="29" t="str">
        <f t="shared" si="19"/>
        <v>Power BI</v>
      </c>
    </row>
    <row r="1182" spans="1:2">
      <c r="A1182" s="29" t="s">
        <v>23</v>
      </c>
      <c r="B1182" s="29" t="str">
        <f t="shared" si="19"/>
        <v>Spark</v>
      </c>
    </row>
    <row r="1183" spans="1:2">
      <c r="A1183" s="29" t="s">
        <v>6</v>
      </c>
      <c r="B1183" s="29" t="str">
        <f t="shared" si="19"/>
        <v>R</v>
      </c>
    </row>
    <row r="1184" spans="1:2">
      <c r="A1184" s="29" t="s">
        <v>12</v>
      </c>
      <c r="B1184" s="29" t="str">
        <f t="shared" si="19"/>
        <v>SQL</v>
      </c>
    </row>
    <row r="1185" spans="1:2">
      <c r="A1185" s="29" t="s">
        <v>9</v>
      </c>
      <c r="B1185" s="29" t="str">
        <f t="shared" si="19"/>
        <v>NumPy</v>
      </c>
    </row>
    <row r="1186" spans="1:2">
      <c r="A1186" s="29"/>
      <c r="B1186" s="29" t="str">
        <f t="shared" si="19"/>
        <v/>
      </c>
    </row>
    <row r="1187" spans="1:2">
      <c r="A1187" s="29"/>
      <c r="B1187" s="29" t="str">
        <f t="shared" si="19"/>
        <v/>
      </c>
    </row>
    <row r="1188" spans="1:2">
      <c r="A1188" s="29" t="s">
        <v>28</v>
      </c>
      <c r="B1188" s="29" t="str">
        <f t="shared" si="19"/>
        <v>AWS</v>
      </c>
    </row>
    <row r="1189" spans="1:2">
      <c r="A1189" s="29" t="s">
        <v>17</v>
      </c>
      <c r="B1189" s="29" t="str">
        <f t="shared" si="19"/>
        <v>DAX</v>
      </c>
    </row>
    <row r="1190" spans="1:2">
      <c r="A1190" s="29" t="s">
        <v>5</v>
      </c>
      <c r="B1190" s="29" t="str">
        <f t="shared" si="19"/>
        <v>Looker</v>
      </c>
    </row>
    <row r="1191" spans="1:2">
      <c r="A1191" s="29" t="s">
        <v>21</v>
      </c>
      <c r="B1191" s="29" t="str">
        <f t="shared" si="19"/>
        <v>dbt</v>
      </c>
    </row>
    <row r="1192" spans="1:2">
      <c r="A1192" s="29"/>
      <c r="B1192" s="29" t="str">
        <f t="shared" si="19"/>
        <v/>
      </c>
    </row>
    <row r="1193" spans="1:2">
      <c r="A1193" s="29"/>
      <c r="B1193" s="29" t="str">
        <f t="shared" si="19"/>
        <v/>
      </c>
    </row>
    <row r="1194" spans="1:2">
      <c r="A1194" s="29" t="s">
        <v>14</v>
      </c>
      <c r="B1194" s="29" t="str">
        <f t="shared" si="19"/>
        <v>Tableau</v>
      </c>
    </row>
    <row r="1195" spans="1:2">
      <c r="A1195" s="29" t="s">
        <v>17</v>
      </c>
      <c r="B1195" s="29" t="str">
        <f t="shared" si="19"/>
        <v>DAX</v>
      </c>
    </row>
    <row r="1196" spans="1:2">
      <c r="A1196" s="29" t="s">
        <v>22</v>
      </c>
      <c r="B1196" s="29" t="str">
        <f t="shared" si="19"/>
        <v>Snowflake</v>
      </c>
    </row>
    <row r="1197" spans="1:2">
      <c r="A1197" s="29" t="s">
        <v>24</v>
      </c>
      <c r="B1197" s="29" t="str">
        <f t="shared" si="19"/>
        <v>Python</v>
      </c>
    </row>
  </sheetData>
  <autoFilter ref="C1:D21">
    <sortState ref="C1:D21">
      <sortCondition ref="D1" descending="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workbookViewId="0">
      <selection activeCell="A1" sqref="A$1:C$1048576"/>
    </sheetView>
  </sheetViews>
  <sheetFormatPr defaultColWidth="8.8" defaultRowHeight="15"/>
  <cols>
    <col min="3" max="3" width="9.3"/>
    <col min="6" max="6" width="12.5" style="15"/>
    <col min="7" max="7" width="10.4" style="15"/>
    <col min="8" max="8" width="12.5" style="15"/>
    <col min="9" max="9" width="10.4" style="15"/>
    <col min="10" max="15" width="12.5" style="15"/>
  </cols>
  <sheetData>
    <row r="1" spans="1:15">
      <c r="A1" s="16" t="s">
        <v>55</v>
      </c>
      <c r="B1" s="16" t="s">
        <v>56</v>
      </c>
      <c r="C1" s="12" t="s">
        <v>57</v>
      </c>
      <c r="E1" s="18"/>
      <c r="F1" s="19" t="s">
        <v>58</v>
      </c>
      <c r="G1" s="19" t="s">
        <v>59</v>
      </c>
      <c r="H1" s="19" t="s">
        <v>60</v>
      </c>
      <c r="I1" s="19" t="s">
        <v>61</v>
      </c>
      <c r="J1" s="19" t="s">
        <v>62</v>
      </c>
      <c r="K1" s="19" t="s">
        <v>63</v>
      </c>
      <c r="L1" s="19" t="s">
        <v>64</v>
      </c>
      <c r="M1" s="19" t="s">
        <v>65</v>
      </c>
      <c r="N1" s="19" t="s">
        <v>66</v>
      </c>
      <c r="O1" s="25" t="s">
        <v>67</v>
      </c>
    </row>
    <row r="2" spans="1:15">
      <c r="A2" s="17" t="s">
        <v>68</v>
      </c>
      <c r="B2" s="17" t="s">
        <v>58</v>
      </c>
      <c r="C2" s="6">
        <v>206953.5</v>
      </c>
      <c r="E2" s="20" t="s">
        <v>69</v>
      </c>
      <c r="F2" s="21">
        <f>AVERAGEIFS($C:$C,$A:$A,$E2,$B:$B,F$1)</f>
        <v>216205</v>
      </c>
      <c r="G2" s="21">
        <f t="shared" ref="G2:O2" si="0">AVERAGEIFS($C:$C,$A:$A,$E2,$B:$B,G$1)</f>
        <v>91806.625</v>
      </c>
      <c r="H2" s="21">
        <f t="shared" si="0"/>
        <v>215911.5</v>
      </c>
      <c r="I2" s="21">
        <f t="shared" si="0"/>
        <v>152518.4</v>
      </c>
      <c r="J2" s="21">
        <f t="shared" si="0"/>
        <v>199208.625</v>
      </c>
      <c r="K2" s="21">
        <f t="shared" si="0"/>
        <v>225256.4375</v>
      </c>
      <c r="L2" s="21">
        <f t="shared" si="0"/>
        <v>115640.375</v>
      </c>
      <c r="M2" s="21">
        <f t="shared" si="0"/>
        <v>118992.666666667</v>
      </c>
      <c r="N2" s="21">
        <f t="shared" si="0"/>
        <v>122675.4</v>
      </c>
      <c r="O2" s="26">
        <f t="shared" si="0"/>
        <v>160129.125</v>
      </c>
    </row>
    <row r="3" spans="1:15">
      <c r="A3" s="17" t="s">
        <v>68</v>
      </c>
      <c r="B3" s="17" t="s">
        <v>63</v>
      </c>
      <c r="C3" s="6">
        <v>275090.5</v>
      </c>
      <c r="E3" s="20" t="s">
        <v>70</v>
      </c>
      <c r="F3" s="21">
        <f>AVERAGEIFS($C:$C,$A:$A,$E3,$B:$B,F$1)</f>
        <v>140874.9</v>
      </c>
      <c r="G3" s="21">
        <f>AVERAGEIFS($C:$C,$A:$A,$E3,$B:$B,G$1)</f>
        <v>171971</v>
      </c>
      <c r="H3" s="21">
        <f>AVERAGEIFS($C:$C,$A:$A,$E3,$B:$B,H$1)</f>
        <v>134997.4</v>
      </c>
      <c r="I3" s="21">
        <f>AVERAGEIFS($C:$C,$A:$A,$E3,$B:$B,I$1)</f>
        <v>152354.3</v>
      </c>
      <c r="J3" s="21">
        <f>AVERAGEIFS($C:$C,$A:$A,$E3,$B:$B,J$1)</f>
        <v>181690.3</v>
      </c>
      <c r="K3" s="21">
        <f>AVERAGEIFS($C:$C,$A:$A,$E3,$B:$B,K$1)</f>
        <v>155969</v>
      </c>
      <c r="L3" s="21">
        <f>AVERAGEIFS($C:$C,$A:$A,$E3,$B:$B,L$1)</f>
        <v>218715.285714286</v>
      </c>
      <c r="M3" s="21">
        <f>AVERAGEIFS($C:$C,$A:$A,$E3,$B:$B,M$1)</f>
        <v>211188</v>
      </c>
      <c r="N3" s="21">
        <f>AVERAGEIFS($C:$C,$A:$A,$E3,$B:$B,N$1)</f>
        <v>165354.611111111</v>
      </c>
      <c r="O3" s="26">
        <f>AVERAGEIFS($C:$C,$A:$A,$E3,$B:$B,O$1)</f>
        <v>160699.357142857</v>
      </c>
    </row>
    <row r="4" ht="15.75" spans="1:15">
      <c r="A4" s="17" t="s">
        <v>70</v>
      </c>
      <c r="B4" s="17" t="s">
        <v>67</v>
      </c>
      <c r="C4" s="6">
        <v>60239.5</v>
      </c>
      <c r="E4" s="22" t="s">
        <v>68</v>
      </c>
      <c r="F4" s="23">
        <f>AVERAGEIFS($C:$C,$A:$A,$E4,$B:$B,F$1)</f>
        <v>185576.666666667</v>
      </c>
      <c r="G4" s="23">
        <f>AVERAGEIFS($C:$C,$A:$A,$E4,$B:$B,G$1)</f>
        <v>142835.25</v>
      </c>
      <c r="H4" s="23">
        <f>AVERAGEIFS($C:$C,$A:$A,$E4,$B:$B,H$1)</f>
        <v>167163.9375</v>
      </c>
      <c r="I4" s="23">
        <f>AVERAGEIFS($C:$C,$A:$A,$E4,$B:$B,I$1)</f>
        <v>249089</v>
      </c>
      <c r="J4" s="23">
        <f>AVERAGEIFS($C:$C,$A:$A,$E4,$B:$B,J$1)</f>
        <v>184622.5625</v>
      </c>
      <c r="K4" s="23">
        <f>AVERAGEIFS($C:$C,$A:$A,$E4,$B:$B,K$1)</f>
        <v>161394.166666667</v>
      </c>
      <c r="L4" s="23">
        <f>AVERAGEIFS($C:$C,$A:$A,$E4,$B:$B,L$1)</f>
        <v>242800</v>
      </c>
      <c r="M4" s="23">
        <f>AVERAGEIFS($C:$C,$A:$A,$E4,$B:$B,M$1)</f>
        <v>176499.5</v>
      </c>
      <c r="N4" s="23">
        <f>AVERAGEIFS($C:$C,$A:$A,$E4,$B:$B,N$1)</f>
        <v>164907.25</v>
      </c>
      <c r="O4" s="27">
        <f>AVERAGEIFS($C:$C,$A:$A,$E4,$B:$B,O$1)</f>
        <v>145574.7</v>
      </c>
    </row>
    <row r="5" spans="1:5">
      <c r="A5" s="17" t="s">
        <v>69</v>
      </c>
      <c r="B5" s="17" t="s">
        <v>66</v>
      </c>
      <c r="C5" s="6">
        <v>127128.5</v>
      </c>
      <c r="E5" s="24"/>
    </row>
    <row r="6" spans="1:5">
      <c r="A6" s="17" t="s">
        <v>70</v>
      </c>
      <c r="B6" s="17" t="s">
        <v>61</v>
      </c>
      <c r="C6" s="6">
        <v>171341</v>
      </c>
      <c r="E6" s="17"/>
    </row>
    <row r="7" spans="1:5">
      <c r="A7" s="17" t="s">
        <v>69</v>
      </c>
      <c r="B7" s="17" t="s">
        <v>59</v>
      </c>
      <c r="C7" s="6">
        <v>67576</v>
      </c>
      <c r="E7" s="17"/>
    </row>
    <row r="8" spans="1:5">
      <c r="A8" s="17" t="s">
        <v>69</v>
      </c>
      <c r="B8" s="17" t="s">
        <v>67</v>
      </c>
      <c r="C8" s="6">
        <v>205832.5</v>
      </c>
      <c r="E8" s="17"/>
    </row>
    <row r="9" spans="1:5">
      <c r="A9" s="17" t="s">
        <v>70</v>
      </c>
      <c r="B9" s="17" t="s">
        <v>61</v>
      </c>
      <c r="C9" s="6">
        <v>203214.5</v>
      </c>
      <c r="E9" s="17"/>
    </row>
    <row r="10" spans="1:5">
      <c r="A10" s="17" t="s">
        <v>70</v>
      </c>
      <c r="B10" s="17" t="s">
        <v>58</v>
      </c>
      <c r="C10" s="6">
        <v>76823</v>
      </c>
      <c r="E10" s="17"/>
    </row>
    <row r="11" spans="1:5">
      <c r="A11" s="17" t="s">
        <v>69</v>
      </c>
      <c r="B11" s="17" t="s">
        <v>59</v>
      </c>
      <c r="C11" s="6">
        <v>50700</v>
      </c>
      <c r="E11" s="17"/>
    </row>
    <row r="12" spans="1:5">
      <c r="A12" s="17" t="s">
        <v>69</v>
      </c>
      <c r="B12" s="17" t="s">
        <v>58</v>
      </c>
      <c r="C12" s="6">
        <v>184140</v>
      </c>
      <c r="E12" s="17"/>
    </row>
    <row r="13" spans="1:5">
      <c r="A13" s="17" t="s">
        <v>70</v>
      </c>
      <c r="B13" s="17" t="s">
        <v>62</v>
      </c>
      <c r="C13" s="6">
        <v>269846.5</v>
      </c>
      <c r="E13" s="17"/>
    </row>
    <row r="14" spans="1:5">
      <c r="A14" s="17" t="s">
        <v>70</v>
      </c>
      <c r="B14" s="17" t="s">
        <v>64</v>
      </c>
      <c r="C14" s="6">
        <v>232216</v>
      </c>
      <c r="E14" s="17"/>
    </row>
    <row r="15" spans="1:5">
      <c r="A15" s="17" t="s">
        <v>69</v>
      </c>
      <c r="B15" s="17" t="s">
        <v>63</v>
      </c>
      <c r="C15" s="6">
        <v>279715</v>
      </c>
      <c r="E15" s="17"/>
    </row>
    <row r="16" spans="1:5">
      <c r="A16" s="17" t="s">
        <v>69</v>
      </c>
      <c r="B16" s="17" t="s">
        <v>67</v>
      </c>
      <c r="C16" s="6">
        <v>136101.5</v>
      </c>
      <c r="E16" s="17"/>
    </row>
    <row r="17" spans="1:5">
      <c r="A17" s="17" t="s">
        <v>68</v>
      </c>
      <c r="B17" s="17" t="s">
        <v>58</v>
      </c>
      <c r="C17" s="6">
        <v>154410</v>
      </c>
      <c r="E17" s="17"/>
    </row>
    <row r="18" spans="1:5">
      <c r="A18" s="17" t="s">
        <v>70</v>
      </c>
      <c r="B18" s="17" t="s">
        <v>59</v>
      </c>
      <c r="C18" s="6">
        <v>174111.5</v>
      </c>
      <c r="E18" s="17"/>
    </row>
    <row r="19" spans="1:5">
      <c r="A19" s="17" t="s">
        <v>70</v>
      </c>
      <c r="B19" s="17" t="s">
        <v>60</v>
      </c>
      <c r="C19" s="6">
        <v>64692.5</v>
      </c>
      <c r="E19" s="17"/>
    </row>
    <row r="20" spans="1:5">
      <c r="A20" s="17" t="s">
        <v>68</v>
      </c>
      <c r="B20" s="17" t="s">
        <v>62</v>
      </c>
      <c r="C20" s="6">
        <v>287430</v>
      </c>
      <c r="E20" s="17"/>
    </row>
    <row r="21" spans="1:5">
      <c r="A21" s="17" t="s">
        <v>69</v>
      </c>
      <c r="B21" s="17" t="s">
        <v>65</v>
      </c>
      <c r="C21" s="6">
        <v>72011.5</v>
      </c>
      <c r="E21" s="17"/>
    </row>
    <row r="22" spans="1:5">
      <c r="A22" s="17" t="s">
        <v>70</v>
      </c>
      <c r="B22" s="17" t="s">
        <v>59</v>
      </c>
      <c r="C22" s="6">
        <v>196947</v>
      </c>
      <c r="E22" s="17"/>
    </row>
    <row r="23" spans="1:5">
      <c r="A23" s="17" t="s">
        <v>69</v>
      </c>
      <c r="B23" s="17" t="s">
        <v>67</v>
      </c>
      <c r="C23" s="6">
        <v>204966</v>
      </c>
      <c r="E23" s="17"/>
    </row>
    <row r="24" spans="1:5">
      <c r="A24" s="17" t="s">
        <v>69</v>
      </c>
      <c r="B24" s="17" t="s">
        <v>61</v>
      </c>
      <c r="C24" s="6">
        <v>235051</v>
      </c>
      <c r="E24" s="17"/>
    </row>
    <row r="25" spans="1:5">
      <c r="A25" s="17" t="s">
        <v>70</v>
      </c>
      <c r="B25" s="17" t="s">
        <v>65</v>
      </c>
      <c r="C25" s="6">
        <v>232860.5</v>
      </c>
      <c r="E25" s="17"/>
    </row>
    <row r="26" spans="1:5">
      <c r="A26" s="17" t="s">
        <v>68</v>
      </c>
      <c r="B26" s="17" t="s">
        <v>62</v>
      </c>
      <c r="C26" s="6">
        <v>90816.5</v>
      </c>
      <c r="E26" s="17"/>
    </row>
    <row r="27" spans="1:5">
      <c r="A27" s="17" t="s">
        <v>69</v>
      </c>
      <c r="B27" s="17" t="s">
        <v>66</v>
      </c>
      <c r="C27" s="6">
        <v>107214</v>
      </c>
      <c r="E27" s="17"/>
    </row>
    <row r="28" spans="1:5">
      <c r="A28" s="17" t="s">
        <v>70</v>
      </c>
      <c r="B28" s="17" t="s">
        <v>67</v>
      </c>
      <c r="C28" s="6">
        <v>134507.5</v>
      </c>
      <c r="E28" s="17"/>
    </row>
    <row r="29" spans="1:5">
      <c r="A29" s="17" t="s">
        <v>69</v>
      </c>
      <c r="B29" s="17" t="s">
        <v>60</v>
      </c>
      <c r="C29" s="6">
        <v>193334.5</v>
      </c>
      <c r="E29" s="17"/>
    </row>
    <row r="30" spans="1:5">
      <c r="A30" s="17" t="s">
        <v>68</v>
      </c>
      <c r="B30" s="17" t="s">
        <v>65</v>
      </c>
      <c r="C30" s="6">
        <v>176499.5</v>
      </c>
      <c r="E30" s="17"/>
    </row>
    <row r="31" spans="1:5">
      <c r="A31" s="17" t="s">
        <v>69</v>
      </c>
      <c r="B31" s="17" t="s">
        <v>67</v>
      </c>
      <c r="C31" s="6">
        <v>93616.5</v>
      </c>
      <c r="E31" s="17"/>
    </row>
    <row r="32" spans="1:5">
      <c r="A32" s="17" t="s">
        <v>69</v>
      </c>
      <c r="B32" s="17" t="s">
        <v>61</v>
      </c>
      <c r="C32" s="6">
        <v>170248.5</v>
      </c>
      <c r="E32" s="17"/>
    </row>
    <row r="33" spans="1:5">
      <c r="A33" s="17" t="s">
        <v>69</v>
      </c>
      <c r="B33" s="17" t="s">
        <v>60</v>
      </c>
      <c r="C33" s="6">
        <v>164438.5</v>
      </c>
      <c r="E33" s="17"/>
    </row>
    <row r="34" spans="1:5">
      <c r="A34" s="17" t="s">
        <v>69</v>
      </c>
      <c r="B34" s="17" t="s">
        <v>61</v>
      </c>
      <c r="C34" s="6">
        <v>194134</v>
      </c>
      <c r="E34" s="17"/>
    </row>
    <row r="35" spans="1:5">
      <c r="A35" s="17" t="s">
        <v>70</v>
      </c>
      <c r="B35" s="17" t="s">
        <v>66</v>
      </c>
      <c r="C35" s="6">
        <v>285410.5</v>
      </c>
      <c r="E35" s="17"/>
    </row>
    <row r="36" spans="1:5">
      <c r="A36" s="17" t="s">
        <v>69</v>
      </c>
      <c r="B36" s="17" t="s">
        <v>63</v>
      </c>
      <c r="C36" s="6">
        <v>146765.5</v>
      </c>
      <c r="E36" s="17"/>
    </row>
    <row r="37" spans="1:5">
      <c r="A37" s="17" t="s">
        <v>69</v>
      </c>
      <c r="B37" s="17" t="s">
        <v>65</v>
      </c>
      <c r="C37" s="6">
        <v>129151</v>
      </c>
      <c r="E37" s="17"/>
    </row>
    <row r="38" spans="1:5">
      <c r="A38" s="17" t="s">
        <v>70</v>
      </c>
      <c r="B38" s="17" t="s">
        <v>65</v>
      </c>
      <c r="C38" s="6">
        <v>97059.5</v>
      </c>
      <c r="E38" s="17"/>
    </row>
    <row r="39" spans="1:5">
      <c r="A39" s="17" t="s">
        <v>69</v>
      </c>
      <c r="B39" s="17" t="s">
        <v>64</v>
      </c>
      <c r="C39" s="6">
        <v>83748</v>
      </c>
      <c r="E39" s="17"/>
    </row>
    <row r="40" spans="1:5">
      <c r="A40" s="17" t="s">
        <v>70</v>
      </c>
      <c r="B40" s="17" t="s">
        <v>61</v>
      </c>
      <c r="C40" s="6">
        <v>208239.5</v>
      </c>
      <c r="E40" s="17"/>
    </row>
    <row r="41" spans="1:5">
      <c r="A41" s="17" t="s">
        <v>69</v>
      </c>
      <c r="B41" s="17" t="s">
        <v>58</v>
      </c>
      <c r="C41" s="6">
        <v>298565</v>
      </c>
      <c r="E41" s="17"/>
    </row>
    <row r="42" spans="1:5">
      <c r="A42" s="17" t="s">
        <v>70</v>
      </c>
      <c r="B42" s="17" t="s">
        <v>67</v>
      </c>
      <c r="C42" s="6">
        <v>283089.5</v>
      </c>
      <c r="E42" s="17"/>
    </row>
    <row r="43" spans="1:5">
      <c r="A43" s="17" t="s">
        <v>70</v>
      </c>
      <c r="B43" s="17" t="s">
        <v>61</v>
      </c>
      <c r="C43" s="6">
        <v>54592</v>
      </c>
      <c r="E43" s="17"/>
    </row>
    <row r="44" spans="1:5">
      <c r="A44" s="17" t="s">
        <v>69</v>
      </c>
      <c r="B44" s="17" t="s">
        <v>66</v>
      </c>
      <c r="C44" s="6">
        <v>74791.5</v>
      </c>
      <c r="E44" s="17"/>
    </row>
    <row r="45" spans="1:5">
      <c r="A45" s="17" t="s">
        <v>70</v>
      </c>
      <c r="B45" s="17" t="s">
        <v>67</v>
      </c>
      <c r="C45" s="6">
        <v>70063</v>
      </c>
      <c r="E45" s="17"/>
    </row>
    <row r="46" spans="1:5">
      <c r="A46" s="17" t="s">
        <v>70</v>
      </c>
      <c r="B46" s="17" t="s">
        <v>66</v>
      </c>
      <c r="C46" s="6">
        <v>55867.5</v>
      </c>
      <c r="E46" s="17"/>
    </row>
    <row r="47" spans="1:5">
      <c r="A47" s="17" t="s">
        <v>68</v>
      </c>
      <c r="B47" s="17" t="s">
        <v>62</v>
      </c>
      <c r="C47" s="6">
        <v>273934.5</v>
      </c>
      <c r="E47" s="17"/>
    </row>
    <row r="48" spans="1:5">
      <c r="A48" s="17" t="s">
        <v>68</v>
      </c>
      <c r="B48" s="17" t="s">
        <v>67</v>
      </c>
      <c r="C48" s="6">
        <v>208498</v>
      </c>
      <c r="E48" s="17"/>
    </row>
    <row r="49" spans="1:5">
      <c r="A49" s="17" t="s">
        <v>70</v>
      </c>
      <c r="B49" s="17" t="s">
        <v>58</v>
      </c>
      <c r="C49" s="6">
        <v>75466.5</v>
      </c>
      <c r="E49" s="17"/>
    </row>
    <row r="50" spans="1:5">
      <c r="A50" s="17" t="s">
        <v>68</v>
      </c>
      <c r="B50" s="17" t="s">
        <v>58</v>
      </c>
      <c r="C50" s="6">
        <v>216401.5</v>
      </c>
      <c r="E50" s="17"/>
    </row>
    <row r="51" spans="1:5">
      <c r="A51" s="17" t="s">
        <v>68</v>
      </c>
      <c r="B51" s="17" t="s">
        <v>60</v>
      </c>
      <c r="C51" s="6">
        <v>105217</v>
      </c>
      <c r="E51" s="17"/>
    </row>
    <row r="52" spans="1:5">
      <c r="A52" s="17" t="s">
        <v>69</v>
      </c>
      <c r="B52" s="17" t="s">
        <v>60</v>
      </c>
      <c r="C52" s="6">
        <v>246086.5</v>
      </c>
      <c r="E52" s="17"/>
    </row>
    <row r="53" spans="1:5">
      <c r="A53" s="17" t="s">
        <v>68</v>
      </c>
      <c r="B53" s="17" t="s">
        <v>66</v>
      </c>
      <c r="C53" s="6">
        <v>158892.5</v>
      </c>
      <c r="E53" s="17"/>
    </row>
    <row r="54" spans="1:5">
      <c r="A54" s="17" t="s">
        <v>69</v>
      </c>
      <c r="B54" s="17" t="s">
        <v>64</v>
      </c>
      <c r="C54" s="6">
        <v>153743</v>
      </c>
      <c r="E54" s="17"/>
    </row>
    <row r="55" spans="1:5">
      <c r="A55" s="17" t="s">
        <v>70</v>
      </c>
      <c r="B55" s="17" t="s">
        <v>58</v>
      </c>
      <c r="C55" s="6">
        <v>159623</v>
      </c>
      <c r="E55" s="17"/>
    </row>
    <row r="56" spans="1:5">
      <c r="A56" s="17" t="s">
        <v>70</v>
      </c>
      <c r="B56" s="17" t="s">
        <v>64</v>
      </c>
      <c r="C56" s="6">
        <v>266567</v>
      </c>
      <c r="E56" s="17"/>
    </row>
    <row r="57" spans="1:5">
      <c r="A57" s="17" t="s">
        <v>68</v>
      </c>
      <c r="B57" s="17" t="s">
        <v>66</v>
      </c>
      <c r="C57" s="6">
        <v>159602</v>
      </c>
      <c r="E57" s="17"/>
    </row>
    <row r="58" spans="1:5">
      <c r="A58" s="17" t="s">
        <v>68</v>
      </c>
      <c r="B58" s="17" t="s">
        <v>60</v>
      </c>
      <c r="C58" s="6">
        <v>297854</v>
      </c>
      <c r="E58" s="17"/>
    </row>
    <row r="59" spans="1:5">
      <c r="A59" s="17" t="s">
        <v>69</v>
      </c>
      <c r="B59" s="17" t="s">
        <v>59</v>
      </c>
      <c r="C59" s="6">
        <v>194718.5</v>
      </c>
      <c r="E59" s="17"/>
    </row>
    <row r="60" spans="1:5">
      <c r="A60" s="17" t="s">
        <v>69</v>
      </c>
      <c r="B60" s="17" t="s">
        <v>60</v>
      </c>
      <c r="C60" s="6">
        <v>201414.5</v>
      </c>
      <c r="E60" s="17"/>
    </row>
    <row r="61" spans="1:5">
      <c r="A61" s="17" t="s">
        <v>69</v>
      </c>
      <c r="B61" s="17" t="s">
        <v>62</v>
      </c>
      <c r="C61" s="6">
        <v>171166</v>
      </c>
      <c r="E61" s="17"/>
    </row>
    <row r="62" spans="1:5">
      <c r="A62" s="17" t="s">
        <v>68</v>
      </c>
      <c r="B62" s="17" t="s">
        <v>59</v>
      </c>
      <c r="C62" s="6">
        <v>164955.5</v>
      </c>
      <c r="E62" s="17"/>
    </row>
    <row r="63" spans="1:5">
      <c r="A63" s="17" t="s">
        <v>69</v>
      </c>
      <c r="B63" s="17" t="s">
        <v>58</v>
      </c>
      <c r="C63" s="6">
        <v>272054</v>
      </c>
      <c r="E63" s="17"/>
    </row>
    <row r="64" spans="1:5">
      <c r="A64" s="17" t="s">
        <v>69</v>
      </c>
      <c r="B64" s="17" t="s">
        <v>58</v>
      </c>
      <c r="C64" s="6">
        <v>75460.5</v>
      </c>
      <c r="E64" s="17"/>
    </row>
    <row r="65" spans="1:5">
      <c r="A65" s="17" t="s">
        <v>68</v>
      </c>
      <c r="B65" s="17" t="s">
        <v>60</v>
      </c>
      <c r="C65" s="6">
        <v>198958</v>
      </c>
      <c r="E65" s="17"/>
    </row>
    <row r="66" spans="1:5">
      <c r="A66" s="17" t="s">
        <v>68</v>
      </c>
      <c r="B66" s="17" t="s">
        <v>67</v>
      </c>
      <c r="C66" s="6">
        <v>130389.5</v>
      </c>
      <c r="E66" s="17"/>
    </row>
    <row r="67" spans="1:5">
      <c r="A67" s="17" t="s">
        <v>70</v>
      </c>
      <c r="B67" s="17" t="s">
        <v>62</v>
      </c>
      <c r="C67" s="6">
        <v>216923</v>
      </c>
      <c r="E67" s="17"/>
    </row>
    <row r="68" spans="1:5">
      <c r="A68" s="17" t="s">
        <v>68</v>
      </c>
      <c r="B68" s="17" t="s">
        <v>62</v>
      </c>
      <c r="C68" s="6">
        <v>156389.5</v>
      </c>
      <c r="E68" s="17"/>
    </row>
    <row r="69" spans="1:5">
      <c r="A69" s="17" t="s">
        <v>70</v>
      </c>
      <c r="B69" s="17" t="s">
        <v>59</v>
      </c>
      <c r="C69" s="6">
        <v>176877</v>
      </c>
      <c r="E69" s="17"/>
    </row>
    <row r="70" spans="1:5">
      <c r="A70" s="17" t="s">
        <v>68</v>
      </c>
      <c r="B70" s="17" t="s">
        <v>59</v>
      </c>
      <c r="C70" s="6">
        <v>143454.5</v>
      </c>
      <c r="E70" s="17"/>
    </row>
    <row r="71" spans="1:5">
      <c r="A71" s="17" t="s">
        <v>70</v>
      </c>
      <c r="B71" s="17" t="s">
        <v>67</v>
      </c>
      <c r="C71" s="6">
        <v>67615</v>
      </c>
      <c r="E71" s="17"/>
    </row>
    <row r="72" spans="1:5">
      <c r="A72" s="17" t="s">
        <v>68</v>
      </c>
      <c r="B72" s="17" t="s">
        <v>61</v>
      </c>
      <c r="C72" s="6">
        <v>230800</v>
      </c>
      <c r="E72" s="17"/>
    </row>
    <row r="73" spans="1:5">
      <c r="A73" s="17" t="s">
        <v>68</v>
      </c>
      <c r="B73" s="17" t="s">
        <v>59</v>
      </c>
      <c r="C73" s="6">
        <v>65955</v>
      </c>
      <c r="E73" s="17"/>
    </row>
    <row r="74" spans="1:5">
      <c r="A74" s="17" t="s">
        <v>69</v>
      </c>
      <c r="B74" s="17" t="s">
        <v>64</v>
      </c>
      <c r="C74" s="6">
        <v>80515</v>
      </c>
      <c r="E74" s="17"/>
    </row>
    <row r="75" spans="1:5">
      <c r="A75" s="17" t="s">
        <v>69</v>
      </c>
      <c r="B75" s="17" t="s">
        <v>62</v>
      </c>
      <c r="C75" s="6">
        <v>253789.5</v>
      </c>
      <c r="E75" s="17"/>
    </row>
    <row r="76" spans="1:5">
      <c r="A76" s="17" t="s">
        <v>70</v>
      </c>
      <c r="B76" s="17" t="s">
        <v>61</v>
      </c>
      <c r="C76" s="6">
        <v>124384.5</v>
      </c>
      <c r="E76" s="17"/>
    </row>
    <row r="77" spans="1:5">
      <c r="A77" s="17" t="s">
        <v>70</v>
      </c>
      <c r="B77" s="17" t="s">
        <v>60</v>
      </c>
      <c r="C77" s="6">
        <v>133678</v>
      </c>
      <c r="E77" s="17"/>
    </row>
    <row r="78" spans="1:5">
      <c r="A78" s="17" t="s">
        <v>68</v>
      </c>
      <c r="B78" s="17" t="s">
        <v>62</v>
      </c>
      <c r="C78" s="6">
        <v>265628.5</v>
      </c>
      <c r="E78" s="17"/>
    </row>
    <row r="79" spans="1:5">
      <c r="A79" s="17" t="s">
        <v>70</v>
      </c>
      <c r="B79" s="17" t="s">
        <v>66</v>
      </c>
      <c r="C79" s="6">
        <v>229502</v>
      </c>
      <c r="E79" s="17"/>
    </row>
    <row r="80" spans="1:5">
      <c r="A80" s="17" t="s">
        <v>68</v>
      </c>
      <c r="B80" s="17" t="s">
        <v>60</v>
      </c>
      <c r="C80" s="6">
        <v>135375</v>
      </c>
      <c r="E80" s="17"/>
    </row>
    <row r="81" spans="1:5">
      <c r="A81" s="17" t="s">
        <v>68</v>
      </c>
      <c r="B81" s="17" t="s">
        <v>61</v>
      </c>
      <c r="C81" s="6">
        <v>267378</v>
      </c>
      <c r="E81" s="17"/>
    </row>
    <row r="82" spans="1:5">
      <c r="A82" s="17" t="s">
        <v>70</v>
      </c>
      <c r="B82" s="17" t="s">
        <v>66</v>
      </c>
      <c r="C82" s="6">
        <v>55106</v>
      </c>
      <c r="E82" s="17"/>
    </row>
    <row r="83" spans="1:5">
      <c r="A83" s="17" t="s">
        <v>68</v>
      </c>
      <c r="B83" s="17" t="s">
        <v>64</v>
      </c>
      <c r="C83" s="6">
        <v>274501</v>
      </c>
      <c r="E83" s="17"/>
    </row>
    <row r="84" spans="1:5">
      <c r="A84" s="17" t="s">
        <v>68</v>
      </c>
      <c r="B84" s="17" t="s">
        <v>62</v>
      </c>
      <c r="C84" s="6">
        <v>115495.5</v>
      </c>
      <c r="E84" s="17"/>
    </row>
    <row r="85" spans="1:5">
      <c r="A85" s="17" t="s">
        <v>70</v>
      </c>
      <c r="B85" s="17" t="s">
        <v>67</v>
      </c>
      <c r="C85" s="6">
        <v>292117.5</v>
      </c>
      <c r="E85" s="17"/>
    </row>
    <row r="86" spans="1:5">
      <c r="A86" s="17" t="s">
        <v>68</v>
      </c>
      <c r="B86" s="17" t="s">
        <v>62</v>
      </c>
      <c r="C86" s="6">
        <v>197282</v>
      </c>
      <c r="E86" s="17"/>
    </row>
    <row r="87" spans="1:5">
      <c r="A87" s="17" t="s">
        <v>70</v>
      </c>
      <c r="B87" s="17" t="s">
        <v>63</v>
      </c>
      <c r="C87" s="6">
        <v>86822.5</v>
      </c>
      <c r="E87" s="17"/>
    </row>
    <row r="88" spans="1:5">
      <c r="A88" s="17" t="s">
        <v>70</v>
      </c>
      <c r="B88" s="17" t="s">
        <v>64</v>
      </c>
      <c r="C88" s="6">
        <v>137297</v>
      </c>
      <c r="E88" s="17"/>
    </row>
    <row r="89" spans="1:5">
      <c r="A89" s="17" t="s">
        <v>70</v>
      </c>
      <c r="B89" s="17" t="s">
        <v>66</v>
      </c>
      <c r="C89" s="6">
        <v>268018</v>
      </c>
      <c r="E89" s="17"/>
    </row>
    <row r="90" spans="1:5">
      <c r="A90" s="17" t="s">
        <v>70</v>
      </c>
      <c r="B90" s="17" t="s">
        <v>59</v>
      </c>
      <c r="C90" s="6">
        <v>242527</v>
      </c>
      <c r="E90" s="17"/>
    </row>
    <row r="91" spans="1:5">
      <c r="A91" s="17" t="s">
        <v>68</v>
      </c>
      <c r="B91" s="17" t="s">
        <v>66</v>
      </c>
      <c r="C91" s="6">
        <v>209916</v>
      </c>
      <c r="E91" s="17"/>
    </row>
    <row r="92" spans="1:5">
      <c r="A92" s="17" t="s">
        <v>70</v>
      </c>
      <c r="B92" s="17" t="s">
        <v>64</v>
      </c>
      <c r="C92" s="6">
        <v>188337</v>
      </c>
      <c r="E92" s="17"/>
    </row>
    <row r="93" spans="1:5">
      <c r="A93" s="17" t="s">
        <v>69</v>
      </c>
      <c r="B93" s="17" t="s">
        <v>60</v>
      </c>
      <c r="C93" s="6">
        <v>274283.5</v>
      </c>
      <c r="E93" s="17"/>
    </row>
    <row r="94" spans="1:5">
      <c r="A94" s="17" t="s">
        <v>68</v>
      </c>
      <c r="B94" s="17" t="s">
        <v>62</v>
      </c>
      <c r="C94" s="6">
        <v>90004</v>
      </c>
      <c r="E94" s="17"/>
    </row>
    <row r="95" spans="1:5">
      <c r="A95" s="17" t="s">
        <v>70</v>
      </c>
      <c r="B95" s="17" t="s">
        <v>60</v>
      </c>
      <c r="C95" s="6">
        <v>135841.5</v>
      </c>
      <c r="E95" s="17"/>
    </row>
    <row r="96" spans="1:5">
      <c r="A96" s="17" t="s">
        <v>69</v>
      </c>
      <c r="B96" s="17" t="s">
        <v>63</v>
      </c>
      <c r="C96" s="6">
        <v>280067</v>
      </c>
      <c r="E96" s="17"/>
    </row>
    <row r="97" spans="1:5">
      <c r="A97" s="17" t="s">
        <v>69</v>
      </c>
      <c r="B97" s="17" t="s">
        <v>63</v>
      </c>
      <c r="C97" s="6">
        <v>204721.5</v>
      </c>
      <c r="E97" s="17"/>
    </row>
    <row r="98" spans="1:5">
      <c r="A98" s="17" t="s">
        <v>69</v>
      </c>
      <c r="B98" s="17" t="s">
        <v>62</v>
      </c>
      <c r="C98" s="6">
        <v>244154.5</v>
      </c>
      <c r="E98" s="17"/>
    </row>
    <row r="99" spans="1:5">
      <c r="A99" s="17" t="s">
        <v>69</v>
      </c>
      <c r="B99" s="17" t="s">
        <v>59</v>
      </c>
      <c r="C99" s="6">
        <v>54232</v>
      </c>
      <c r="E99" s="17"/>
    </row>
    <row r="100" spans="1:5">
      <c r="A100" s="17" t="s">
        <v>70</v>
      </c>
      <c r="B100" s="17" t="s">
        <v>66</v>
      </c>
      <c r="C100" s="6">
        <v>110125</v>
      </c>
      <c r="E100" s="17"/>
    </row>
    <row r="101" spans="1:5">
      <c r="A101" s="17" t="s">
        <v>69</v>
      </c>
      <c r="B101" s="17" t="s">
        <v>66</v>
      </c>
      <c r="C101" s="6">
        <v>185953.5</v>
      </c>
      <c r="E101" s="17"/>
    </row>
    <row r="102" spans="1:5">
      <c r="A102" s="17" t="s">
        <v>70</v>
      </c>
      <c r="B102" s="17" t="s">
        <v>58</v>
      </c>
      <c r="C102" s="6">
        <v>159901</v>
      </c>
      <c r="E102" s="17"/>
    </row>
    <row r="103" spans="1:5">
      <c r="A103" s="17" t="s">
        <v>69</v>
      </c>
      <c r="B103" s="17" t="s">
        <v>65</v>
      </c>
      <c r="C103" s="6">
        <v>155815.5</v>
      </c>
      <c r="E103" s="17"/>
    </row>
    <row r="104" spans="1:5">
      <c r="A104" s="17" t="s">
        <v>68</v>
      </c>
      <c r="B104" s="17" t="s">
        <v>58</v>
      </c>
      <c r="C104" s="6">
        <v>249885</v>
      </c>
      <c r="E104" s="17"/>
    </row>
    <row r="105" spans="1:5">
      <c r="A105" s="17" t="s">
        <v>70</v>
      </c>
      <c r="B105" s="17" t="s">
        <v>59</v>
      </c>
      <c r="C105" s="6">
        <v>274432</v>
      </c>
      <c r="E105" s="17"/>
    </row>
    <row r="106" spans="1:5">
      <c r="A106" s="17" t="s">
        <v>70</v>
      </c>
      <c r="B106" s="17" t="s">
        <v>64</v>
      </c>
      <c r="C106" s="6">
        <v>246272</v>
      </c>
      <c r="E106" s="17"/>
    </row>
    <row r="107" spans="1:5">
      <c r="A107" s="17" t="s">
        <v>70</v>
      </c>
      <c r="B107" s="17" t="s">
        <v>60</v>
      </c>
      <c r="C107" s="6">
        <v>115478</v>
      </c>
      <c r="E107" s="17"/>
    </row>
    <row r="108" spans="1:5">
      <c r="A108" s="17" t="s">
        <v>70</v>
      </c>
      <c r="B108" s="17" t="s">
        <v>65</v>
      </c>
      <c r="C108" s="6">
        <v>223330</v>
      </c>
      <c r="E108" s="17"/>
    </row>
    <row r="109" spans="1:5">
      <c r="A109" s="17" t="s">
        <v>69</v>
      </c>
      <c r="B109" s="17" t="s">
        <v>63</v>
      </c>
      <c r="C109" s="6">
        <v>154009</v>
      </c>
      <c r="E109" s="17"/>
    </row>
    <row r="110" spans="1:5">
      <c r="A110" s="17" t="s">
        <v>70</v>
      </c>
      <c r="B110" s="17" t="s">
        <v>62</v>
      </c>
      <c r="C110" s="6">
        <v>193099</v>
      </c>
      <c r="E110" s="17"/>
    </row>
    <row r="111" spans="1:5">
      <c r="A111" s="17" t="s">
        <v>70</v>
      </c>
      <c r="B111" s="17" t="s">
        <v>63</v>
      </c>
      <c r="C111" s="6">
        <v>225115.5</v>
      </c>
      <c r="E111" s="17"/>
    </row>
    <row r="112" spans="1:5">
      <c r="A112" s="17" t="s">
        <v>70</v>
      </c>
      <c r="B112" s="17" t="s">
        <v>62</v>
      </c>
      <c r="C112" s="6">
        <v>81530</v>
      </c>
      <c r="E112" s="17"/>
    </row>
    <row r="113" spans="1:5">
      <c r="A113" s="17" t="s">
        <v>69</v>
      </c>
      <c r="B113" s="17" t="s">
        <v>63</v>
      </c>
      <c r="C113" s="6">
        <v>270204</v>
      </c>
      <c r="E113" s="17"/>
    </row>
    <row r="114" spans="1:5">
      <c r="A114" s="17" t="s">
        <v>68</v>
      </c>
      <c r="B114" s="17" t="s">
        <v>67</v>
      </c>
      <c r="C114" s="6">
        <v>93713</v>
      </c>
      <c r="E114" s="17"/>
    </row>
    <row r="115" spans="1:5">
      <c r="A115" s="17" t="s">
        <v>69</v>
      </c>
      <c r="B115" s="17" t="s">
        <v>62</v>
      </c>
      <c r="C115" s="6">
        <v>127724.5</v>
      </c>
      <c r="E115" s="17"/>
    </row>
    <row r="116" spans="1:5">
      <c r="A116" s="17" t="s">
        <v>68</v>
      </c>
      <c r="B116" s="17" t="s">
        <v>64</v>
      </c>
      <c r="C116" s="6">
        <v>104723.5</v>
      </c>
      <c r="E116" s="17"/>
    </row>
    <row r="117" spans="1:5">
      <c r="A117" s="17" t="s">
        <v>68</v>
      </c>
      <c r="B117" s="17" t="s">
        <v>58</v>
      </c>
      <c r="C117" s="6">
        <v>115161.5</v>
      </c>
      <c r="E117" s="17"/>
    </row>
    <row r="118" spans="1:5">
      <c r="A118" s="17" t="s">
        <v>69</v>
      </c>
      <c r="B118" s="17" t="s">
        <v>58</v>
      </c>
      <c r="C118" s="6">
        <v>249382.5</v>
      </c>
      <c r="E118" s="17"/>
    </row>
    <row r="119" spans="1:5">
      <c r="A119" s="17" t="s">
        <v>70</v>
      </c>
      <c r="B119" s="17" t="s">
        <v>64</v>
      </c>
      <c r="C119" s="6">
        <v>191887.5</v>
      </c>
      <c r="E119" s="17"/>
    </row>
    <row r="120" spans="1:5">
      <c r="A120" s="17" t="s">
        <v>68</v>
      </c>
      <c r="B120" s="17" t="s">
        <v>64</v>
      </c>
      <c r="C120" s="6">
        <v>279701.5</v>
      </c>
      <c r="E120" s="17"/>
    </row>
    <row r="121" spans="1:5">
      <c r="A121" s="17" t="s">
        <v>70</v>
      </c>
      <c r="B121" s="17" t="s">
        <v>67</v>
      </c>
      <c r="C121" s="6">
        <v>217263.5</v>
      </c>
      <c r="E121" s="17"/>
    </row>
    <row r="122" spans="1:5">
      <c r="A122" s="17" t="s">
        <v>70</v>
      </c>
      <c r="B122" s="17" t="s">
        <v>59</v>
      </c>
      <c r="C122" s="6">
        <v>53388.5</v>
      </c>
      <c r="E122" s="17"/>
    </row>
    <row r="123" spans="1:5">
      <c r="A123" s="17" t="s">
        <v>68</v>
      </c>
      <c r="B123" s="17" t="s">
        <v>59</v>
      </c>
      <c r="C123" s="6">
        <v>196976</v>
      </c>
      <c r="E123" s="17"/>
    </row>
    <row r="124" spans="1:5">
      <c r="A124" s="17" t="s">
        <v>69</v>
      </c>
      <c r="B124" s="17" t="s">
        <v>64</v>
      </c>
      <c r="C124" s="6">
        <v>144555.5</v>
      </c>
      <c r="E124" s="17"/>
    </row>
    <row r="125" spans="1:5">
      <c r="A125" s="17" t="s">
        <v>68</v>
      </c>
      <c r="B125" s="17" t="s">
        <v>60</v>
      </c>
      <c r="C125" s="6">
        <v>106633</v>
      </c>
      <c r="E125" s="17"/>
    </row>
    <row r="126" spans="1:5">
      <c r="A126" s="17" t="s">
        <v>68</v>
      </c>
      <c r="B126" s="17" t="s">
        <v>63</v>
      </c>
      <c r="C126" s="6">
        <v>142373.5</v>
      </c>
      <c r="E126" s="17"/>
    </row>
    <row r="127" spans="1:5">
      <c r="A127" s="17" t="s">
        <v>68</v>
      </c>
      <c r="B127" s="17" t="s">
        <v>67</v>
      </c>
      <c r="C127" s="6">
        <v>219944.5</v>
      </c>
      <c r="E127" s="17"/>
    </row>
    <row r="128" spans="1:5">
      <c r="A128" s="17" t="s">
        <v>69</v>
      </c>
      <c r="B128" s="17" t="s">
        <v>58</v>
      </c>
      <c r="C128" s="6">
        <v>217628</v>
      </c>
      <c r="E128" s="17"/>
    </row>
    <row r="129" spans="1:5">
      <c r="A129" s="17" t="s">
        <v>70</v>
      </c>
      <c r="B129" s="17" t="s">
        <v>66</v>
      </c>
      <c r="C129" s="6">
        <v>94182.5</v>
      </c>
      <c r="E129" s="17"/>
    </row>
    <row r="130" spans="1:5">
      <c r="A130" s="17" t="s">
        <v>68</v>
      </c>
      <c r="B130" s="17" t="s">
        <v>60</v>
      </c>
      <c r="C130" s="6">
        <v>102066.5</v>
      </c>
      <c r="E130" s="17"/>
    </row>
    <row r="131" spans="1:5">
      <c r="A131" s="17" t="s">
        <v>70</v>
      </c>
      <c r="B131" s="17" t="s">
        <v>65</v>
      </c>
      <c r="C131" s="6">
        <v>291502</v>
      </c>
      <c r="E131" s="17"/>
    </row>
    <row r="132" spans="1:5">
      <c r="A132" s="17" t="s">
        <v>70</v>
      </c>
      <c r="B132" s="17" t="s">
        <v>64</v>
      </c>
      <c r="C132" s="6">
        <v>268430.5</v>
      </c>
      <c r="E132" s="17"/>
    </row>
    <row r="133" spans="1:5">
      <c r="A133" s="17" t="s">
        <v>68</v>
      </c>
      <c r="B133" s="17" t="s">
        <v>60</v>
      </c>
      <c r="C133" s="6">
        <v>198920</v>
      </c>
      <c r="E133" s="17"/>
    </row>
    <row r="134" spans="1:5">
      <c r="A134" s="17" t="s">
        <v>70</v>
      </c>
      <c r="B134" s="17" t="s">
        <v>62</v>
      </c>
      <c r="C134" s="6">
        <v>147053</v>
      </c>
      <c r="E134" s="17"/>
    </row>
    <row r="135" spans="1:5">
      <c r="A135" s="17" t="s">
        <v>68</v>
      </c>
      <c r="B135" s="17" t="s">
        <v>67</v>
      </c>
      <c r="C135" s="6">
        <v>75328.5</v>
      </c>
      <c r="E135" s="17"/>
    </row>
    <row r="136" spans="1:5">
      <c r="A136" s="17" t="s">
        <v>68</v>
      </c>
      <c r="B136" s="17" t="s">
        <v>58</v>
      </c>
      <c r="C136" s="6">
        <v>170648.5</v>
      </c>
      <c r="E136" s="17"/>
    </row>
    <row r="137" spans="1:5">
      <c r="A137" s="17" t="s">
        <v>68</v>
      </c>
      <c r="B137" s="17" t="s">
        <v>63</v>
      </c>
      <c r="C137" s="6">
        <v>66718.5</v>
      </c>
      <c r="E137" s="17"/>
    </row>
    <row r="138" spans="1:5">
      <c r="A138" s="17" t="s">
        <v>68</v>
      </c>
      <c r="B138" s="17" t="s">
        <v>66</v>
      </c>
      <c r="C138" s="6">
        <v>131218.5</v>
      </c>
      <c r="E138" s="17"/>
    </row>
    <row r="139" spans="1:5">
      <c r="A139" s="17" t="s">
        <v>69</v>
      </c>
      <c r="B139" s="17" t="s">
        <v>63</v>
      </c>
      <c r="C139" s="6">
        <v>203995.5</v>
      </c>
      <c r="E139" s="17"/>
    </row>
    <row r="140" spans="1:5">
      <c r="A140" s="17" t="s">
        <v>68</v>
      </c>
      <c r="B140" s="17" t="s">
        <v>64</v>
      </c>
      <c r="C140" s="6">
        <v>269084</v>
      </c>
      <c r="E140" s="17"/>
    </row>
    <row r="141" spans="1:5">
      <c r="A141" s="17" t="s">
        <v>70</v>
      </c>
      <c r="B141" s="17" t="s">
        <v>58</v>
      </c>
      <c r="C141" s="6">
        <v>232561</v>
      </c>
      <c r="E141" s="17"/>
    </row>
    <row r="142" spans="1:5">
      <c r="A142" s="17" t="s">
        <v>69</v>
      </c>
      <c r="B142" s="17" t="s">
        <v>66</v>
      </c>
      <c r="C142" s="6">
        <v>118289.5</v>
      </c>
      <c r="E142" s="17"/>
    </row>
    <row r="143" spans="1:5">
      <c r="A143" s="17" t="s">
        <v>69</v>
      </c>
      <c r="B143" s="17" t="s">
        <v>61</v>
      </c>
      <c r="C143" s="6">
        <v>65504.5</v>
      </c>
      <c r="E143" s="17"/>
    </row>
    <row r="144" spans="1:5">
      <c r="A144" s="17" t="s">
        <v>69</v>
      </c>
      <c r="B144" s="17" t="s">
        <v>61</v>
      </c>
      <c r="C144" s="6">
        <v>97654</v>
      </c>
      <c r="E144" s="17"/>
    </row>
    <row r="145" spans="1:5">
      <c r="A145" s="17" t="s">
        <v>70</v>
      </c>
      <c r="B145" s="17" t="s">
        <v>66</v>
      </c>
      <c r="C145" s="6">
        <v>213075</v>
      </c>
      <c r="E145" s="17"/>
    </row>
    <row r="146" spans="1:5">
      <c r="A146" s="17" t="s">
        <v>68</v>
      </c>
      <c r="B146" s="17" t="s">
        <v>64</v>
      </c>
      <c r="C146" s="6">
        <v>285990</v>
      </c>
      <c r="E146" s="17"/>
    </row>
    <row r="147" spans="1:5">
      <c r="A147" s="17" t="s">
        <v>70</v>
      </c>
      <c r="B147" s="17" t="s">
        <v>60</v>
      </c>
      <c r="C147" s="6">
        <v>225297</v>
      </c>
      <c r="E147" s="17"/>
    </row>
    <row r="148" spans="1:5">
      <c r="A148" s="17" t="s">
        <v>69</v>
      </c>
      <c r="B148" s="17" t="s">
        <v>63</v>
      </c>
      <c r="C148" s="6">
        <v>262574</v>
      </c>
      <c r="E148" s="17"/>
    </row>
    <row r="149" spans="1:5">
      <c r="A149" s="17" t="s">
        <v>70</v>
      </c>
      <c r="B149" s="17" t="s">
        <v>59</v>
      </c>
      <c r="C149" s="6">
        <v>85514</v>
      </c>
      <c r="E149" s="17"/>
    </row>
    <row r="150" spans="1:5">
      <c r="A150" s="17" t="s">
        <v>70</v>
      </c>
      <c r="B150" s="17" t="s">
        <v>66</v>
      </c>
      <c r="C150" s="6">
        <v>176905</v>
      </c>
      <c r="E150" s="17"/>
    </row>
    <row r="151" spans="1:5">
      <c r="A151" s="28" t="s">
        <v>68</v>
      </c>
      <c r="B151" s="28" t="s">
        <v>60</v>
      </c>
      <c r="C151" s="6">
        <v>192288</v>
      </c>
      <c r="E151" s="28"/>
    </row>
  </sheetData>
  <conditionalFormatting sqref="A1:C151">
    <cfRule type="expression" dxfId="0" priority="2">
      <formula>MOD(ROW(),2)=1</formula>
    </cfRule>
  </conditionalFormatting>
  <conditionalFormatting sqref="E1:O4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opLeftCell="B1" workbookViewId="0">
      <selection activeCell="B1" sqref="B$1:B$1048576"/>
    </sheetView>
  </sheetViews>
  <sheetFormatPr defaultColWidth="8.8" defaultRowHeight="15" outlineLevelCol="4"/>
  <cols>
    <col min="1" max="1" width="10.3" style="13"/>
    <col min="2" max="2" width="54.1" style="7" customWidth="1"/>
    <col min="3" max="3" width="48.9" customWidth="1"/>
    <col min="4" max="4" width="14.6" customWidth="1"/>
  </cols>
  <sheetData>
    <row r="1" ht="16.5" spans="1:5">
      <c r="A1" s="13" t="s">
        <v>71</v>
      </c>
      <c r="B1" s="14" t="s">
        <v>41</v>
      </c>
      <c r="E1" t="s">
        <v>72</v>
      </c>
    </row>
    <row r="2" ht="16.5" spans="1:4">
      <c r="A2" s="13">
        <v>2196953.5</v>
      </c>
      <c r="B2" s="14" t="s">
        <v>73</v>
      </c>
      <c r="C2" t="str">
        <f>","&amp;SUBSTITUTE(B2," ","")&amp;","</f>
        <v>,SQL,Azure,MachineLearning,TensorFlow,Looker,R,</v>
      </c>
      <c r="D2" t="s">
        <v>1</v>
      </c>
    </row>
    <row r="3" ht="16.5" spans="1:4">
      <c r="A3" s="13">
        <v>2255090.5</v>
      </c>
      <c r="B3" s="14" t="s">
        <v>74</v>
      </c>
      <c r="C3" t="str">
        <f t="shared" ref="C3:C34" si="0">","&amp;SUBSTITUTE(B3," ","")&amp;","</f>
        <v>,PowerBI,Excel,NumPy,Git,Statistics,Looker,TensorFlow,SQL,</v>
      </c>
      <c r="D3" t="s">
        <v>16</v>
      </c>
    </row>
    <row r="4" ht="16.5" spans="1:4">
      <c r="A4" s="13">
        <v>910239.5</v>
      </c>
      <c r="B4" s="14" t="s">
        <v>75</v>
      </c>
      <c r="C4" t="str">
        <f t="shared" si="0"/>
        <v>,TensorFlow,R,Looker,Git,Tableau,ETL,</v>
      </c>
      <c r="D4" t="s">
        <v>76</v>
      </c>
    </row>
    <row r="5" ht="16.5" spans="1:4">
      <c r="A5" s="13">
        <v>637128.5</v>
      </c>
      <c r="B5" s="14" t="s">
        <v>77</v>
      </c>
      <c r="C5" t="str">
        <f t="shared" si="0"/>
        <v>,Azure,Looker,DAX,ETL,R,PowerBI,Tableau,Git,</v>
      </c>
      <c r="D5" t="s">
        <v>13</v>
      </c>
    </row>
    <row r="6" ht="16.5" spans="1:4">
      <c r="A6" s="13">
        <v>1211341</v>
      </c>
      <c r="B6" s="14" t="s">
        <v>78</v>
      </c>
      <c r="C6" t="str">
        <f t="shared" si="0"/>
        <v>,DAX,Tableau,R,Looker,</v>
      </c>
      <c r="D6" t="s">
        <v>25</v>
      </c>
    </row>
    <row r="7" ht="16.5" spans="1:3">
      <c r="A7" s="13">
        <v>587576</v>
      </c>
      <c r="B7" s="14" t="s">
        <v>79</v>
      </c>
      <c r="C7" t="str">
        <f t="shared" si="0"/>
        <v>,AWS,MachineLearning,dbt,</v>
      </c>
    </row>
    <row r="8" ht="16.5" spans="1:3">
      <c r="A8" s="13">
        <v>725832.5</v>
      </c>
      <c r="B8" s="14" t="s">
        <v>80</v>
      </c>
      <c r="C8" t="str">
        <f t="shared" si="0"/>
        <v>,PowerBI,ETL,Snowflake,Spark,</v>
      </c>
    </row>
    <row r="9" ht="16.5" spans="1:3">
      <c r="A9" s="13">
        <v>1223214.5</v>
      </c>
      <c r="B9" s="14" t="s">
        <v>81</v>
      </c>
      <c r="C9" t="str">
        <f t="shared" si="0"/>
        <v>,AWS,ETL,Statistics,Azure,MachineLearning,Python,Git,PowerBI,</v>
      </c>
    </row>
    <row r="10" ht="16.5" spans="1:3">
      <c r="A10" s="13">
        <v>1166823</v>
      </c>
      <c r="B10" s="14" t="s">
        <v>82</v>
      </c>
      <c r="C10" t="str">
        <f t="shared" si="0"/>
        <v>,Looker,dbt,Statistics,DAX,</v>
      </c>
    </row>
    <row r="11" ht="16.5" spans="1:3">
      <c r="A11" s="13">
        <v>490700</v>
      </c>
      <c r="B11" s="14" t="s">
        <v>83</v>
      </c>
      <c r="C11" t="str">
        <f t="shared" si="0"/>
        <v>,MachineLearning,PowerBI,Tableau,Snowflake,</v>
      </c>
    </row>
    <row r="12" ht="16.5" spans="1:3">
      <c r="A12" s="13">
        <v>614140</v>
      </c>
      <c r="B12" s="14" t="s">
        <v>84</v>
      </c>
      <c r="C12" t="str">
        <f t="shared" si="0"/>
        <v>,NumPy,TensorFlow,DAX,AWS,Excel,dbt,</v>
      </c>
    </row>
    <row r="13" ht="16.5" spans="1:3">
      <c r="A13" s="13">
        <v>1229846.5</v>
      </c>
      <c r="B13" s="14" t="s">
        <v>85</v>
      </c>
      <c r="C13" t="str">
        <f t="shared" si="0"/>
        <v>,DAX,Looker,PowerBI,MachineLearning,R,Git,NumPy,</v>
      </c>
    </row>
    <row r="14" ht="16.5" spans="1:3">
      <c r="A14" s="13">
        <v>1282216</v>
      </c>
      <c r="B14" s="14" t="s">
        <v>86</v>
      </c>
      <c r="C14" t="str">
        <f t="shared" si="0"/>
        <v>,Excel,Snowflake,NumPy,ETL,R,</v>
      </c>
    </row>
    <row r="15" ht="16.5" spans="1:3">
      <c r="A15" s="13">
        <v>819715</v>
      </c>
      <c r="B15" s="14" t="s">
        <v>87</v>
      </c>
      <c r="C15" t="str">
        <f t="shared" si="0"/>
        <v>,Statistics,ETL,R,SQL,</v>
      </c>
    </row>
    <row r="16" ht="16.5" spans="1:3">
      <c r="A16" s="13">
        <v>616101.5</v>
      </c>
      <c r="B16" s="14" t="s">
        <v>88</v>
      </c>
      <c r="C16" t="str">
        <f t="shared" si="0"/>
        <v>,ETL,Azure,Looker,</v>
      </c>
    </row>
    <row r="17" ht="16.5" spans="1:3">
      <c r="A17" s="13">
        <v>2054410</v>
      </c>
      <c r="B17" s="14" t="s">
        <v>89</v>
      </c>
      <c r="C17" t="str">
        <f t="shared" si="0"/>
        <v>,Azure,Git,Python,</v>
      </c>
    </row>
    <row r="18" ht="16.5" spans="1:3">
      <c r="A18" s="13">
        <v>1064111.5</v>
      </c>
      <c r="B18" s="14" t="s">
        <v>90</v>
      </c>
      <c r="C18" t="str">
        <f t="shared" si="0"/>
        <v>,Snowflake,Excel,Python,ETL,SQL,AWS,Looker,PowerBI,</v>
      </c>
    </row>
    <row r="19" ht="16.5" spans="1:3">
      <c r="A19" s="13">
        <v>924692.5</v>
      </c>
      <c r="B19" s="14" t="s">
        <v>91</v>
      </c>
      <c r="C19" t="str">
        <f t="shared" si="0"/>
        <v>,Python,DAX,Excel,Azure,MachineLearning,dbt,</v>
      </c>
    </row>
    <row r="20" ht="16.5" spans="1:3">
      <c r="A20" s="13">
        <v>1857430</v>
      </c>
      <c r="B20" s="14" t="s">
        <v>92</v>
      </c>
      <c r="C20" t="str">
        <f t="shared" si="0"/>
        <v>,ETL,Looker,SQL,Statistics,NumPy,TensorFlow,DAX,</v>
      </c>
    </row>
    <row r="21" ht="16.5" spans="1:3">
      <c r="A21" s="13">
        <v>532011.5</v>
      </c>
      <c r="B21" s="14" t="s">
        <v>93</v>
      </c>
      <c r="C21" t="str">
        <f t="shared" si="0"/>
        <v>,Pandas,Python,Azure,MachineLearning,</v>
      </c>
    </row>
    <row r="22" ht="16.5" spans="1:3">
      <c r="A22" s="13">
        <v>1136947</v>
      </c>
      <c r="B22" s="14" t="s">
        <v>94</v>
      </c>
      <c r="C22" t="str">
        <f t="shared" si="0"/>
        <v>,Excel,DAX,Pandas,PowerBI,Snowflake,</v>
      </c>
    </row>
    <row r="23" ht="16.5" spans="1:3">
      <c r="A23" s="13">
        <v>684966</v>
      </c>
      <c r="B23" s="14" t="s">
        <v>95</v>
      </c>
      <c r="C23" t="str">
        <f t="shared" si="0"/>
        <v>,SQL,R,Git,MachineLearning,ETL,Spark,Python,TensorFlow,</v>
      </c>
    </row>
    <row r="24" ht="16.5" spans="1:3">
      <c r="A24" s="13">
        <v>725051</v>
      </c>
      <c r="B24" s="14" t="s">
        <v>96</v>
      </c>
      <c r="C24" t="str">
        <f t="shared" si="0"/>
        <v>,R,Azure,Tableau,DAX,NumPy,</v>
      </c>
    </row>
    <row r="25" ht="16.5" spans="1:3">
      <c r="A25" s="13">
        <v>1162860.5</v>
      </c>
      <c r="B25" s="14" t="s">
        <v>97</v>
      </c>
      <c r="C25" t="str">
        <f t="shared" si="0"/>
        <v>,Azure,PowerBI,TensorFlow,ETL,Looker,R,</v>
      </c>
    </row>
    <row r="26" ht="16.5" spans="1:3">
      <c r="A26" s="13">
        <v>1890816.5</v>
      </c>
      <c r="B26" s="14" t="s">
        <v>98</v>
      </c>
      <c r="C26" t="str">
        <f t="shared" si="0"/>
        <v>,dbt,MachineLearning,NumPy,ETL,AWS,Excel,R,</v>
      </c>
    </row>
    <row r="27" ht="16.5" spans="1:3">
      <c r="A27" s="13">
        <v>567214</v>
      </c>
      <c r="B27" s="14" t="s">
        <v>99</v>
      </c>
      <c r="C27" t="str">
        <f t="shared" si="0"/>
        <v>,Azure,Python,Excel,Looker,R,Spark,</v>
      </c>
    </row>
    <row r="28" ht="16.5" spans="1:3">
      <c r="A28" s="13">
        <v>944507.5</v>
      </c>
      <c r="B28" s="14" t="s">
        <v>100</v>
      </c>
      <c r="C28" t="str">
        <f t="shared" si="0"/>
        <v>,Excel,ETL,SQL,R,NumPy,Spark,Looker,TensorFlow,</v>
      </c>
    </row>
    <row r="29" ht="16.5" spans="1:3">
      <c r="A29" s="13">
        <v>713334.5</v>
      </c>
      <c r="B29" s="14" t="s">
        <v>101</v>
      </c>
      <c r="C29" t="str">
        <f t="shared" si="0"/>
        <v>,SQL,Pandas,dbt,NumPy,</v>
      </c>
    </row>
    <row r="30" ht="16.5" spans="1:3">
      <c r="A30" s="13">
        <v>1926499.5</v>
      </c>
      <c r="B30" s="14" t="s">
        <v>102</v>
      </c>
      <c r="C30" t="str">
        <f t="shared" si="0"/>
        <v>,Statistics,AWS,Python,Spark,Excel,MachineLearning,Pandas,Git,</v>
      </c>
    </row>
    <row r="31" ht="16.5" spans="1:3">
      <c r="A31" s="13">
        <v>623616.5</v>
      </c>
      <c r="B31" s="14" t="s">
        <v>103</v>
      </c>
      <c r="C31" t="str">
        <f t="shared" si="0"/>
        <v>,Git,Looker,MachineLearning,Tableau,dbt,</v>
      </c>
    </row>
    <row r="32" ht="16.5" spans="1:3">
      <c r="A32" s="13">
        <v>660248.5</v>
      </c>
      <c r="B32" s="14" t="s">
        <v>104</v>
      </c>
      <c r="C32" t="str">
        <f t="shared" si="0"/>
        <v>,R,Pandas,SQL,Tableau,MachineLearning,dbt,</v>
      </c>
    </row>
    <row r="33" ht="16.5" spans="1:3">
      <c r="A33" s="13">
        <v>614438.5</v>
      </c>
      <c r="B33" s="14" t="s">
        <v>105</v>
      </c>
      <c r="C33" t="str">
        <f t="shared" si="0"/>
        <v>,Spark,Tableau,Snowflake,</v>
      </c>
    </row>
    <row r="34" ht="16.5" spans="1:3">
      <c r="A34" s="13">
        <v>714134</v>
      </c>
      <c r="B34" s="14" t="s">
        <v>106</v>
      </c>
      <c r="C34" t="str">
        <f t="shared" si="0"/>
        <v>,Statistics,MachineLearning,TensorFlow,Git,Pandas,ETL,Excel,Looker,</v>
      </c>
    </row>
    <row r="35" ht="16.5" spans="1:3">
      <c r="A35" s="13">
        <v>1255410.5</v>
      </c>
      <c r="B35" s="14" t="s">
        <v>107</v>
      </c>
      <c r="C35" t="str">
        <f t="shared" ref="C35:C66" si="1">","&amp;SUBSTITUTE(B35," ","")&amp;","</f>
        <v>,NumPy,Statistics,Snowflake,PowerBI,ETL,</v>
      </c>
    </row>
    <row r="36" ht="16.5" spans="1:3">
      <c r="A36" s="13">
        <v>606765.5</v>
      </c>
      <c r="B36" s="14" t="s">
        <v>108</v>
      </c>
      <c r="C36" t="str">
        <f t="shared" si="1"/>
        <v>,DAX,Looker,SQL,Statistics,PowerBI,</v>
      </c>
    </row>
    <row r="37" ht="16.5" spans="1:3">
      <c r="A37" s="13">
        <v>579151</v>
      </c>
      <c r="B37" s="14" t="s">
        <v>109</v>
      </c>
      <c r="C37" t="str">
        <f t="shared" si="1"/>
        <v>,PowerBI,DAX,Statistics,R,NumPy,Git,</v>
      </c>
    </row>
    <row r="38" ht="16.5" spans="1:3">
      <c r="A38" s="13">
        <v>1117059.5</v>
      </c>
      <c r="B38" s="14" t="s">
        <v>110</v>
      </c>
      <c r="C38" t="str">
        <f t="shared" si="1"/>
        <v>,Statistics,Looker,Excel,Pandas,</v>
      </c>
    </row>
    <row r="39" ht="16.5" spans="1:3">
      <c r="A39" s="13">
        <v>563748</v>
      </c>
      <c r="B39" s="14" t="s">
        <v>111</v>
      </c>
      <c r="C39" t="str">
        <f t="shared" si="1"/>
        <v>,Looker,Statistics,Pandas,SQL,TensorFlow,DAX,Snowflake,</v>
      </c>
    </row>
    <row r="40" ht="16.5" spans="1:3">
      <c r="A40" s="13">
        <v>1068239.5</v>
      </c>
      <c r="B40" s="14" t="s">
        <v>112</v>
      </c>
      <c r="C40" t="str">
        <f t="shared" si="1"/>
        <v>,Looker,ETL,TensorFlow,DAX,dbt,Python,</v>
      </c>
    </row>
    <row r="41" ht="16.5" spans="1:3">
      <c r="A41" s="13">
        <v>778565</v>
      </c>
      <c r="B41" s="14" t="s">
        <v>113</v>
      </c>
      <c r="C41" t="str">
        <f t="shared" si="1"/>
        <v>,dbt,Azure,MachineLearning,Looker,Pandas,Snowflake,SQL,Spark,</v>
      </c>
    </row>
    <row r="42" ht="16.5" spans="1:3">
      <c r="A42" s="13">
        <v>1103089.5</v>
      </c>
      <c r="B42" s="14" t="s">
        <v>114</v>
      </c>
      <c r="C42" t="str">
        <f t="shared" si="1"/>
        <v>,ETL,Azure,NumPy,DAX,AWS,Statistics,Snowflake,</v>
      </c>
    </row>
    <row r="43" ht="16.5" spans="1:3">
      <c r="A43" s="13">
        <v>1064592</v>
      </c>
      <c r="B43" s="14" t="s">
        <v>115</v>
      </c>
      <c r="C43" t="str">
        <f t="shared" si="1"/>
        <v>,DAX,AWS,Python,Excel,ETL,TensorFlow,</v>
      </c>
    </row>
    <row r="44" ht="16.5" spans="1:3">
      <c r="A44" s="13">
        <v>614791.5</v>
      </c>
      <c r="B44" s="14" t="s">
        <v>116</v>
      </c>
      <c r="C44" t="str">
        <f t="shared" si="1"/>
        <v>,Tableau,TensorFlow,NumPy,Azure,</v>
      </c>
    </row>
    <row r="45" ht="16.5" spans="1:3">
      <c r="A45" s="13">
        <v>890063</v>
      </c>
      <c r="B45" s="14" t="s">
        <v>117</v>
      </c>
      <c r="C45" t="str">
        <f t="shared" si="1"/>
        <v>,ETL,Python,Tableau,Excel,Statistics,</v>
      </c>
    </row>
    <row r="46" ht="16.5" spans="1:3">
      <c r="A46" s="13">
        <v>1065867.5</v>
      </c>
      <c r="B46" s="14" t="s">
        <v>118</v>
      </c>
      <c r="C46" t="str">
        <f t="shared" si="1"/>
        <v>,Azure,PowerBI,NumPy,Excel,</v>
      </c>
    </row>
    <row r="47" ht="16.5" spans="1:3">
      <c r="A47" s="13">
        <v>2233934.5</v>
      </c>
      <c r="B47" s="14" t="s">
        <v>119</v>
      </c>
      <c r="C47" t="str">
        <f t="shared" si="1"/>
        <v>,Python,ETL,TensorFlow,MachineLearning,</v>
      </c>
    </row>
    <row r="48" ht="16.5" spans="1:3">
      <c r="A48" s="13">
        <v>1648498</v>
      </c>
      <c r="B48" s="14" t="s">
        <v>120</v>
      </c>
      <c r="C48" t="str">
        <f t="shared" si="1"/>
        <v>,R,AWS,Azure,SQL,NumPy,Excel,</v>
      </c>
    </row>
    <row r="49" ht="16.5" spans="1:3">
      <c r="A49" s="13">
        <v>1035466.5</v>
      </c>
      <c r="B49" s="14" t="s">
        <v>121</v>
      </c>
      <c r="C49" t="str">
        <f t="shared" si="1"/>
        <v>,Spark,SQL,DAX,Git,</v>
      </c>
    </row>
    <row r="50" ht="16.5" spans="1:3">
      <c r="A50" s="13">
        <v>2056401.5</v>
      </c>
      <c r="B50" s="14" t="s">
        <v>122</v>
      </c>
      <c r="C50" t="str">
        <f t="shared" si="1"/>
        <v>,DAX,Snowflake,Statistics,TensorFlow,SQL,R,Pandas,</v>
      </c>
    </row>
    <row r="51" ht="16.5" spans="1:3">
      <c r="A51" s="13">
        <v>2025217</v>
      </c>
      <c r="B51" s="14" t="s">
        <v>123</v>
      </c>
      <c r="C51" t="str">
        <f t="shared" si="1"/>
        <v>,R,Statistics,Azure,dbt,Python,DAX,NumPy,</v>
      </c>
    </row>
    <row r="52" ht="16.5" spans="1:3">
      <c r="A52" s="13">
        <v>696086.5</v>
      </c>
      <c r="B52" s="14" t="s">
        <v>124</v>
      </c>
      <c r="C52" t="str">
        <f t="shared" si="1"/>
        <v>,ETL,AWS,dbt,DAX,Pandas,Looker,Spark,</v>
      </c>
    </row>
    <row r="53" ht="16.5" spans="1:3">
      <c r="A53" s="13">
        <v>2008892.5</v>
      </c>
      <c r="B53" s="14" t="s">
        <v>125</v>
      </c>
      <c r="C53" t="str">
        <f t="shared" si="1"/>
        <v>,AWS,Snowflake,TensorFlow,</v>
      </c>
    </row>
    <row r="54" ht="16.5" spans="1:3">
      <c r="A54" s="13">
        <v>573743</v>
      </c>
      <c r="B54" s="14" t="s">
        <v>126</v>
      </c>
      <c r="C54" t="str">
        <f t="shared" si="1"/>
        <v>,MachineLearning,Excel,AWS,R,</v>
      </c>
    </row>
    <row r="55" ht="16.5" spans="1:3">
      <c r="A55" s="13">
        <v>1069623</v>
      </c>
      <c r="B55" s="14" t="s">
        <v>127</v>
      </c>
      <c r="C55" t="str">
        <f t="shared" si="1"/>
        <v>,Azure,DAX,ETL,Excel,dbt,Git,Pandas,</v>
      </c>
    </row>
    <row r="56" ht="16.5" spans="1:3">
      <c r="A56" s="13">
        <v>1216567</v>
      </c>
      <c r="B56" s="14" t="s">
        <v>128</v>
      </c>
      <c r="C56" t="str">
        <f t="shared" si="1"/>
        <v>,R,Git,Statistics,AWS,SQL,Azure,</v>
      </c>
    </row>
    <row r="57" ht="16.5" spans="1:3">
      <c r="A57" s="13">
        <v>2239602</v>
      </c>
      <c r="B57" s="14" t="s">
        <v>129</v>
      </c>
      <c r="C57" t="str">
        <f t="shared" si="1"/>
        <v>,NumPy,MachineLearning,SQL,Spark,Tableau,AWS,</v>
      </c>
    </row>
    <row r="58" ht="16.5" spans="1:3">
      <c r="A58" s="13">
        <v>2117854</v>
      </c>
      <c r="B58" s="14" t="s">
        <v>130</v>
      </c>
      <c r="C58" t="str">
        <f t="shared" si="1"/>
        <v>,DAX,Spark,R,</v>
      </c>
    </row>
    <row r="59" ht="16.5" spans="1:3">
      <c r="A59" s="13">
        <v>694718.5</v>
      </c>
      <c r="B59" s="14" t="s">
        <v>131</v>
      </c>
      <c r="C59" t="str">
        <f t="shared" si="1"/>
        <v>,MachineLearning,R,Pandas,ETL,Spark,PowerBI,TensorFlow,</v>
      </c>
    </row>
    <row r="60" ht="16.5" spans="1:3">
      <c r="A60" s="13">
        <v>651414.5</v>
      </c>
      <c r="B60" s="14" t="s">
        <v>132</v>
      </c>
      <c r="C60" t="str">
        <f t="shared" si="1"/>
        <v>,Pandas,Spark,Git,dbt,R,Looker,</v>
      </c>
    </row>
    <row r="61" ht="16.5" spans="1:3">
      <c r="A61" s="13">
        <v>631166</v>
      </c>
      <c r="B61" s="14" t="s">
        <v>133</v>
      </c>
      <c r="C61" t="str">
        <f t="shared" si="1"/>
        <v>,PowerBI,SQL,Python,NumPy,TensorFlow,Looker,MachineLearning,Snowflake,</v>
      </c>
    </row>
    <row r="62" ht="16.5" spans="1:3">
      <c r="A62" s="13">
        <v>1584955.5</v>
      </c>
      <c r="B62" s="14" t="s">
        <v>134</v>
      </c>
      <c r="C62" t="str">
        <f t="shared" si="1"/>
        <v>,Python,AWS,Statistics,Git,ETL,MachineLearning,</v>
      </c>
    </row>
    <row r="63" ht="16.5" spans="1:3">
      <c r="A63" s="13">
        <v>702054</v>
      </c>
      <c r="B63" s="14" t="s">
        <v>135</v>
      </c>
      <c r="C63" t="str">
        <f t="shared" si="1"/>
        <v>,dbt,Excel,R,ETL,NumPy,</v>
      </c>
    </row>
    <row r="64" ht="16.5" spans="1:3">
      <c r="A64" s="13">
        <v>535460.5</v>
      </c>
      <c r="B64" s="14" t="s">
        <v>136</v>
      </c>
      <c r="C64" t="str">
        <f t="shared" si="1"/>
        <v>,PowerBI,Pandas,TensorFlow,Spark,Azure,</v>
      </c>
    </row>
    <row r="65" ht="16.5" spans="1:3">
      <c r="A65" s="13">
        <v>1868958</v>
      </c>
      <c r="B65" s="14" t="s">
        <v>137</v>
      </c>
      <c r="C65" t="str">
        <f t="shared" si="1"/>
        <v>,Git,Python,Tableau,Snowflake,AWS,</v>
      </c>
    </row>
    <row r="66" ht="16.5" spans="1:3">
      <c r="A66" s="13">
        <v>1830389.5</v>
      </c>
      <c r="B66" s="14" t="s">
        <v>138</v>
      </c>
      <c r="C66" t="str">
        <f t="shared" si="1"/>
        <v>,R,dbt,AWS,TensorFlow,Pandas,DAX,Tableau,PowerBI,</v>
      </c>
    </row>
    <row r="67" ht="16.5" spans="1:3">
      <c r="A67" s="13">
        <v>1146923</v>
      </c>
      <c r="B67" s="14" t="s">
        <v>139</v>
      </c>
      <c r="C67" t="str">
        <f t="shared" ref="C67:C98" si="2">","&amp;SUBSTITUTE(B67," ","")&amp;","</f>
        <v>,SQL,MachineLearning,AWS,Tableau,</v>
      </c>
    </row>
    <row r="68" ht="16.5" spans="1:3">
      <c r="A68" s="13">
        <v>2096389.5</v>
      </c>
      <c r="B68" s="14" t="s">
        <v>140</v>
      </c>
      <c r="C68" t="str">
        <f t="shared" si="2"/>
        <v>,Git,R,ETL,Tableau,DAX,Azure,</v>
      </c>
    </row>
    <row r="69" ht="16.5" spans="1:3">
      <c r="A69" s="13">
        <v>1066877</v>
      </c>
      <c r="B69" s="14" t="s">
        <v>141</v>
      </c>
      <c r="C69" t="str">
        <f t="shared" si="2"/>
        <v>,SQL,PowerBI,DAX,Spark,AWS,Excel,</v>
      </c>
    </row>
    <row r="70" ht="16.5" spans="1:3">
      <c r="A70" s="13">
        <v>1743454.5</v>
      </c>
      <c r="B70" s="14" t="s">
        <v>142</v>
      </c>
      <c r="C70" t="str">
        <f t="shared" si="2"/>
        <v>,Pandas,dbt,SQL,Looker,Spark,ETL,</v>
      </c>
    </row>
    <row r="71" ht="16.5" spans="1:3">
      <c r="A71" s="13">
        <v>1127615</v>
      </c>
      <c r="B71" s="14" t="s">
        <v>143</v>
      </c>
      <c r="C71" t="str">
        <f t="shared" si="2"/>
        <v>,Snowflake,Git,dbt,PowerBI,Python,</v>
      </c>
    </row>
    <row r="72" ht="16.5" spans="1:3">
      <c r="A72" s="13">
        <v>1820800</v>
      </c>
      <c r="B72" s="14" t="s">
        <v>144</v>
      </c>
      <c r="C72" t="str">
        <f t="shared" si="2"/>
        <v>,Spark,Git,Pandas,R,Python,AWS,Tableau,Azure,</v>
      </c>
    </row>
    <row r="73" ht="16.5" spans="1:3">
      <c r="A73" s="13">
        <v>1775955</v>
      </c>
      <c r="B73" s="14" t="s">
        <v>145</v>
      </c>
      <c r="C73" t="str">
        <f t="shared" si="2"/>
        <v>,Spark,Git,TensorFlow,Pandas,</v>
      </c>
    </row>
    <row r="74" ht="16.5" spans="1:3">
      <c r="A74" s="13">
        <v>600515</v>
      </c>
      <c r="B74" s="14" t="s">
        <v>146</v>
      </c>
      <c r="C74" t="str">
        <f t="shared" si="2"/>
        <v>,PowerBI,TensorFlow,MachineLearning,Excel,Snowflake,AWS,</v>
      </c>
    </row>
    <row r="75" ht="16.5" spans="1:3">
      <c r="A75" s="13">
        <v>763789.5</v>
      </c>
      <c r="B75" s="14" t="s">
        <v>147</v>
      </c>
      <c r="C75" t="str">
        <f t="shared" si="2"/>
        <v>,MachineLearning,dbt,Pandas,SQL,Azure,Statistics,Git,AWS,</v>
      </c>
    </row>
    <row r="76" ht="16.5" spans="1:3">
      <c r="A76" s="13">
        <v>1184384.5</v>
      </c>
      <c r="B76" s="14" t="s">
        <v>148</v>
      </c>
      <c r="C76" t="str">
        <f t="shared" si="2"/>
        <v>,AWS,Azure,Snowflake,Spark,DAX,Tableau,TensorFlow,dbt,</v>
      </c>
    </row>
    <row r="77" ht="16.5" spans="1:3">
      <c r="A77" s="13">
        <v>933678</v>
      </c>
      <c r="B77" s="14" t="s">
        <v>149</v>
      </c>
      <c r="C77" t="str">
        <f t="shared" si="2"/>
        <v>,TensorFlow,Git,R,Snowflake,PowerBI,Statistics,MachineLearning,</v>
      </c>
    </row>
    <row r="78" ht="16.5" spans="1:3">
      <c r="A78" s="13">
        <v>2225628.5</v>
      </c>
      <c r="B78" s="14" t="s">
        <v>150</v>
      </c>
      <c r="C78" t="str">
        <f t="shared" si="2"/>
        <v>,MachineLearning,Excel,Spark,Git,</v>
      </c>
    </row>
    <row r="79" ht="16.5" spans="1:3">
      <c r="A79" s="13">
        <v>1079502</v>
      </c>
      <c r="B79" s="14" t="s">
        <v>151</v>
      </c>
      <c r="C79" t="str">
        <f t="shared" si="2"/>
        <v>,Git,MachineLearning,Tableau,DAX,R,</v>
      </c>
    </row>
    <row r="80" ht="16.5" spans="1:3">
      <c r="A80" s="13">
        <v>1695375</v>
      </c>
      <c r="B80" s="14" t="s">
        <v>152</v>
      </c>
      <c r="C80" t="str">
        <f t="shared" si="2"/>
        <v>,TensorFlow,NumPy,Azure,Spark,Snowflake,Looker,dbt,</v>
      </c>
    </row>
    <row r="81" ht="16.5" spans="1:3">
      <c r="A81" s="13">
        <v>2037378</v>
      </c>
      <c r="B81" s="14" t="s">
        <v>153</v>
      </c>
      <c r="C81" t="str">
        <f t="shared" si="2"/>
        <v>,DAX,Pandas,AWS,NumPy,Statistics,TensorFlow,MachineLearning,SQL,</v>
      </c>
    </row>
    <row r="82" ht="16.5" spans="1:3">
      <c r="A82" s="13">
        <v>995106</v>
      </c>
      <c r="B82" s="14" t="s">
        <v>154</v>
      </c>
      <c r="C82" t="str">
        <f t="shared" si="2"/>
        <v>,MachineLearning,Git,Azure,AWS,ETL,SQL,R,dbt,</v>
      </c>
    </row>
    <row r="83" ht="16.5" spans="1:3">
      <c r="A83" s="13">
        <v>2134501</v>
      </c>
      <c r="B83" s="14" t="s">
        <v>155</v>
      </c>
      <c r="C83" t="str">
        <f t="shared" si="2"/>
        <v>,Excel,PowerBI,Spark,R,DAX,</v>
      </c>
    </row>
    <row r="84" ht="16.5" spans="1:3">
      <c r="A84" s="13">
        <v>2025495.5</v>
      </c>
      <c r="B84" s="14" t="s">
        <v>156</v>
      </c>
      <c r="C84" t="str">
        <f t="shared" si="2"/>
        <v>,Git,dbt,Statistics,Python,Excel,</v>
      </c>
    </row>
    <row r="85" ht="16.5" spans="1:3">
      <c r="A85" s="13">
        <v>1312117.5</v>
      </c>
      <c r="B85" s="14" t="s">
        <v>157</v>
      </c>
      <c r="C85" t="str">
        <f t="shared" si="2"/>
        <v>,Excel,TensorFlow,Tableau,PowerBI,DAX,</v>
      </c>
    </row>
    <row r="86" ht="16.5" spans="1:3">
      <c r="A86" s="13">
        <v>1797282</v>
      </c>
      <c r="B86" s="14" t="s">
        <v>158</v>
      </c>
      <c r="C86" t="str">
        <f t="shared" si="2"/>
        <v>,Pandas,Spark,DAX,</v>
      </c>
    </row>
    <row r="87" ht="16.5" spans="1:3">
      <c r="A87" s="13">
        <v>896822.5</v>
      </c>
      <c r="B87" s="14" t="s">
        <v>159</v>
      </c>
      <c r="C87" t="str">
        <f t="shared" si="2"/>
        <v>,DAX,ETL,Pandas,</v>
      </c>
    </row>
    <row r="88" ht="16.5" spans="1:3">
      <c r="A88" s="13">
        <v>1117297</v>
      </c>
      <c r="B88" s="14" t="s">
        <v>160</v>
      </c>
      <c r="C88" t="str">
        <f t="shared" si="2"/>
        <v>,Azure,Git,SQL,Tableau,</v>
      </c>
    </row>
    <row r="89" ht="16.5" spans="1:3">
      <c r="A89" s="13">
        <v>1088018</v>
      </c>
      <c r="B89" s="14" t="s">
        <v>161</v>
      </c>
      <c r="C89" t="str">
        <f t="shared" si="2"/>
        <v>,Python,Looker,ETL,SQL,NumPy,dbt,Azure,</v>
      </c>
    </row>
    <row r="90" ht="16.5" spans="1:3">
      <c r="A90" s="13">
        <v>1072527</v>
      </c>
      <c r="B90" s="14" t="s">
        <v>162</v>
      </c>
      <c r="C90" t="str">
        <f t="shared" si="2"/>
        <v>,dbt,PowerBI,Snowflake,</v>
      </c>
    </row>
    <row r="91" ht="16.5" spans="1:3">
      <c r="A91" s="13">
        <v>2099916</v>
      </c>
      <c r="B91" s="14" t="s">
        <v>163</v>
      </c>
      <c r="C91" t="str">
        <f t="shared" si="2"/>
        <v>,MachineLearning,PowerBI,NumPy,Azure,Pandas,Spark,ETL,dbt,</v>
      </c>
    </row>
    <row r="92" ht="16.5" spans="1:3">
      <c r="A92" s="13">
        <v>1218337</v>
      </c>
      <c r="B92" s="14" t="s">
        <v>164</v>
      </c>
      <c r="C92" t="str">
        <f t="shared" si="2"/>
        <v>,NumPy,SQL,Statistics,AWS,dbt,Looker,Git,MachineLearning,</v>
      </c>
    </row>
    <row r="93" ht="16.5" spans="1:3">
      <c r="A93" s="13">
        <v>734283.5</v>
      </c>
      <c r="B93" s="14" t="s">
        <v>165</v>
      </c>
      <c r="C93" t="str">
        <f t="shared" si="2"/>
        <v>,dbt,DAX,Snowflake,Pandas,</v>
      </c>
    </row>
    <row r="94" ht="16.5" spans="1:3">
      <c r="A94" s="13">
        <v>2090004</v>
      </c>
      <c r="B94" s="14" t="s">
        <v>166</v>
      </c>
      <c r="C94" t="str">
        <f t="shared" si="2"/>
        <v>,Tableau,MachineLearning,AWS,R,</v>
      </c>
    </row>
    <row r="95" ht="16.5" spans="1:3">
      <c r="A95" s="13">
        <v>965841.5</v>
      </c>
      <c r="B95" s="14" t="s">
        <v>167</v>
      </c>
      <c r="C95" t="str">
        <f t="shared" si="2"/>
        <v>,Spark,MachineLearning,dbt,AWS,R,</v>
      </c>
    </row>
    <row r="96" ht="16.5" spans="1:3">
      <c r="A96" s="13">
        <v>710067</v>
      </c>
      <c r="B96" s="14" t="s">
        <v>168</v>
      </c>
      <c r="C96" t="str">
        <f t="shared" si="2"/>
        <v>,Excel,Statistics,SQL,Pandas,MachineLearning,TensorFlow,</v>
      </c>
    </row>
    <row r="97" ht="16.5" spans="1:3">
      <c r="A97" s="13">
        <v>694721.5</v>
      </c>
      <c r="B97" s="14" t="s">
        <v>169</v>
      </c>
      <c r="C97" t="str">
        <f t="shared" si="2"/>
        <v>,PowerBI,R,Looker,</v>
      </c>
    </row>
    <row r="98" ht="16.5" spans="1:3">
      <c r="A98" s="13">
        <v>764154.5</v>
      </c>
      <c r="B98" s="14" t="s">
        <v>170</v>
      </c>
      <c r="C98" t="str">
        <f t="shared" si="2"/>
        <v>,ETL,DAX,NumPy,MachineLearning,Looker,Python,Statistics,</v>
      </c>
    </row>
    <row r="99" ht="16.5" spans="1:3">
      <c r="A99" s="13">
        <v>564232</v>
      </c>
      <c r="B99" s="14" t="s">
        <v>171</v>
      </c>
      <c r="C99" t="str">
        <f t="shared" ref="C99:C130" si="3">","&amp;SUBSTITUTE(B99," ","")&amp;","</f>
        <v>,Statistics,NumPy,Git,</v>
      </c>
    </row>
    <row r="100" ht="16.5" spans="1:3">
      <c r="A100" s="13">
        <v>1060125</v>
      </c>
      <c r="B100" s="14" t="s">
        <v>172</v>
      </c>
      <c r="C100" t="str">
        <f t="shared" si="3"/>
        <v>,PowerBI,Statistics,TensorFlow,SQL,Azure,ETL,DAX,R,</v>
      </c>
    </row>
    <row r="101" ht="16.5" spans="1:3">
      <c r="A101" s="13">
        <v>615953.5</v>
      </c>
      <c r="B101" s="14" t="s">
        <v>173</v>
      </c>
      <c r="C101" t="str">
        <f t="shared" si="3"/>
        <v>,Tableau,TensorFlow,Python,Snowflake,</v>
      </c>
    </row>
    <row r="102" ht="16.5" spans="1:3">
      <c r="A102" s="13">
        <v>1039901</v>
      </c>
      <c r="B102" s="14" t="s">
        <v>174</v>
      </c>
      <c r="C102" t="str">
        <f t="shared" si="3"/>
        <v>,R,Looker,Tableau,Git,</v>
      </c>
    </row>
    <row r="103" ht="16.5" spans="1:3">
      <c r="A103" s="13">
        <v>635815.5</v>
      </c>
      <c r="B103" s="14" t="s">
        <v>175</v>
      </c>
      <c r="C103" t="str">
        <f t="shared" si="3"/>
        <v>,ETL,Azure,DAX,SQL,Looker,R,TensorFlow,Spark,</v>
      </c>
    </row>
    <row r="104" ht="16.5" spans="1:3">
      <c r="A104" s="13">
        <v>2039885</v>
      </c>
      <c r="B104" s="14" t="s">
        <v>176</v>
      </c>
      <c r="C104" t="str">
        <f t="shared" si="3"/>
        <v>,Looker,R,dbt,Excel,SQL,Snowflake,Git,</v>
      </c>
    </row>
    <row r="105" ht="16.5" spans="1:3">
      <c r="A105" s="13">
        <v>1284432</v>
      </c>
      <c r="B105" s="14" t="s">
        <v>177</v>
      </c>
      <c r="C105" t="str">
        <f t="shared" si="3"/>
        <v>,Pandas,Tableau,SQL,AWS,TensorFlow,Spark,dbt,</v>
      </c>
    </row>
    <row r="106" ht="16.5" spans="1:3">
      <c r="A106" s="13">
        <v>1296272</v>
      </c>
      <c r="B106" s="14" t="s">
        <v>178</v>
      </c>
      <c r="C106" t="str">
        <f t="shared" si="3"/>
        <v>,MachineLearning,Tableau,Spark,Looker,dbt,Statistics,PowerBI,</v>
      </c>
    </row>
    <row r="107" ht="16.5" spans="1:3">
      <c r="A107" s="13">
        <v>965478</v>
      </c>
      <c r="B107" s="14" t="s">
        <v>179</v>
      </c>
      <c r="C107" t="str">
        <f t="shared" si="3"/>
        <v>,Azure,R,AWS,DAX,</v>
      </c>
    </row>
    <row r="108" ht="16.5" spans="1:3">
      <c r="A108" s="13">
        <v>1213330</v>
      </c>
      <c r="B108" s="14" t="s">
        <v>180</v>
      </c>
      <c r="C108" t="str">
        <f t="shared" si="3"/>
        <v>,dbt,Python,Statistics,Git,</v>
      </c>
    </row>
    <row r="109" ht="16.5" spans="1:3">
      <c r="A109" s="13">
        <v>594009</v>
      </c>
      <c r="B109" s="14" t="s">
        <v>181</v>
      </c>
      <c r="C109" t="str">
        <f t="shared" si="3"/>
        <v>,SQL,dbt,TensorFlow,Snowflake,ETL,</v>
      </c>
    </row>
    <row r="110" ht="16.5" spans="1:3">
      <c r="A110" s="13">
        <v>1123099</v>
      </c>
      <c r="B110" s="14" t="s">
        <v>182</v>
      </c>
      <c r="C110" t="str">
        <f t="shared" si="3"/>
        <v>,Excel,Azure,Looker,DAX,Snowflake,Pandas,</v>
      </c>
    </row>
    <row r="111" ht="16.5" spans="1:3">
      <c r="A111" s="13">
        <v>1075115.5</v>
      </c>
      <c r="B111" s="14" t="s">
        <v>183</v>
      </c>
      <c r="C111" t="str">
        <f t="shared" si="3"/>
        <v>,Looker,Azure,PowerBI,ETL,NumPy,</v>
      </c>
    </row>
    <row r="112" ht="16.5" spans="1:3">
      <c r="A112" s="13">
        <v>931530</v>
      </c>
      <c r="B112" s="14" t="s">
        <v>184</v>
      </c>
      <c r="C112" t="str">
        <f t="shared" si="3"/>
        <v>,AWS,Tableau,ETL,Git,Pandas,MachineLearning,Azure,</v>
      </c>
    </row>
    <row r="113" ht="16.5" spans="1:3">
      <c r="A113" s="13">
        <v>700204</v>
      </c>
      <c r="B113" s="14" t="s">
        <v>185</v>
      </c>
      <c r="C113" t="str">
        <f t="shared" si="3"/>
        <v>,Spark,SQL,MachineLearning,ETL,Tableau,AWS,NumPy,Azure,</v>
      </c>
    </row>
    <row r="114" ht="16.5" spans="1:3">
      <c r="A114" s="13">
        <v>2043713</v>
      </c>
      <c r="B114" s="14" t="s">
        <v>186</v>
      </c>
      <c r="C114" t="str">
        <f t="shared" si="3"/>
        <v>,R,Excel,Git,Spark,Tableau,</v>
      </c>
    </row>
    <row r="115" ht="16.5" spans="1:3">
      <c r="A115" s="13">
        <v>627724.5</v>
      </c>
      <c r="B115" s="14" t="s">
        <v>187</v>
      </c>
      <c r="C115" t="str">
        <f t="shared" si="3"/>
        <v>,Looker,NumPy,TensorFlow,Pandas,DAX,PowerBI,</v>
      </c>
    </row>
    <row r="116" ht="16.5" spans="1:3">
      <c r="A116" s="13">
        <v>1824723.5</v>
      </c>
      <c r="B116" s="14" t="s">
        <v>188</v>
      </c>
      <c r="C116" t="str">
        <f t="shared" si="3"/>
        <v>,Git,PowerBI,Python,NumPy,Tableau,dbt,Spark,Pandas,</v>
      </c>
    </row>
    <row r="117" ht="16.5" spans="1:3">
      <c r="A117" s="13">
        <v>1715161.5</v>
      </c>
      <c r="B117" s="14" t="s">
        <v>189</v>
      </c>
      <c r="C117" t="str">
        <f t="shared" si="3"/>
        <v>,PowerBI,Spark,Azure,Tableau,Statistics,</v>
      </c>
    </row>
    <row r="118" ht="16.5" spans="1:3">
      <c r="A118" s="13">
        <v>719382.5</v>
      </c>
      <c r="B118" s="14" t="s">
        <v>190</v>
      </c>
      <c r="C118" t="str">
        <f t="shared" si="3"/>
        <v>,SQL,Excel,Looker,AWS,dbt,</v>
      </c>
    </row>
    <row r="119" ht="16.5" spans="1:3">
      <c r="A119" s="13">
        <v>1051887.5</v>
      </c>
      <c r="B119" s="14" t="s">
        <v>191</v>
      </c>
      <c r="C119" t="str">
        <f t="shared" si="3"/>
        <v>,Git,Pandas,Tableau,PowerBI,DAX,dbt,Snowflake,SQL,</v>
      </c>
    </row>
    <row r="120" ht="16.5" spans="1:3">
      <c r="A120" s="13">
        <v>1849701.5</v>
      </c>
      <c r="B120" s="14" t="s">
        <v>192</v>
      </c>
      <c r="C120" t="str">
        <f t="shared" si="3"/>
        <v>,TensorFlow,AWS,Spark,Looker,Excel,Python,ETL,dbt,</v>
      </c>
    </row>
    <row r="121" ht="16.5" spans="1:3">
      <c r="A121" s="13">
        <v>1037263.5</v>
      </c>
      <c r="B121" s="14" t="s">
        <v>193</v>
      </c>
      <c r="C121" t="str">
        <f t="shared" si="3"/>
        <v>,Azure,Git,dbt,</v>
      </c>
    </row>
    <row r="122" ht="16.5" spans="1:3">
      <c r="A122" s="13">
        <v>893388.5</v>
      </c>
      <c r="B122" s="14" t="s">
        <v>194</v>
      </c>
      <c r="C122" t="str">
        <f t="shared" si="3"/>
        <v>,TensorFlow,Spark,Git,</v>
      </c>
    </row>
    <row r="123" ht="16.5" spans="1:3">
      <c r="A123" s="13">
        <v>2106976</v>
      </c>
      <c r="B123" s="14" t="s">
        <v>195</v>
      </c>
      <c r="C123" t="str">
        <f t="shared" si="3"/>
        <v>,dbt,Statistics,Looker,Git,Python,AWS,TensorFlow,</v>
      </c>
    </row>
    <row r="124" ht="16.5" spans="1:3">
      <c r="A124" s="13">
        <v>604555.5</v>
      </c>
      <c r="B124" s="14" t="s">
        <v>196</v>
      </c>
      <c r="C124" t="str">
        <f t="shared" si="3"/>
        <v>,Git,NumPy,Statistics,Python,ETL,DAX,Snowflake,</v>
      </c>
    </row>
    <row r="125" ht="16.5" spans="1:3">
      <c r="A125" s="13">
        <v>1526633</v>
      </c>
      <c r="B125" s="14" t="s">
        <v>197</v>
      </c>
      <c r="C125" t="str">
        <f t="shared" si="3"/>
        <v>,R,SQL,DAX,Excel,AWS,Pandas,MachineLearning,</v>
      </c>
    </row>
    <row r="126" ht="16.5" spans="1:3">
      <c r="A126" s="13">
        <v>1902373.5</v>
      </c>
      <c r="B126" s="14" t="s">
        <v>198</v>
      </c>
      <c r="C126" t="str">
        <f t="shared" si="3"/>
        <v>,Azure,Pandas,Python,DAX,</v>
      </c>
    </row>
    <row r="127" ht="16.5" spans="1:3">
      <c r="A127" s="13">
        <v>2189944.5</v>
      </c>
      <c r="B127" s="14" t="s">
        <v>199</v>
      </c>
      <c r="C127" t="str">
        <f t="shared" si="3"/>
        <v>,Statistics,ETL,R,TensorFlow,PowerBI,</v>
      </c>
    </row>
    <row r="128" ht="16.5" spans="1:3">
      <c r="A128" s="13">
        <v>637628</v>
      </c>
      <c r="B128" s="14" t="s">
        <v>200</v>
      </c>
      <c r="C128" t="str">
        <f t="shared" si="3"/>
        <v>,DAX,TensorFlow,R,Statistics,MachineLearning,Tableau,</v>
      </c>
    </row>
    <row r="129" ht="16.5" spans="1:3">
      <c r="A129" s="13">
        <v>974182.5</v>
      </c>
      <c r="B129" s="14" t="s">
        <v>201</v>
      </c>
      <c r="C129" t="str">
        <f t="shared" si="3"/>
        <v>,SQL,Excel,MachineLearning,AWS,Looker,</v>
      </c>
    </row>
    <row r="130" ht="16.5" spans="1:3">
      <c r="A130" s="13">
        <v>1572066.5</v>
      </c>
      <c r="B130" s="14" t="s">
        <v>202</v>
      </c>
      <c r="C130" t="str">
        <f t="shared" si="3"/>
        <v>,PowerBI,Statistics,Azure,</v>
      </c>
    </row>
    <row r="131" ht="16.5" spans="1:3">
      <c r="A131" s="13">
        <v>1151502</v>
      </c>
      <c r="B131" s="14" t="s">
        <v>203</v>
      </c>
      <c r="C131" t="str">
        <f t="shared" ref="C131:C151" si="4">","&amp;SUBSTITUTE(B131," ","")&amp;","</f>
        <v>,Excel,AWS,PowerBI,DAX,Spark,TensorFlow,</v>
      </c>
    </row>
    <row r="132" ht="16.5" spans="1:3">
      <c r="A132" s="13">
        <v>1178430.5</v>
      </c>
      <c r="B132" s="14" t="s">
        <v>204</v>
      </c>
      <c r="C132" t="str">
        <f t="shared" si="4"/>
        <v>,Spark,Git,dbt,Pandas,MachineLearning,PowerBI,SQL,Tableau,</v>
      </c>
    </row>
    <row r="133" ht="16.5" spans="1:3">
      <c r="A133" s="13">
        <v>2168920</v>
      </c>
      <c r="B133" s="14" t="s">
        <v>205</v>
      </c>
      <c r="C133" t="str">
        <f t="shared" si="4"/>
        <v>,NumPy,R,Looker,Statistics,</v>
      </c>
    </row>
    <row r="134" ht="16.5" spans="1:3">
      <c r="A134" s="13">
        <v>1167053</v>
      </c>
      <c r="B134" s="14" t="s">
        <v>206</v>
      </c>
      <c r="C134" t="str">
        <f t="shared" si="4"/>
        <v>,Spark,DAX,Snowflake,ETL,PowerBI,</v>
      </c>
    </row>
    <row r="135" ht="16.5" spans="1:3">
      <c r="A135" s="13">
        <v>1605328.5</v>
      </c>
      <c r="B135" s="14" t="s">
        <v>207</v>
      </c>
      <c r="C135" t="str">
        <f t="shared" si="4"/>
        <v>,TensorFlow,Snowflake,DAX,Excel,Spark,ETL,R,</v>
      </c>
    </row>
    <row r="136" ht="16.5" spans="1:3">
      <c r="A136" s="13">
        <v>1620648.5</v>
      </c>
      <c r="B136" s="14" t="s">
        <v>208</v>
      </c>
      <c r="C136" t="str">
        <f t="shared" si="4"/>
        <v>,Pandas,TensorFlow,NumPy,PowerBI,R,SQL,Azure,</v>
      </c>
    </row>
    <row r="137" ht="16.5" spans="1:3">
      <c r="A137" s="13">
        <v>1616718.5</v>
      </c>
      <c r="B137" s="14" t="s">
        <v>209</v>
      </c>
      <c r="C137" t="str">
        <f t="shared" si="4"/>
        <v>,ETL,PowerBI,Azure,Snowflake,SQL,Git,AWS,Spark,</v>
      </c>
    </row>
    <row r="138" ht="16.5" spans="1:3">
      <c r="A138" s="13">
        <v>2001218.5</v>
      </c>
      <c r="B138" s="14" t="s">
        <v>210</v>
      </c>
      <c r="C138" t="str">
        <f t="shared" si="4"/>
        <v>,AWS,DAX,Spark,Looker,NumPy,PowerBI,Statistics,</v>
      </c>
    </row>
    <row r="139" ht="16.5" spans="1:3">
      <c r="A139" s="13">
        <v>693995.5</v>
      </c>
      <c r="B139" s="14" t="s">
        <v>211</v>
      </c>
      <c r="C139" t="str">
        <f t="shared" si="4"/>
        <v>,PowerBI,Git,Looker,</v>
      </c>
    </row>
    <row r="140" ht="16.5" spans="1:3">
      <c r="A140" s="13">
        <v>1849084</v>
      </c>
      <c r="B140" s="14" t="s">
        <v>212</v>
      </c>
      <c r="C140" t="str">
        <f t="shared" si="4"/>
        <v>,SQL,TensorFlow,Excel,DAX,</v>
      </c>
    </row>
    <row r="141" ht="16.5" spans="1:3">
      <c r="A141" s="13">
        <v>1222561</v>
      </c>
      <c r="B141" s="14" t="s">
        <v>213</v>
      </c>
      <c r="C141" t="str">
        <f t="shared" si="4"/>
        <v>,Tableau,DAX,R,Excel,AWS,Snowflake,</v>
      </c>
    </row>
    <row r="142" ht="16.5" spans="1:3">
      <c r="A142" s="13">
        <v>558289.5</v>
      </c>
      <c r="B142" s="14" t="s">
        <v>214</v>
      </c>
      <c r="C142" t="str">
        <f t="shared" si="4"/>
        <v>,MachineLearning,Spark,ETL,PowerBI,DAX,dbt,</v>
      </c>
    </row>
    <row r="143" ht="16.5" spans="1:3">
      <c r="A143" s="13">
        <v>605504.5</v>
      </c>
      <c r="B143" s="14" t="s">
        <v>215</v>
      </c>
      <c r="C143" t="str">
        <f t="shared" si="4"/>
        <v>,ETL,Excel,R,SQL,Looker,TensorFlow,Snowflake,MachineLearning,</v>
      </c>
    </row>
    <row r="144" ht="16.5" spans="1:3">
      <c r="A144" s="13">
        <v>627654</v>
      </c>
      <c r="B144" s="14" t="s">
        <v>216</v>
      </c>
      <c r="C144" t="str">
        <f t="shared" si="4"/>
        <v>,MachineLearning,ETL,Excel,Tableau,dbt,AWS,PowerBI,</v>
      </c>
    </row>
    <row r="145" ht="16.5" spans="1:3">
      <c r="A145" s="13">
        <v>1023075</v>
      </c>
      <c r="B145" s="14" t="s">
        <v>217</v>
      </c>
      <c r="C145" t="str">
        <f t="shared" si="4"/>
        <v>,Snowflake,Excel,AWS,</v>
      </c>
    </row>
    <row r="146" ht="16.5" spans="1:3">
      <c r="A146" s="13">
        <v>1855990</v>
      </c>
      <c r="B146" s="14" t="s">
        <v>218</v>
      </c>
      <c r="C146" t="str">
        <f t="shared" si="4"/>
        <v>,TensorFlow,MachineLearning,Tableau,</v>
      </c>
    </row>
    <row r="147" ht="16.5" spans="1:3">
      <c r="A147" s="13">
        <v>1085297</v>
      </c>
      <c r="B147" s="14" t="s">
        <v>219</v>
      </c>
      <c r="C147" t="str">
        <f t="shared" si="4"/>
        <v>,PowerBI,DAX,Spark,ETL,Tableau,Excel,NumPy,</v>
      </c>
    </row>
    <row r="148" ht="16.5" spans="1:3">
      <c r="A148" s="13">
        <v>782574</v>
      </c>
      <c r="B148" s="14" t="s">
        <v>220</v>
      </c>
      <c r="C148" t="str">
        <f t="shared" si="4"/>
        <v>,dbt,Excel,Looker,PowerBI,DAX,Pandas,Azure,AWS,</v>
      </c>
    </row>
    <row r="149" ht="16.5" spans="1:3">
      <c r="A149" s="13">
        <v>1045514</v>
      </c>
      <c r="B149" s="14" t="s">
        <v>221</v>
      </c>
      <c r="C149" t="str">
        <f t="shared" si="4"/>
        <v>,MachineLearning,AWS,NumPy,Statistics,Snowflake,Git,</v>
      </c>
    </row>
    <row r="150" ht="16.5" spans="1:3">
      <c r="A150" s="13">
        <v>1266905</v>
      </c>
      <c r="B150" s="14" t="s">
        <v>222</v>
      </c>
      <c r="C150" t="str">
        <f t="shared" si="4"/>
        <v>,Statistics,AWS,TensorFlow,dbt,Python,Azure,NumPy,</v>
      </c>
    </row>
    <row r="151" ht="16.5" spans="1:3">
      <c r="A151" s="13">
        <v>2182288</v>
      </c>
      <c r="B151" s="14" t="s">
        <v>223</v>
      </c>
      <c r="C151" t="str">
        <f t="shared" si="4"/>
        <v>,DAX,Python,Snowflake,SQL,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opLeftCell="B1" workbookViewId="0">
      <selection activeCell="G11" sqref="G11"/>
    </sheetView>
  </sheetViews>
  <sheetFormatPr defaultColWidth="8.8" defaultRowHeight="15"/>
  <cols>
    <col min="1" max="1" width="16.9" customWidth="1"/>
    <col min="2" max="2" width="14.5" customWidth="1"/>
    <col min="3" max="3" width="9.7" customWidth="1"/>
    <col min="4" max="4" width="9.3" customWidth="1"/>
    <col min="5" max="5" width="12" customWidth="1"/>
    <col min="6" max="6" width="16.4" customWidth="1"/>
    <col min="7" max="7" width="10.5" customWidth="1"/>
    <col min="8" max="8" width="3.6" customWidth="1"/>
    <col min="9" max="9" width="8.3" customWidth="1"/>
    <col min="10" max="10" width="12" customWidth="1"/>
    <col min="11" max="11" width="16.4" customWidth="1"/>
    <col min="12" max="12" width="10.5" customWidth="1"/>
  </cols>
  <sheetData>
    <row r="1" spans="1:12">
      <c r="A1" s="12" t="s">
        <v>224</v>
      </c>
      <c r="B1" s="12" t="s">
        <v>225</v>
      </c>
      <c r="C1" s="12" t="s">
        <v>57</v>
      </c>
      <c r="D1" s="12" t="s">
        <v>226</v>
      </c>
      <c r="E1" s="12" t="s">
        <v>227</v>
      </c>
      <c r="F1" s="12"/>
      <c r="G1" s="12"/>
      <c r="H1" s="12"/>
      <c r="I1" s="12" t="s">
        <v>228</v>
      </c>
      <c r="J1" s="12" t="s">
        <v>227</v>
      </c>
      <c r="K1" s="12"/>
      <c r="L1" s="12"/>
    </row>
    <row r="2" spans="1:12">
      <c r="A2" s="6" t="s">
        <v>229</v>
      </c>
      <c r="B2" s="6" t="s">
        <v>230</v>
      </c>
      <c r="C2" s="6">
        <v>206953.5</v>
      </c>
      <c r="D2" s="6">
        <f>LARGE(C2:C151,1)</f>
        <v>298565</v>
      </c>
      <c r="E2" s="6">
        <f>MATCH(D2,$C$2:$C$151,0)</f>
        <v>40</v>
      </c>
      <c r="F2" s="6" t="str">
        <f>INDEX(A2:A151,E2)</f>
        <v>Junior Data Analyst</v>
      </c>
      <c r="G2" s="6" t="str">
        <f>INDEX(B2:B151,E2)</f>
        <v>ZetaData</v>
      </c>
      <c r="H2" s="6" t="s">
        <v>45</v>
      </c>
      <c r="I2" s="6">
        <f>SMALL(C2:C151,1)</f>
        <v>50700</v>
      </c>
      <c r="J2" s="6">
        <f>MATCH(I2,$C$2:$C$151,0)</f>
        <v>10</v>
      </c>
      <c r="K2" s="6" t="str">
        <f>INDEX($A$2:$A$151,J2)</f>
        <v>Junior Data Analyst</v>
      </c>
      <c r="L2" s="6" t="str">
        <f>INDEX($B$2:$B$151,J2)</f>
        <v>PulseTech</v>
      </c>
    </row>
    <row r="3" spans="1:12">
      <c r="A3" s="6" t="s">
        <v>229</v>
      </c>
      <c r="B3" s="6" t="s">
        <v>231</v>
      </c>
      <c r="C3" s="6">
        <v>275090.5</v>
      </c>
      <c r="D3" s="6">
        <f>LARGE(C2:C151,2)</f>
        <v>297854</v>
      </c>
      <c r="E3" s="6">
        <f>MATCH(D3,$C$2:$C$151,0)</f>
        <v>57</v>
      </c>
      <c r="F3" s="6" t="str">
        <f>INDEX(A3:A152,E3)</f>
        <v>Junior Data Analyst</v>
      </c>
      <c r="G3" s="6" t="str">
        <f>INDEX(B3:B152,E3)</f>
        <v>ByteWise</v>
      </c>
      <c r="H3" s="6" t="s">
        <v>46</v>
      </c>
      <c r="I3" s="6">
        <f>SMALL(C3:C152,2)</f>
        <v>53388.5</v>
      </c>
      <c r="J3" s="6">
        <f>MATCH(I3,$C$2:$C$151,0)</f>
        <v>121</v>
      </c>
      <c r="K3" s="6" t="str">
        <f>INDEX($A$2:$A$151,J3)</f>
        <v>Data Analyst</v>
      </c>
      <c r="L3" s="6" t="str">
        <f>INDEX($B$2:$B$151,J3)</f>
        <v>DataPeak</v>
      </c>
    </row>
    <row r="4" spans="1:12">
      <c r="A4" s="6" t="s">
        <v>232</v>
      </c>
      <c r="B4" s="6" t="s">
        <v>233</v>
      </c>
      <c r="C4" s="6">
        <v>60239.5</v>
      </c>
      <c r="D4" s="6">
        <f>LARGE(C2:C151,3)</f>
        <v>292117.5</v>
      </c>
      <c r="E4" s="6">
        <f>MATCH(D4,$C$2:$C$151,0)</f>
        <v>84</v>
      </c>
      <c r="F4" s="6" t="str">
        <f>INDEX(A4:A153,E4)</f>
        <v>Data Analyst</v>
      </c>
      <c r="G4" s="6" t="str">
        <f>INDEX(B4:B153,E4)</f>
        <v>NovaSoft</v>
      </c>
      <c r="H4" s="6" t="s">
        <v>47</v>
      </c>
      <c r="I4" s="6">
        <f>SMALL(C4:C153,3)</f>
        <v>54232</v>
      </c>
      <c r="J4" s="6">
        <f>MATCH(I4,$C$2:$C$151,0)</f>
        <v>98</v>
      </c>
      <c r="K4" s="6" t="str">
        <f>INDEX($A$2:$A$151,J4)</f>
        <v>Junior Data Analyst</v>
      </c>
      <c r="L4" s="6" t="str">
        <f>INDEX($B$2:$B$151,J4)</f>
        <v>ByteWise</v>
      </c>
    </row>
    <row r="5" spans="1:12">
      <c r="A5" s="6" t="s">
        <v>234</v>
      </c>
      <c r="B5" s="6" t="s">
        <v>235</v>
      </c>
      <c r="C5" s="6">
        <v>127128.5</v>
      </c>
      <c r="D5" s="6">
        <f>LARGE(C2:C151,4)</f>
        <v>291502</v>
      </c>
      <c r="E5" s="6">
        <f>MATCH(D5,$C$2:$C$151,0)</f>
        <v>130</v>
      </c>
      <c r="F5" s="6" t="str">
        <f>INDEX(A5:A154,E5)</f>
        <v>Data Analyst</v>
      </c>
      <c r="G5" s="6" t="str">
        <f>INDEX(B5:B154,E5)</f>
        <v>InsightHub</v>
      </c>
      <c r="H5" s="6" t="s">
        <v>48</v>
      </c>
      <c r="I5" s="6">
        <f>SMALL(C5:C154,4)</f>
        <v>54592</v>
      </c>
      <c r="J5" s="6">
        <f>MATCH(I5,$C$2:$C$151,0)</f>
        <v>42</v>
      </c>
      <c r="K5" s="6" t="str">
        <f>INDEX($A$2:$A$151,J5)</f>
        <v>Data Analyst</v>
      </c>
      <c r="L5" s="6" t="str">
        <f>INDEX($B$2:$B$151,J5)</f>
        <v>InsightHub</v>
      </c>
    </row>
    <row r="6" spans="1:12">
      <c r="A6" s="6" t="s">
        <v>232</v>
      </c>
      <c r="B6" s="6" t="s">
        <v>236</v>
      </c>
      <c r="C6" s="6">
        <v>171341</v>
      </c>
      <c r="D6" s="6">
        <f>LARGE(C2:C151,5)</f>
        <v>287430</v>
      </c>
      <c r="E6" s="6">
        <f>MATCH(D6,$C$2:$C$151,0)</f>
        <v>19</v>
      </c>
      <c r="F6" s="6" t="str">
        <f>INDEX(A6:A155,E6)</f>
        <v>Junior Data Analyst</v>
      </c>
      <c r="G6" s="6" t="str">
        <f>INDEX(B6:B155,E6)</f>
        <v>MetricsMind</v>
      </c>
      <c r="H6" s="6" t="s">
        <v>49</v>
      </c>
      <c r="I6" s="6">
        <f>SMALL(C6:C155,5)</f>
        <v>55106</v>
      </c>
      <c r="J6" s="6">
        <f>MATCH(I6,$C$2:$C$151,0)</f>
        <v>81</v>
      </c>
      <c r="K6" s="6" t="str">
        <f>INDEX($A$2:$A$151,J6)</f>
        <v>Data Analyst</v>
      </c>
      <c r="L6" s="6" t="str">
        <f>INDEX($B$2:$B$151,J6)</f>
        <v>MetricsMind</v>
      </c>
    </row>
    <row r="7" spans="1:3">
      <c r="A7" s="6" t="s">
        <v>234</v>
      </c>
      <c r="B7" s="6" t="s">
        <v>237</v>
      </c>
      <c r="C7" s="6">
        <v>67576</v>
      </c>
    </row>
    <row r="8" spans="1:3">
      <c r="A8" s="6" t="s">
        <v>234</v>
      </c>
      <c r="B8" s="6" t="s">
        <v>238</v>
      </c>
      <c r="C8" s="6">
        <v>205832.5</v>
      </c>
    </row>
    <row r="9" spans="1:3">
      <c r="A9" s="6" t="s">
        <v>232</v>
      </c>
      <c r="B9" s="6" t="s">
        <v>239</v>
      </c>
      <c r="C9" s="6">
        <v>203214.5</v>
      </c>
    </row>
    <row r="10" spans="1:3">
      <c r="A10" s="6" t="s">
        <v>232</v>
      </c>
      <c r="B10" s="6" t="s">
        <v>240</v>
      </c>
      <c r="C10" s="6">
        <v>76823</v>
      </c>
    </row>
    <row r="11" spans="1:3">
      <c r="A11" s="6" t="s">
        <v>234</v>
      </c>
      <c r="B11" s="6" t="s">
        <v>237</v>
      </c>
      <c r="C11" s="6">
        <v>50700</v>
      </c>
    </row>
    <row r="12" spans="1:3">
      <c r="A12" s="6" t="s">
        <v>234</v>
      </c>
      <c r="B12" s="6" t="s">
        <v>241</v>
      </c>
      <c r="C12" s="6">
        <v>184140</v>
      </c>
    </row>
    <row r="13" spans="1:3">
      <c r="A13" s="6" t="s">
        <v>232</v>
      </c>
      <c r="B13" s="6" t="s">
        <v>236</v>
      </c>
      <c r="C13" s="6">
        <v>269846.5</v>
      </c>
    </row>
    <row r="14" spans="1:3">
      <c r="A14" s="6" t="s">
        <v>232</v>
      </c>
      <c r="B14" s="6" t="s">
        <v>242</v>
      </c>
      <c r="C14" s="6">
        <v>232216</v>
      </c>
    </row>
    <row r="15" spans="1:3">
      <c r="A15" s="6" t="s">
        <v>234</v>
      </c>
      <c r="B15" s="6" t="s">
        <v>235</v>
      </c>
      <c r="C15" s="6">
        <v>279715</v>
      </c>
    </row>
    <row r="16" spans="1:3">
      <c r="A16" s="6" t="s">
        <v>234</v>
      </c>
      <c r="B16" s="6" t="s">
        <v>243</v>
      </c>
      <c r="C16" s="6">
        <v>136101.5</v>
      </c>
    </row>
    <row r="17" spans="1:3">
      <c r="A17" s="6" t="s">
        <v>229</v>
      </c>
      <c r="B17" s="6" t="s">
        <v>240</v>
      </c>
      <c r="C17" s="6">
        <v>154410</v>
      </c>
    </row>
    <row r="18" spans="1:3">
      <c r="A18" s="6" t="s">
        <v>232</v>
      </c>
      <c r="B18" s="6" t="s">
        <v>244</v>
      </c>
      <c r="C18" s="6">
        <v>174111.5</v>
      </c>
    </row>
    <row r="19" spans="1:3">
      <c r="A19" s="6" t="s">
        <v>232</v>
      </c>
      <c r="B19" s="6" t="s">
        <v>237</v>
      </c>
      <c r="C19" s="6">
        <v>64692.5</v>
      </c>
    </row>
    <row r="20" spans="1:3">
      <c r="A20" s="6" t="s">
        <v>229</v>
      </c>
      <c r="B20" s="6" t="s">
        <v>238</v>
      </c>
      <c r="C20" s="6">
        <v>287430</v>
      </c>
    </row>
    <row r="21" spans="1:3">
      <c r="A21" s="6" t="s">
        <v>234</v>
      </c>
      <c r="B21" s="6" t="s">
        <v>231</v>
      </c>
      <c r="C21" s="6">
        <v>72011.5</v>
      </c>
    </row>
    <row r="22" spans="1:3">
      <c r="A22" s="6" t="s">
        <v>232</v>
      </c>
      <c r="B22" s="6" t="s">
        <v>231</v>
      </c>
      <c r="C22" s="6">
        <v>196947</v>
      </c>
    </row>
    <row r="23" spans="1:3">
      <c r="A23" s="6" t="s">
        <v>234</v>
      </c>
      <c r="B23" s="6" t="s">
        <v>244</v>
      </c>
      <c r="C23" s="6">
        <v>204966</v>
      </c>
    </row>
    <row r="24" spans="1:3">
      <c r="A24" s="6" t="s">
        <v>234</v>
      </c>
      <c r="B24" s="6" t="s">
        <v>238</v>
      </c>
      <c r="C24" s="6">
        <v>235051</v>
      </c>
    </row>
    <row r="25" spans="1:3">
      <c r="A25" s="6" t="s">
        <v>232</v>
      </c>
      <c r="B25" s="6" t="s">
        <v>231</v>
      </c>
      <c r="C25" s="6">
        <v>232860.5</v>
      </c>
    </row>
    <row r="26" spans="1:3">
      <c r="A26" s="6" t="s">
        <v>229</v>
      </c>
      <c r="B26" s="6" t="s">
        <v>245</v>
      </c>
      <c r="C26" s="6">
        <v>90816.5</v>
      </c>
    </row>
    <row r="27" spans="1:3">
      <c r="A27" s="6" t="s">
        <v>234</v>
      </c>
      <c r="B27" s="6" t="s">
        <v>242</v>
      </c>
      <c r="C27" s="6">
        <v>107214</v>
      </c>
    </row>
    <row r="28" spans="1:3">
      <c r="A28" s="6" t="s">
        <v>232</v>
      </c>
      <c r="B28" s="6" t="s">
        <v>242</v>
      </c>
      <c r="C28" s="6">
        <v>134507.5</v>
      </c>
    </row>
    <row r="29" spans="1:3">
      <c r="A29" s="6" t="s">
        <v>234</v>
      </c>
      <c r="B29" s="6" t="s">
        <v>239</v>
      </c>
      <c r="C29" s="6">
        <v>193334.5</v>
      </c>
    </row>
    <row r="30" spans="1:3">
      <c r="A30" s="6" t="s">
        <v>229</v>
      </c>
      <c r="B30" s="6" t="s">
        <v>246</v>
      </c>
      <c r="C30" s="6">
        <v>176499.5</v>
      </c>
    </row>
    <row r="31" spans="1:3">
      <c r="A31" s="6" t="s">
        <v>234</v>
      </c>
      <c r="B31" s="6" t="s">
        <v>245</v>
      </c>
      <c r="C31" s="6">
        <v>93616.5</v>
      </c>
    </row>
    <row r="32" spans="1:3">
      <c r="A32" s="6" t="s">
        <v>234</v>
      </c>
      <c r="B32" s="6" t="s">
        <v>245</v>
      </c>
      <c r="C32" s="6">
        <v>170248.5</v>
      </c>
    </row>
    <row r="33" spans="1:3">
      <c r="A33" s="6" t="s">
        <v>234</v>
      </c>
      <c r="B33" s="6" t="s">
        <v>231</v>
      </c>
      <c r="C33" s="6">
        <v>164438.5</v>
      </c>
    </row>
    <row r="34" spans="1:3">
      <c r="A34" s="6" t="s">
        <v>234</v>
      </c>
      <c r="B34" s="6" t="s">
        <v>237</v>
      </c>
      <c r="C34" s="6">
        <v>194134</v>
      </c>
    </row>
    <row r="35" spans="1:3">
      <c r="A35" s="6" t="s">
        <v>232</v>
      </c>
      <c r="B35" s="6" t="s">
        <v>247</v>
      </c>
      <c r="C35" s="6">
        <v>285410.5</v>
      </c>
    </row>
    <row r="36" spans="1:3">
      <c r="A36" s="6" t="s">
        <v>234</v>
      </c>
      <c r="B36" s="6" t="s">
        <v>248</v>
      </c>
      <c r="C36" s="6">
        <v>146765.5</v>
      </c>
    </row>
    <row r="37" spans="1:3">
      <c r="A37" s="6" t="s">
        <v>234</v>
      </c>
      <c r="B37" s="6" t="s">
        <v>248</v>
      </c>
      <c r="C37" s="6">
        <v>129151</v>
      </c>
    </row>
    <row r="38" spans="1:3">
      <c r="A38" s="6" t="s">
        <v>232</v>
      </c>
      <c r="B38" s="6" t="s">
        <v>241</v>
      </c>
      <c r="C38" s="6">
        <v>97059.5</v>
      </c>
    </row>
    <row r="39" spans="1:3">
      <c r="A39" s="6" t="s">
        <v>234</v>
      </c>
      <c r="B39" s="6" t="s">
        <v>249</v>
      </c>
      <c r="C39" s="6">
        <v>83748</v>
      </c>
    </row>
    <row r="40" spans="1:3">
      <c r="A40" s="6" t="s">
        <v>232</v>
      </c>
      <c r="B40" s="6" t="s">
        <v>245</v>
      </c>
      <c r="C40" s="6">
        <v>208239.5</v>
      </c>
    </row>
    <row r="41" spans="1:3">
      <c r="A41" s="6" t="s">
        <v>234</v>
      </c>
      <c r="B41" s="6" t="s">
        <v>248</v>
      </c>
      <c r="C41" s="6">
        <v>298565</v>
      </c>
    </row>
    <row r="42" spans="1:3">
      <c r="A42" s="6" t="s">
        <v>232</v>
      </c>
      <c r="B42" s="6" t="s">
        <v>231</v>
      </c>
      <c r="C42" s="6">
        <v>283089.5</v>
      </c>
    </row>
    <row r="43" spans="1:3">
      <c r="A43" s="6" t="s">
        <v>232</v>
      </c>
      <c r="B43" s="6" t="s">
        <v>247</v>
      </c>
      <c r="C43" s="6">
        <v>54592</v>
      </c>
    </row>
    <row r="44" spans="1:3">
      <c r="A44" s="6" t="s">
        <v>234</v>
      </c>
      <c r="B44" s="6" t="s">
        <v>235</v>
      </c>
      <c r="C44" s="6">
        <v>74791.5</v>
      </c>
    </row>
    <row r="45" spans="1:3">
      <c r="A45" s="6" t="s">
        <v>232</v>
      </c>
      <c r="B45" s="6" t="s">
        <v>237</v>
      </c>
      <c r="C45" s="6">
        <v>70063</v>
      </c>
    </row>
    <row r="46" spans="1:3">
      <c r="A46" s="6" t="s">
        <v>232</v>
      </c>
      <c r="B46" s="6" t="s">
        <v>249</v>
      </c>
      <c r="C46" s="6">
        <v>55867.5</v>
      </c>
    </row>
    <row r="47" spans="1:3">
      <c r="A47" s="6" t="s">
        <v>229</v>
      </c>
      <c r="B47" s="6" t="s">
        <v>239</v>
      </c>
      <c r="C47" s="6">
        <v>273934.5</v>
      </c>
    </row>
    <row r="48" spans="1:3">
      <c r="A48" s="6" t="s">
        <v>229</v>
      </c>
      <c r="B48" s="6" t="s">
        <v>239</v>
      </c>
      <c r="C48" s="6">
        <v>208498</v>
      </c>
    </row>
    <row r="49" spans="1:3">
      <c r="A49" s="6" t="s">
        <v>232</v>
      </c>
      <c r="B49" s="6" t="s">
        <v>240</v>
      </c>
      <c r="C49" s="6">
        <v>75466.5</v>
      </c>
    </row>
    <row r="50" spans="1:3">
      <c r="A50" s="6" t="s">
        <v>229</v>
      </c>
      <c r="B50" s="6" t="s">
        <v>244</v>
      </c>
      <c r="C50" s="6">
        <v>216401.5</v>
      </c>
    </row>
    <row r="51" spans="1:3">
      <c r="A51" s="6" t="s">
        <v>229</v>
      </c>
      <c r="B51" s="6" t="s">
        <v>250</v>
      </c>
      <c r="C51" s="6">
        <v>105217</v>
      </c>
    </row>
    <row r="52" spans="1:3">
      <c r="A52" s="6" t="s">
        <v>234</v>
      </c>
      <c r="B52" s="6" t="s">
        <v>240</v>
      </c>
      <c r="C52" s="6">
        <v>246086.5</v>
      </c>
    </row>
    <row r="53" spans="1:3">
      <c r="A53" s="6" t="s">
        <v>229</v>
      </c>
      <c r="B53" s="6" t="s">
        <v>241</v>
      </c>
      <c r="C53" s="6">
        <v>158892.5</v>
      </c>
    </row>
    <row r="54" spans="1:3">
      <c r="A54" s="6" t="s">
        <v>234</v>
      </c>
      <c r="B54" s="6" t="s">
        <v>250</v>
      </c>
      <c r="C54" s="6">
        <v>153743</v>
      </c>
    </row>
    <row r="55" spans="1:3">
      <c r="A55" s="6" t="s">
        <v>232</v>
      </c>
      <c r="B55" s="6" t="s">
        <v>241</v>
      </c>
      <c r="C55" s="6">
        <v>159623</v>
      </c>
    </row>
    <row r="56" spans="1:3">
      <c r="A56" s="6" t="s">
        <v>232</v>
      </c>
      <c r="B56" s="6" t="s">
        <v>251</v>
      </c>
      <c r="C56" s="6">
        <v>266567</v>
      </c>
    </row>
    <row r="57" spans="1:3">
      <c r="A57" s="6" t="s">
        <v>229</v>
      </c>
      <c r="B57" s="6" t="s">
        <v>240</v>
      </c>
      <c r="C57" s="6">
        <v>159602</v>
      </c>
    </row>
    <row r="58" spans="1:3">
      <c r="A58" s="6" t="s">
        <v>229</v>
      </c>
      <c r="B58" s="6" t="s">
        <v>245</v>
      </c>
      <c r="C58" s="6">
        <v>297854</v>
      </c>
    </row>
    <row r="59" spans="1:3">
      <c r="A59" s="6" t="s">
        <v>234</v>
      </c>
      <c r="B59" s="6" t="s">
        <v>249</v>
      </c>
      <c r="C59" s="6">
        <v>194718.5</v>
      </c>
    </row>
    <row r="60" spans="1:3">
      <c r="A60" s="6" t="s">
        <v>234</v>
      </c>
      <c r="B60" s="6" t="s">
        <v>240</v>
      </c>
      <c r="C60" s="6">
        <v>201414.5</v>
      </c>
    </row>
    <row r="61" spans="1:3">
      <c r="A61" s="6" t="s">
        <v>234</v>
      </c>
      <c r="B61" s="6" t="s">
        <v>240</v>
      </c>
      <c r="C61" s="6">
        <v>171166</v>
      </c>
    </row>
    <row r="62" spans="1:3">
      <c r="A62" s="6" t="s">
        <v>229</v>
      </c>
      <c r="B62" s="6" t="s">
        <v>236</v>
      </c>
      <c r="C62" s="6">
        <v>164955.5</v>
      </c>
    </row>
    <row r="63" spans="1:3">
      <c r="A63" s="6" t="s">
        <v>234</v>
      </c>
      <c r="B63" s="6" t="s">
        <v>247</v>
      </c>
      <c r="C63" s="6">
        <v>272054</v>
      </c>
    </row>
    <row r="64" spans="1:3">
      <c r="A64" s="6" t="s">
        <v>234</v>
      </c>
      <c r="B64" s="6" t="s">
        <v>237</v>
      </c>
      <c r="C64" s="6">
        <v>75460.5</v>
      </c>
    </row>
    <row r="65" spans="1:3">
      <c r="A65" s="6" t="s">
        <v>229</v>
      </c>
      <c r="B65" s="6" t="s">
        <v>246</v>
      </c>
      <c r="C65" s="6">
        <v>198958</v>
      </c>
    </row>
    <row r="66" spans="1:3">
      <c r="A66" s="6" t="s">
        <v>229</v>
      </c>
      <c r="B66" s="6" t="s">
        <v>240</v>
      </c>
      <c r="C66" s="6">
        <v>130389.5</v>
      </c>
    </row>
    <row r="67" spans="1:3">
      <c r="A67" s="6" t="s">
        <v>232</v>
      </c>
      <c r="B67" s="6" t="s">
        <v>242</v>
      </c>
      <c r="C67" s="6">
        <v>216923</v>
      </c>
    </row>
    <row r="68" spans="1:3">
      <c r="A68" s="6" t="s">
        <v>229</v>
      </c>
      <c r="B68" s="6" t="s">
        <v>231</v>
      </c>
      <c r="C68" s="6">
        <v>156389.5</v>
      </c>
    </row>
    <row r="69" spans="1:3">
      <c r="A69" s="6" t="s">
        <v>232</v>
      </c>
      <c r="B69" s="6" t="s">
        <v>240</v>
      </c>
      <c r="C69" s="6">
        <v>176877</v>
      </c>
    </row>
    <row r="70" spans="1:3">
      <c r="A70" s="6" t="s">
        <v>229</v>
      </c>
      <c r="B70" s="6" t="s">
        <v>241</v>
      </c>
      <c r="C70" s="6">
        <v>143454.5</v>
      </c>
    </row>
    <row r="71" spans="1:3">
      <c r="A71" s="6" t="s">
        <v>232</v>
      </c>
      <c r="B71" s="6" t="s">
        <v>247</v>
      </c>
      <c r="C71" s="6">
        <v>67615</v>
      </c>
    </row>
    <row r="72" spans="1:3">
      <c r="A72" s="6" t="s">
        <v>229</v>
      </c>
      <c r="B72" s="6" t="s">
        <v>245</v>
      </c>
      <c r="C72" s="6">
        <v>230800</v>
      </c>
    </row>
    <row r="73" spans="1:3">
      <c r="A73" s="6" t="s">
        <v>229</v>
      </c>
      <c r="B73" s="6" t="s">
        <v>237</v>
      </c>
      <c r="C73" s="6">
        <v>65955</v>
      </c>
    </row>
    <row r="74" spans="1:3">
      <c r="A74" s="6" t="s">
        <v>234</v>
      </c>
      <c r="B74" s="6" t="s">
        <v>246</v>
      </c>
      <c r="C74" s="6">
        <v>80515</v>
      </c>
    </row>
    <row r="75" spans="1:3">
      <c r="A75" s="6" t="s">
        <v>234</v>
      </c>
      <c r="B75" s="6" t="s">
        <v>237</v>
      </c>
      <c r="C75" s="6">
        <v>253789.5</v>
      </c>
    </row>
    <row r="76" spans="1:3">
      <c r="A76" s="6" t="s">
        <v>232</v>
      </c>
      <c r="B76" s="6" t="s">
        <v>251</v>
      </c>
      <c r="C76" s="6">
        <v>124384.5</v>
      </c>
    </row>
    <row r="77" spans="1:3">
      <c r="A77" s="6" t="s">
        <v>232</v>
      </c>
      <c r="B77" s="6" t="s">
        <v>230</v>
      </c>
      <c r="C77" s="6">
        <v>133678</v>
      </c>
    </row>
    <row r="78" spans="1:3">
      <c r="A78" s="6" t="s">
        <v>229</v>
      </c>
      <c r="B78" s="6" t="s">
        <v>237</v>
      </c>
      <c r="C78" s="6">
        <v>265628.5</v>
      </c>
    </row>
    <row r="79" spans="1:3">
      <c r="A79" s="6" t="s">
        <v>232</v>
      </c>
      <c r="B79" s="6" t="s">
        <v>231</v>
      </c>
      <c r="C79" s="6">
        <v>229502</v>
      </c>
    </row>
    <row r="80" spans="1:3">
      <c r="A80" s="6" t="s">
        <v>229</v>
      </c>
      <c r="B80" s="6" t="s">
        <v>249</v>
      </c>
      <c r="C80" s="6">
        <v>135375</v>
      </c>
    </row>
    <row r="81" spans="1:3">
      <c r="A81" s="6" t="s">
        <v>229</v>
      </c>
      <c r="B81" s="6" t="s">
        <v>242</v>
      </c>
      <c r="C81" s="6">
        <v>267378</v>
      </c>
    </row>
    <row r="82" spans="1:3">
      <c r="A82" s="6" t="s">
        <v>232</v>
      </c>
      <c r="B82" s="6" t="s">
        <v>238</v>
      </c>
      <c r="C82" s="6">
        <v>55106</v>
      </c>
    </row>
    <row r="83" spans="1:3">
      <c r="A83" s="6" t="s">
        <v>229</v>
      </c>
      <c r="B83" s="6" t="s">
        <v>243</v>
      </c>
      <c r="C83" s="6">
        <v>274501</v>
      </c>
    </row>
    <row r="84" spans="1:3">
      <c r="A84" s="6" t="s">
        <v>229</v>
      </c>
      <c r="B84" s="6" t="s">
        <v>239</v>
      </c>
      <c r="C84" s="6">
        <v>115495.5</v>
      </c>
    </row>
    <row r="85" spans="1:3">
      <c r="A85" s="6" t="s">
        <v>232</v>
      </c>
      <c r="B85" s="6" t="s">
        <v>246</v>
      </c>
      <c r="C85" s="6">
        <v>292117.5</v>
      </c>
    </row>
    <row r="86" spans="1:3">
      <c r="A86" s="6" t="s">
        <v>229</v>
      </c>
      <c r="B86" s="6" t="s">
        <v>250</v>
      </c>
      <c r="C86" s="6">
        <v>197282</v>
      </c>
    </row>
    <row r="87" spans="1:3">
      <c r="A87" s="6" t="s">
        <v>232</v>
      </c>
      <c r="B87" s="6" t="s">
        <v>230</v>
      </c>
      <c r="C87" s="6">
        <v>86822.5</v>
      </c>
    </row>
    <row r="88" spans="1:3">
      <c r="A88" s="6" t="s">
        <v>232</v>
      </c>
      <c r="B88" s="6" t="s">
        <v>236</v>
      </c>
      <c r="C88" s="6">
        <v>137297</v>
      </c>
    </row>
    <row r="89" spans="1:3">
      <c r="A89" s="6" t="s">
        <v>232</v>
      </c>
      <c r="B89" s="6" t="s">
        <v>249</v>
      </c>
      <c r="C89" s="6">
        <v>268018</v>
      </c>
    </row>
    <row r="90" spans="1:3">
      <c r="A90" s="6" t="s">
        <v>232</v>
      </c>
      <c r="B90" s="6" t="s">
        <v>235</v>
      </c>
      <c r="C90" s="6">
        <v>242527</v>
      </c>
    </row>
    <row r="91" spans="1:3">
      <c r="A91" s="6" t="s">
        <v>229</v>
      </c>
      <c r="B91" s="6" t="s">
        <v>231</v>
      </c>
      <c r="C91" s="6">
        <v>209916</v>
      </c>
    </row>
    <row r="92" spans="1:3">
      <c r="A92" s="6" t="s">
        <v>232</v>
      </c>
      <c r="B92" s="6" t="s">
        <v>237</v>
      </c>
      <c r="C92" s="6">
        <v>188337</v>
      </c>
    </row>
    <row r="93" spans="1:3">
      <c r="A93" s="6" t="s">
        <v>234</v>
      </c>
      <c r="B93" s="6" t="s">
        <v>246</v>
      </c>
      <c r="C93" s="6">
        <v>274283.5</v>
      </c>
    </row>
    <row r="94" spans="1:3">
      <c r="A94" s="6" t="s">
        <v>229</v>
      </c>
      <c r="B94" s="6" t="s">
        <v>244</v>
      </c>
      <c r="C94" s="6">
        <v>90004</v>
      </c>
    </row>
    <row r="95" spans="1:3">
      <c r="A95" s="6" t="s">
        <v>232</v>
      </c>
      <c r="B95" s="6" t="s">
        <v>238</v>
      </c>
      <c r="C95" s="6">
        <v>135841.5</v>
      </c>
    </row>
    <row r="96" spans="1:3">
      <c r="A96" s="6" t="s">
        <v>234</v>
      </c>
      <c r="B96" s="6" t="s">
        <v>241</v>
      </c>
      <c r="C96" s="6">
        <v>280067</v>
      </c>
    </row>
    <row r="97" spans="1:3">
      <c r="A97" s="6" t="s">
        <v>234</v>
      </c>
      <c r="B97" s="6" t="s">
        <v>231</v>
      </c>
      <c r="C97" s="6">
        <v>204721.5</v>
      </c>
    </row>
    <row r="98" spans="1:3">
      <c r="A98" s="6" t="s">
        <v>234</v>
      </c>
      <c r="B98" s="6" t="s">
        <v>239</v>
      </c>
      <c r="C98" s="6">
        <v>244154.5</v>
      </c>
    </row>
    <row r="99" spans="1:3">
      <c r="A99" s="6" t="s">
        <v>234</v>
      </c>
      <c r="B99" s="6" t="s">
        <v>249</v>
      </c>
      <c r="C99" s="6">
        <v>54232</v>
      </c>
    </row>
    <row r="100" spans="1:3">
      <c r="A100" s="6" t="s">
        <v>232</v>
      </c>
      <c r="B100" s="6" t="s">
        <v>231</v>
      </c>
      <c r="C100" s="6">
        <v>110125</v>
      </c>
    </row>
    <row r="101" spans="1:3">
      <c r="A101" s="6" t="s">
        <v>234</v>
      </c>
      <c r="B101" s="6" t="s">
        <v>242</v>
      </c>
      <c r="C101" s="6">
        <v>185953.5</v>
      </c>
    </row>
    <row r="102" spans="1:3">
      <c r="A102" s="6" t="s">
        <v>232</v>
      </c>
      <c r="B102" s="6" t="s">
        <v>233</v>
      </c>
      <c r="C102" s="6">
        <v>159901</v>
      </c>
    </row>
    <row r="103" spans="1:3">
      <c r="A103" s="6" t="s">
        <v>234</v>
      </c>
      <c r="B103" s="6" t="s">
        <v>236</v>
      </c>
      <c r="C103" s="6">
        <v>155815.5</v>
      </c>
    </row>
    <row r="104" spans="1:3">
      <c r="A104" s="6" t="s">
        <v>229</v>
      </c>
      <c r="B104" s="6" t="s">
        <v>251</v>
      </c>
      <c r="C104" s="6">
        <v>249885</v>
      </c>
    </row>
    <row r="105" spans="1:3">
      <c r="A105" s="6" t="s">
        <v>232</v>
      </c>
      <c r="B105" s="6" t="s">
        <v>240</v>
      </c>
      <c r="C105" s="6">
        <v>274432</v>
      </c>
    </row>
    <row r="106" spans="1:3">
      <c r="A106" s="6" t="s">
        <v>232</v>
      </c>
      <c r="B106" s="6" t="s">
        <v>251</v>
      </c>
      <c r="C106" s="6">
        <v>246272</v>
      </c>
    </row>
    <row r="107" spans="1:3">
      <c r="A107" s="6" t="s">
        <v>232</v>
      </c>
      <c r="B107" s="6" t="s">
        <v>244</v>
      </c>
      <c r="C107" s="6">
        <v>115478</v>
      </c>
    </row>
    <row r="108" spans="1:3">
      <c r="A108" s="6" t="s">
        <v>232</v>
      </c>
      <c r="B108" s="6" t="s">
        <v>244</v>
      </c>
      <c r="C108" s="6">
        <v>223330</v>
      </c>
    </row>
    <row r="109" spans="1:3">
      <c r="A109" s="6" t="s">
        <v>234</v>
      </c>
      <c r="B109" s="6" t="s">
        <v>230</v>
      </c>
      <c r="C109" s="6">
        <v>154009</v>
      </c>
    </row>
    <row r="110" spans="1:3">
      <c r="A110" s="6" t="s">
        <v>232</v>
      </c>
      <c r="B110" s="6" t="s">
        <v>248</v>
      </c>
      <c r="C110" s="6">
        <v>193099</v>
      </c>
    </row>
    <row r="111" spans="1:3">
      <c r="A111" s="6" t="s">
        <v>232</v>
      </c>
      <c r="B111" s="6" t="s">
        <v>251</v>
      </c>
      <c r="C111" s="6">
        <v>225115.5</v>
      </c>
    </row>
    <row r="112" spans="1:3">
      <c r="A112" s="6" t="s">
        <v>232</v>
      </c>
      <c r="B112" s="6" t="s">
        <v>241</v>
      </c>
      <c r="C112" s="6">
        <v>81530</v>
      </c>
    </row>
    <row r="113" spans="1:3">
      <c r="A113" s="6" t="s">
        <v>234</v>
      </c>
      <c r="B113" s="6" t="s">
        <v>250</v>
      </c>
      <c r="C113" s="6">
        <v>270204</v>
      </c>
    </row>
    <row r="114" spans="1:3">
      <c r="A114" s="6" t="s">
        <v>229</v>
      </c>
      <c r="B114" s="6" t="s">
        <v>238</v>
      </c>
      <c r="C114" s="6">
        <v>93713</v>
      </c>
    </row>
    <row r="115" spans="1:3">
      <c r="A115" s="6" t="s">
        <v>234</v>
      </c>
      <c r="B115" s="6" t="s">
        <v>239</v>
      </c>
      <c r="C115" s="6">
        <v>127724.5</v>
      </c>
    </row>
    <row r="116" spans="1:3">
      <c r="A116" s="6" t="s">
        <v>229</v>
      </c>
      <c r="B116" s="6" t="s">
        <v>236</v>
      </c>
      <c r="C116" s="6">
        <v>104723.5</v>
      </c>
    </row>
    <row r="117" spans="1:3">
      <c r="A117" s="6" t="s">
        <v>229</v>
      </c>
      <c r="B117" s="6" t="s">
        <v>238</v>
      </c>
      <c r="C117" s="6">
        <v>115161.5</v>
      </c>
    </row>
    <row r="118" spans="1:3">
      <c r="A118" s="6" t="s">
        <v>234</v>
      </c>
      <c r="B118" s="6" t="s">
        <v>247</v>
      </c>
      <c r="C118" s="6">
        <v>249382.5</v>
      </c>
    </row>
    <row r="119" spans="1:3">
      <c r="A119" s="6" t="s">
        <v>232</v>
      </c>
      <c r="B119" s="6" t="s">
        <v>230</v>
      </c>
      <c r="C119" s="6">
        <v>191887.5</v>
      </c>
    </row>
    <row r="120" spans="1:3">
      <c r="A120" s="6" t="s">
        <v>229</v>
      </c>
      <c r="B120" s="6" t="s">
        <v>248</v>
      </c>
      <c r="C120" s="6">
        <v>279701.5</v>
      </c>
    </row>
    <row r="121" spans="1:3">
      <c r="A121" s="6" t="s">
        <v>232</v>
      </c>
      <c r="B121" s="6" t="s">
        <v>236</v>
      </c>
      <c r="C121" s="6">
        <v>217263.5</v>
      </c>
    </row>
    <row r="122" spans="1:3">
      <c r="A122" s="6" t="s">
        <v>232</v>
      </c>
      <c r="B122" s="6" t="s">
        <v>239</v>
      </c>
      <c r="C122" s="6">
        <v>53388.5</v>
      </c>
    </row>
    <row r="123" spans="1:3">
      <c r="A123" s="6" t="s">
        <v>229</v>
      </c>
      <c r="B123" s="6" t="s">
        <v>246</v>
      </c>
      <c r="C123" s="6">
        <v>196976</v>
      </c>
    </row>
    <row r="124" spans="1:3">
      <c r="A124" s="6" t="s">
        <v>234</v>
      </c>
      <c r="B124" s="6" t="s">
        <v>241</v>
      </c>
      <c r="C124" s="6">
        <v>144555.5</v>
      </c>
    </row>
    <row r="125" spans="1:3">
      <c r="A125" s="6" t="s">
        <v>229</v>
      </c>
      <c r="B125" s="6" t="s">
        <v>239</v>
      </c>
      <c r="C125" s="6">
        <v>106633</v>
      </c>
    </row>
    <row r="126" spans="1:3">
      <c r="A126" s="6" t="s">
        <v>229</v>
      </c>
      <c r="B126" s="6" t="s">
        <v>231</v>
      </c>
      <c r="C126" s="6">
        <v>142373.5</v>
      </c>
    </row>
    <row r="127" spans="1:3">
      <c r="A127" s="6" t="s">
        <v>229</v>
      </c>
      <c r="B127" s="6" t="s">
        <v>237</v>
      </c>
      <c r="C127" s="6">
        <v>219944.5</v>
      </c>
    </row>
    <row r="128" spans="1:3">
      <c r="A128" s="6" t="s">
        <v>234</v>
      </c>
      <c r="B128" s="6" t="s">
        <v>237</v>
      </c>
      <c r="C128" s="6">
        <v>217628</v>
      </c>
    </row>
    <row r="129" spans="1:3">
      <c r="A129" s="6" t="s">
        <v>232</v>
      </c>
      <c r="B129" s="6" t="s">
        <v>241</v>
      </c>
      <c r="C129" s="6">
        <v>94182.5</v>
      </c>
    </row>
    <row r="130" spans="1:3">
      <c r="A130" s="6" t="s">
        <v>229</v>
      </c>
      <c r="B130" s="6" t="s">
        <v>250</v>
      </c>
      <c r="C130" s="6">
        <v>102066.5</v>
      </c>
    </row>
    <row r="131" spans="1:3">
      <c r="A131" s="6" t="s">
        <v>232</v>
      </c>
      <c r="B131" s="6" t="s">
        <v>239</v>
      </c>
      <c r="C131" s="6">
        <v>291502</v>
      </c>
    </row>
    <row r="132" spans="1:3">
      <c r="A132" s="6" t="s">
        <v>232</v>
      </c>
      <c r="B132" s="6" t="s">
        <v>230</v>
      </c>
      <c r="C132" s="6">
        <v>268430.5</v>
      </c>
    </row>
    <row r="133" spans="1:3">
      <c r="A133" s="6" t="s">
        <v>229</v>
      </c>
      <c r="B133" s="6" t="s">
        <v>239</v>
      </c>
      <c r="C133" s="6">
        <v>198920</v>
      </c>
    </row>
    <row r="134" spans="1:3">
      <c r="A134" s="6" t="s">
        <v>232</v>
      </c>
      <c r="B134" s="6" t="s">
        <v>247</v>
      </c>
      <c r="C134" s="6">
        <v>147053</v>
      </c>
    </row>
    <row r="135" spans="1:3">
      <c r="A135" s="6" t="s">
        <v>229</v>
      </c>
      <c r="B135" s="6" t="s">
        <v>230</v>
      </c>
      <c r="C135" s="6">
        <v>75328.5</v>
      </c>
    </row>
    <row r="136" spans="1:3">
      <c r="A136" s="6" t="s">
        <v>229</v>
      </c>
      <c r="B136" s="6" t="s">
        <v>242</v>
      </c>
      <c r="C136" s="6">
        <v>170648.5</v>
      </c>
    </row>
    <row r="137" spans="1:3">
      <c r="A137" s="6" t="s">
        <v>229</v>
      </c>
      <c r="B137" s="6" t="s">
        <v>241</v>
      </c>
      <c r="C137" s="6">
        <v>66718.5</v>
      </c>
    </row>
    <row r="138" spans="1:3">
      <c r="A138" s="6" t="s">
        <v>229</v>
      </c>
      <c r="B138" s="6" t="s">
        <v>233</v>
      </c>
      <c r="C138" s="6">
        <v>131218.5</v>
      </c>
    </row>
    <row r="139" spans="1:3">
      <c r="A139" s="6" t="s">
        <v>234</v>
      </c>
      <c r="B139" s="6" t="s">
        <v>238</v>
      </c>
      <c r="C139" s="6">
        <v>203995.5</v>
      </c>
    </row>
    <row r="140" spans="1:3">
      <c r="A140" s="6" t="s">
        <v>229</v>
      </c>
      <c r="B140" s="6" t="s">
        <v>246</v>
      </c>
      <c r="C140" s="6">
        <v>269084</v>
      </c>
    </row>
    <row r="141" spans="1:3">
      <c r="A141" s="6" t="s">
        <v>232</v>
      </c>
      <c r="B141" s="6" t="s">
        <v>239</v>
      </c>
      <c r="C141" s="6">
        <v>232561</v>
      </c>
    </row>
    <row r="142" spans="1:3">
      <c r="A142" s="6" t="s">
        <v>234</v>
      </c>
      <c r="B142" s="6" t="s">
        <v>233</v>
      </c>
      <c r="C142" s="6">
        <v>118289.5</v>
      </c>
    </row>
    <row r="143" spans="1:3">
      <c r="A143" s="6" t="s">
        <v>234</v>
      </c>
      <c r="B143" s="6" t="s">
        <v>245</v>
      </c>
      <c r="C143" s="6">
        <v>65504.5</v>
      </c>
    </row>
    <row r="144" spans="1:3">
      <c r="A144" s="6" t="s">
        <v>234</v>
      </c>
      <c r="B144" s="6" t="s">
        <v>235</v>
      </c>
      <c r="C144" s="6">
        <v>97654</v>
      </c>
    </row>
    <row r="145" spans="1:3">
      <c r="A145" s="6" t="s">
        <v>232</v>
      </c>
      <c r="B145" s="6" t="s">
        <v>231</v>
      </c>
      <c r="C145" s="6">
        <v>213075</v>
      </c>
    </row>
    <row r="146" spans="1:3">
      <c r="A146" s="6" t="s">
        <v>229</v>
      </c>
      <c r="B146" s="6" t="s">
        <v>250</v>
      </c>
      <c r="C146" s="6">
        <v>285990</v>
      </c>
    </row>
    <row r="147" spans="1:3">
      <c r="A147" s="6" t="s">
        <v>232</v>
      </c>
      <c r="B147" s="6" t="s">
        <v>243</v>
      </c>
      <c r="C147" s="6">
        <v>225297</v>
      </c>
    </row>
    <row r="148" spans="1:3">
      <c r="A148" s="6" t="s">
        <v>234</v>
      </c>
      <c r="B148" s="6" t="s">
        <v>250</v>
      </c>
      <c r="C148" s="6">
        <v>262574</v>
      </c>
    </row>
    <row r="149" spans="1:3">
      <c r="A149" s="6" t="s">
        <v>232</v>
      </c>
      <c r="B149" s="6" t="s">
        <v>248</v>
      </c>
      <c r="C149" s="6">
        <v>85514</v>
      </c>
    </row>
    <row r="150" spans="1:3">
      <c r="A150" s="6" t="s">
        <v>232</v>
      </c>
      <c r="B150" s="6" t="s">
        <v>249</v>
      </c>
      <c r="C150" s="6">
        <v>176905</v>
      </c>
    </row>
    <row r="151" spans="1:3">
      <c r="A151" s="6" t="s">
        <v>229</v>
      </c>
      <c r="B151" s="6" t="s">
        <v>238</v>
      </c>
      <c r="C151" s="6">
        <v>192288</v>
      </c>
    </row>
  </sheetData>
  <mergeCells count="2">
    <mergeCell ref="E1:G1"/>
    <mergeCell ref="J1:L1"/>
  </mergeCells>
  <conditionalFormatting sqref="C1:C151">
    <cfRule type="expression" dxfId="0" priority="9">
      <formula>MOD(ROW(),2)=1</formula>
    </cfRule>
  </conditionalFormatting>
  <conditionalFormatting sqref="F2:F6">
    <cfRule type="expression" dxfId="0" priority="6">
      <formula>MOD(ROW(),2)=1</formula>
    </cfRule>
  </conditionalFormatting>
  <conditionalFormatting sqref="I1:I6">
    <cfRule type="expression" dxfId="0" priority="5">
      <formula>MOD(ROW(),2)=1</formula>
    </cfRule>
  </conditionalFormatting>
  <conditionalFormatting sqref="L2:L6">
    <cfRule type="expression" dxfId="0" priority="4">
      <formula>MOD(ROW(),2)=1</formula>
    </cfRule>
  </conditionalFormatting>
  <conditionalFormatting sqref="A1:B151">
    <cfRule type="expression" dxfId="0" priority="8">
      <formula>MOD(ROW(),2)=1</formula>
    </cfRule>
  </conditionalFormatting>
  <conditionalFormatting sqref="D1:E6">
    <cfRule type="expression" dxfId="0" priority="3">
      <formula>MOD(ROW(),2)=1</formula>
    </cfRule>
  </conditionalFormatting>
  <conditionalFormatting sqref="H1 G2:H6">
    <cfRule type="expression" dxfId="0" priority="2">
      <formula>MOD(ROW(),2)=1</formula>
    </cfRule>
  </conditionalFormatting>
  <conditionalFormatting sqref="J1 J2:K6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workbookViewId="0">
      <selection activeCell="E6" sqref="E6"/>
    </sheetView>
  </sheetViews>
  <sheetFormatPr defaultColWidth="8.8" defaultRowHeight="15" outlineLevelCol="2"/>
  <cols>
    <col min="1" max="1" width="67.9" style="7" customWidth="1"/>
    <col min="2" max="2" width="13.3" customWidth="1"/>
    <col min="3" max="3" width="10.9" customWidth="1"/>
  </cols>
  <sheetData>
    <row r="1" spans="1:3">
      <c r="A1" s="8" t="s">
        <v>41</v>
      </c>
      <c r="B1" s="8" t="s">
        <v>252</v>
      </c>
      <c r="C1" s="9" t="s">
        <v>253</v>
      </c>
    </row>
    <row r="2" spans="1:3">
      <c r="A2" s="10" t="s">
        <v>73</v>
      </c>
      <c r="B2" s="11" t="str">
        <f t="shared" ref="B2:B16" si="0">_xlfn.IFS(AND(ISNUMBER(SEARCH("Python",A2)),ISNUMBER(SEARCH("SQL",A2))),"Yes",TRUE,"No")</f>
        <v>No</v>
      </c>
      <c r="C2" s="11" t="str">
        <f>_xlfn.IFS(AND(ISNUMBER(SEARCH("Python",B2)),ISNUMBER(SEARCH("R",B2))),"Yes",TRUE,"No")</f>
        <v>No</v>
      </c>
    </row>
    <row r="3" spans="1:3">
      <c r="A3" s="10" t="s">
        <v>74</v>
      </c>
      <c r="B3" s="11" t="str">
        <f t="shared" si="0"/>
        <v>No</v>
      </c>
      <c r="C3" s="11" t="str">
        <f t="shared" ref="C3:C34" si="1">_xlfn.IFS(AND(ISNUMBER(SEARCH("Python",B3)),ISNUMBER(SEARCH("R",B3))),"Yes",TRUE,"No")</f>
        <v>No</v>
      </c>
    </row>
    <row r="4" spans="1:3">
      <c r="A4" s="10" t="s">
        <v>75</v>
      </c>
      <c r="B4" s="11" t="str">
        <f t="shared" si="0"/>
        <v>No</v>
      </c>
      <c r="C4" s="11" t="str">
        <f t="shared" si="1"/>
        <v>No</v>
      </c>
    </row>
    <row r="5" spans="1:3">
      <c r="A5" s="10" t="s">
        <v>77</v>
      </c>
      <c r="B5" s="11" t="str">
        <f t="shared" si="0"/>
        <v>No</v>
      </c>
      <c r="C5" s="11" t="str">
        <f t="shared" si="1"/>
        <v>No</v>
      </c>
    </row>
    <row r="6" spans="1:3">
      <c r="A6" s="10" t="s">
        <v>78</v>
      </c>
      <c r="B6" s="11" t="str">
        <f t="shared" si="0"/>
        <v>No</v>
      </c>
      <c r="C6" s="11" t="str">
        <f t="shared" si="1"/>
        <v>No</v>
      </c>
    </row>
    <row r="7" spans="1:3">
      <c r="A7" s="10" t="s">
        <v>79</v>
      </c>
      <c r="B7" s="11" t="str">
        <f t="shared" si="0"/>
        <v>No</v>
      </c>
      <c r="C7" s="11" t="str">
        <f t="shared" si="1"/>
        <v>No</v>
      </c>
    </row>
    <row r="8" spans="1:3">
      <c r="A8" s="10" t="s">
        <v>80</v>
      </c>
      <c r="B8" s="11" t="str">
        <f t="shared" si="0"/>
        <v>No</v>
      </c>
      <c r="C8" s="11" t="str">
        <f t="shared" si="1"/>
        <v>No</v>
      </c>
    </row>
    <row r="9" spans="1:3">
      <c r="A9" s="10" t="s">
        <v>81</v>
      </c>
      <c r="B9" s="11" t="str">
        <f t="shared" si="0"/>
        <v>No</v>
      </c>
      <c r="C9" s="11" t="str">
        <f t="shared" si="1"/>
        <v>No</v>
      </c>
    </row>
    <row r="10" spans="1:3">
      <c r="A10" s="10" t="s">
        <v>82</v>
      </c>
      <c r="B10" s="11" t="str">
        <f t="shared" si="0"/>
        <v>No</v>
      </c>
      <c r="C10" s="11" t="str">
        <f t="shared" si="1"/>
        <v>No</v>
      </c>
    </row>
    <row r="11" spans="1:3">
      <c r="A11" s="10" t="s">
        <v>83</v>
      </c>
      <c r="B11" s="11" t="str">
        <f t="shared" si="0"/>
        <v>No</v>
      </c>
      <c r="C11" s="11" t="str">
        <f t="shared" si="1"/>
        <v>No</v>
      </c>
    </row>
    <row r="12" spans="1:3">
      <c r="A12" s="10" t="s">
        <v>84</v>
      </c>
      <c r="B12" s="11" t="str">
        <f t="shared" si="0"/>
        <v>No</v>
      </c>
      <c r="C12" s="11" t="str">
        <f t="shared" si="1"/>
        <v>No</v>
      </c>
    </row>
    <row r="13" spans="1:3">
      <c r="A13" s="10" t="s">
        <v>85</v>
      </c>
      <c r="B13" s="11" t="str">
        <f t="shared" si="0"/>
        <v>No</v>
      </c>
      <c r="C13" s="11" t="str">
        <f t="shared" si="1"/>
        <v>No</v>
      </c>
    </row>
    <row r="14" spans="1:3">
      <c r="A14" s="10" t="s">
        <v>86</v>
      </c>
      <c r="B14" s="11" t="str">
        <f t="shared" si="0"/>
        <v>No</v>
      </c>
      <c r="C14" s="11" t="str">
        <f t="shared" si="1"/>
        <v>No</v>
      </c>
    </row>
    <row r="15" spans="1:3">
      <c r="A15" s="10" t="s">
        <v>87</v>
      </c>
      <c r="B15" s="11" t="str">
        <f t="shared" si="0"/>
        <v>No</v>
      </c>
      <c r="C15" s="11" t="str">
        <f t="shared" si="1"/>
        <v>No</v>
      </c>
    </row>
    <row r="16" spans="1:3">
      <c r="A16" s="10" t="s">
        <v>88</v>
      </c>
      <c r="B16" s="11" t="str">
        <f t="shared" si="0"/>
        <v>No</v>
      </c>
      <c r="C16" s="11" t="str">
        <f t="shared" si="1"/>
        <v>No</v>
      </c>
    </row>
    <row r="17" spans="1:3">
      <c r="A17" s="10" t="s">
        <v>89</v>
      </c>
      <c r="B17" s="11" t="str">
        <f>_xlfn.IFS(AND(ISNUMBER(SEARCH("Python",A17)),ISNUMBER(SEARCH("SQL",A17))),"Yes",TRUE,"No")</f>
        <v>No</v>
      </c>
      <c r="C17" s="11" t="str">
        <f t="shared" si="1"/>
        <v>No</v>
      </c>
    </row>
    <row r="18" spans="1:3">
      <c r="A18" s="10" t="s">
        <v>90</v>
      </c>
      <c r="B18" s="11" t="str">
        <f>_xlfn.IFS(AND(ISNUMBER(SEARCH("Python",A18)),ISNUMBER(SEARCH("SQL",A18))),"Yes",TRUE,"No")</f>
        <v>Yes</v>
      </c>
      <c r="C18" s="11" t="str">
        <f t="shared" si="1"/>
        <v>No</v>
      </c>
    </row>
    <row r="19" spans="1:3">
      <c r="A19" s="10" t="s">
        <v>91</v>
      </c>
      <c r="B19" s="11" t="str">
        <f t="shared" ref="B19:B50" si="2">_xlfn.IFS(AND(ISNUMBER(SEARCH("Python",A19)),ISNUMBER(SEARCH("SQL",A19))),"Yes",TRUE,"No")</f>
        <v>No</v>
      </c>
      <c r="C19" s="11" t="str">
        <f t="shared" si="1"/>
        <v>No</v>
      </c>
    </row>
    <row r="20" spans="1:3">
      <c r="A20" s="10" t="s">
        <v>92</v>
      </c>
      <c r="B20" s="11" t="str">
        <f t="shared" si="2"/>
        <v>No</v>
      </c>
      <c r="C20" s="11" t="str">
        <f t="shared" si="1"/>
        <v>No</v>
      </c>
    </row>
    <row r="21" spans="1:3">
      <c r="A21" s="10" t="s">
        <v>93</v>
      </c>
      <c r="B21" s="11" t="str">
        <f t="shared" si="2"/>
        <v>No</v>
      </c>
      <c r="C21" s="11" t="str">
        <f t="shared" si="1"/>
        <v>No</v>
      </c>
    </row>
    <row r="22" spans="1:3">
      <c r="A22" s="10" t="s">
        <v>94</v>
      </c>
      <c r="B22" s="11" t="str">
        <f t="shared" si="2"/>
        <v>No</v>
      </c>
      <c r="C22" s="11" t="str">
        <f t="shared" si="1"/>
        <v>No</v>
      </c>
    </row>
    <row r="23" spans="1:3">
      <c r="A23" s="10" t="s">
        <v>95</v>
      </c>
      <c r="B23" s="11" t="str">
        <f t="shared" si="2"/>
        <v>Yes</v>
      </c>
      <c r="C23" s="11" t="str">
        <f t="shared" si="1"/>
        <v>No</v>
      </c>
    </row>
    <row r="24" spans="1:3">
      <c r="A24" s="10" t="s">
        <v>96</v>
      </c>
      <c r="B24" s="11" t="str">
        <f t="shared" si="2"/>
        <v>No</v>
      </c>
      <c r="C24" s="11" t="str">
        <f t="shared" si="1"/>
        <v>No</v>
      </c>
    </row>
    <row r="25" spans="1:3">
      <c r="A25" s="10" t="s">
        <v>97</v>
      </c>
      <c r="B25" s="11" t="str">
        <f t="shared" si="2"/>
        <v>No</v>
      </c>
      <c r="C25" s="11" t="str">
        <f t="shared" si="1"/>
        <v>No</v>
      </c>
    </row>
    <row r="26" spans="1:3">
      <c r="A26" s="10" t="s">
        <v>98</v>
      </c>
      <c r="B26" s="11" t="str">
        <f t="shared" si="2"/>
        <v>No</v>
      </c>
      <c r="C26" s="11" t="str">
        <f t="shared" si="1"/>
        <v>No</v>
      </c>
    </row>
    <row r="27" spans="1:3">
      <c r="A27" s="10" t="s">
        <v>99</v>
      </c>
      <c r="B27" s="11" t="str">
        <f t="shared" si="2"/>
        <v>No</v>
      </c>
      <c r="C27" s="11" t="str">
        <f t="shared" si="1"/>
        <v>No</v>
      </c>
    </row>
    <row r="28" spans="1:3">
      <c r="A28" s="10" t="s">
        <v>100</v>
      </c>
      <c r="B28" s="11" t="str">
        <f t="shared" si="2"/>
        <v>No</v>
      </c>
      <c r="C28" s="11" t="str">
        <f t="shared" si="1"/>
        <v>No</v>
      </c>
    </row>
    <row r="29" spans="1:3">
      <c r="A29" s="10" t="s">
        <v>101</v>
      </c>
      <c r="B29" s="11" t="str">
        <f t="shared" si="2"/>
        <v>No</v>
      </c>
      <c r="C29" s="11" t="str">
        <f t="shared" si="1"/>
        <v>No</v>
      </c>
    </row>
    <row r="30" spans="1:3">
      <c r="A30" s="10" t="s">
        <v>102</v>
      </c>
      <c r="B30" s="11" t="str">
        <f t="shared" si="2"/>
        <v>No</v>
      </c>
      <c r="C30" s="11" t="str">
        <f t="shared" si="1"/>
        <v>No</v>
      </c>
    </row>
    <row r="31" spans="1:3">
      <c r="A31" s="10" t="s">
        <v>103</v>
      </c>
      <c r="B31" s="11" t="str">
        <f t="shared" si="2"/>
        <v>No</v>
      </c>
      <c r="C31" s="11" t="str">
        <f t="shared" si="1"/>
        <v>No</v>
      </c>
    </row>
    <row r="32" spans="1:3">
      <c r="A32" s="10" t="s">
        <v>104</v>
      </c>
      <c r="B32" s="11" t="str">
        <f t="shared" si="2"/>
        <v>No</v>
      </c>
      <c r="C32" s="11" t="str">
        <f t="shared" si="1"/>
        <v>No</v>
      </c>
    </row>
    <row r="33" spans="1:3">
      <c r="A33" s="10" t="s">
        <v>105</v>
      </c>
      <c r="B33" s="11" t="str">
        <f t="shared" si="2"/>
        <v>No</v>
      </c>
      <c r="C33" s="11" t="str">
        <f t="shared" si="1"/>
        <v>No</v>
      </c>
    </row>
    <row r="34" spans="1:3">
      <c r="A34" s="10" t="s">
        <v>106</v>
      </c>
      <c r="B34" s="11" t="str">
        <f t="shared" si="2"/>
        <v>No</v>
      </c>
      <c r="C34" s="11" t="str">
        <f t="shared" si="1"/>
        <v>No</v>
      </c>
    </row>
    <row r="35" spans="1:3">
      <c r="A35" s="10" t="s">
        <v>107</v>
      </c>
      <c r="B35" s="11" t="str">
        <f t="shared" si="2"/>
        <v>No</v>
      </c>
      <c r="C35" s="11" t="str">
        <f t="shared" ref="C35:C66" si="3">_xlfn.IFS(AND(ISNUMBER(SEARCH("Python",B35)),ISNUMBER(SEARCH("R",B35))),"Yes",TRUE,"No")</f>
        <v>No</v>
      </c>
    </row>
    <row r="36" spans="1:3">
      <c r="A36" s="10" t="s">
        <v>108</v>
      </c>
      <c r="B36" s="11" t="str">
        <f t="shared" si="2"/>
        <v>No</v>
      </c>
      <c r="C36" s="11" t="str">
        <f t="shared" si="3"/>
        <v>No</v>
      </c>
    </row>
    <row r="37" spans="1:3">
      <c r="A37" s="10" t="s">
        <v>109</v>
      </c>
      <c r="B37" s="11" t="str">
        <f t="shared" si="2"/>
        <v>No</v>
      </c>
      <c r="C37" s="11" t="str">
        <f t="shared" si="3"/>
        <v>No</v>
      </c>
    </row>
    <row r="38" spans="1:3">
      <c r="A38" s="10" t="s">
        <v>110</v>
      </c>
      <c r="B38" s="11" t="str">
        <f t="shared" si="2"/>
        <v>No</v>
      </c>
      <c r="C38" s="11" t="str">
        <f t="shared" si="3"/>
        <v>No</v>
      </c>
    </row>
    <row r="39" spans="1:3">
      <c r="A39" s="10" t="s">
        <v>111</v>
      </c>
      <c r="B39" s="11" t="str">
        <f t="shared" si="2"/>
        <v>No</v>
      </c>
      <c r="C39" s="11" t="str">
        <f t="shared" si="3"/>
        <v>No</v>
      </c>
    </row>
    <row r="40" spans="1:3">
      <c r="A40" s="10" t="s">
        <v>112</v>
      </c>
      <c r="B40" s="11" t="str">
        <f t="shared" si="2"/>
        <v>No</v>
      </c>
      <c r="C40" s="11" t="str">
        <f t="shared" si="3"/>
        <v>No</v>
      </c>
    </row>
    <row r="41" spans="1:3">
      <c r="A41" s="10" t="s">
        <v>113</v>
      </c>
      <c r="B41" s="11" t="str">
        <f t="shared" si="2"/>
        <v>No</v>
      </c>
      <c r="C41" s="11" t="str">
        <f t="shared" si="3"/>
        <v>No</v>
      </c>
    </row>
    <row r="42" spans="1:3">
      <c r="A42" s="10" t="s">
        <v>114</v>
      </c>
      <c r="B42" s="11" t="str">
        <f t="shared" si="2"/>
        <v>No</v>
      </c>
      <c r="C42" s="11" t="str">
        <f t="shared" si="3"/>
        <v>No</v>
      </c>
    </row>
    <row r="43" spans="1:3">
      <c r="A43" s="10" t="s">
        <v>115</v>
      </c>
      <c r="B43" s="11" t="str">
        <f t="shared" si="2"/>
        <v>No</v>
      </c>
      <c r="C43" s="11" t="str">
        <f t="shared" si="3"/>
        <v>No</v>
      </c>
    </row>
    <row r="44" spans="1:3">
      <c r="A44" s="10" t="s">
        <v>116</v>
      </c>
      <c r="B44" s="11" t="str">
        <f t="shared" si="2"/>
        <v>No</v>
      </c>
      <c r="C44" s="11" t="str">
        <f t="shared" si="3"/>
        <v>No</v>
      </c>
    </row>
    <row r="45" spans="1:3">
      <c r="A45" s="10" t="s">
        <v>117</v>
      </c>
      <c r="B45" s="11" t="str">
        <f t="shared" si="2"/>
        <v>No</v>
      </c>
      <c r="C45" s="11" t="str">
        <f t="shared" si="3"/>
        <v>No</v>
      </c>
    </row>
    <row r="46" spans="1:3">
      <c r="A46" s="10" t="s">
        <v>118</v>
      </c>
      <c r="B46" s="11" t="str">
        <f t="shared" si="2"/>
        <v>No</v>
      </c>
      <c r="C46" s="11" t="str">
        <f t="shared" si="3"/>
        <v>No</v>
      </c>
    </row>
    <row r="47" spans="1:3">
      <c r="A47" s="10" t="s">
        <v>119</v>
      </c>
      <c r="B47" s="11" t="str">
        <f t="shared" si="2"/>
        <v>No</v>
      </c>
      <c r="C47" s="11" t="str">
        <f t="shared" si="3"/>
        <v>No</v>
      </c>
    </row>
    <row r="48" spans="1:3">
      <c r="A48" s="10" t="s">
        <v>120</v>
      </c>
      <c r="B48" s="11" t="str">
        <f t="shared" si="2"/>
        <v>No</v>
      </c>
      <c r="C48" s="11" t="str">
        <f t="shared" si="3"/>
        <v>No</v>
      </c>
    </row>
    <row r="49" spans="1:3">
      <c r="A49" s="10" t="s">
        <v>121</v>
      </c>
      <c r="B49" s="11" t="str">
        <f t="shared" si="2"/>
        <v>No</v>
      </c>
      <c r="C49" s="11" t="str">
        <f t="shared" si="3"/>
        <v>No</v>
      </c>
    </row>
    <row r="50" spans="1:3">
      <c r="A50" s="10" t="s">
        <v>122</v>
      </c>
      <c r="B50" s="11" t="str">
        <f t="shared" si="2"/>
        <v>No</v>
      </c>
      <c r="C50" s="11" t="str">
        <f t="shared" si="3"/>
        <v>No</v>
      </c>
    </row>
    <row r="51" spans="1:3">
      <c r="A51" s="10" t="s">
        <v>123</v>
      </c>
      <c r="B51" s="11" t="str">
        <f t="shared" ref="B51:B82" si="4">_xlfn.IFS(AND(ISNUMBER(SEARCH("Python",A51)),ISNUMBER(SEARCH("SQL",A51))),"Yes",TRUE,"No")</f>
        <v>No</v>
      </c>
      <c r="C51" s="11" t="str">
        <f t="shared" si="3"/>
        <v>No</v>
      </c>
    </row>
    <row r="52" spans="1:3">
      <c r="A52" s="10" t="s">
        <v>124</v>
      </c>
      <c r="B52" s="11" t="str">
        <f t="shared" si="4"/>
        <v>No</v>
      </c>
      <c r="C52" s="11" t="str">
        <f t="shared" si="3"/>
        <v>No</v>
      </c>
    </row>
    <row r="53" spans="1:3">
      <c r="A53" s="10" t="s">
        <v>125</v>
      </c>
      <c r="B53" s="11" t="str">
        <f t="shared" si="4"/>
        <v>No</v>
      </c>
      <c r="C53" s="11" t="str">
        <f t="shared" si="3"/>
        <v>No</v>
      </c>
    </row>
    <row r="54" spans="1:3">
      <c r="A54" s="10" t="s">
        <v>126</v>
      </c>
      <c r="B54" s="11" t="str">
        <f t="shared" si="4"/>
        <v>No</v>
      </c>
      <c r="C54" s="11" t="str">
        <f t="shared" si="3"/>
        <v>No</v>
      </c>
    </row>
    <row r="55" spans="1:3">
      <c r="A55" s="10" t="s">
        <v>127</v>
      </c>
      <c r="B55" s="11" t="str">
        <f t="shared" si="4"/>
        <v>No</v>
      </c>
      <c r="C55" s="11" t="str">
        <f t="shared" si="3"/>
        <v>No</v>
      </c>
    </row>
    <row r="56" spans="1:3">
      <c r="A56" s="10" t="s">
        <v>128</v>
      </c>
      <c r="B56" s="11" t="str">
        <f t="shared" si="4"/>
        <v>No</v>
      </c>
      <c r="C56" s="11" t="str">
        <f t="shared" si="3"/>
        <v>No</v>
      </c>
    </row>
    <row r="57" spans="1:3">
      <c r="A57" s="10" t="s">
        <v>129</v>
      </c>
      <c r="B57" s="11" t="str">
        <f t="shared" si="4"/>
        <v>No</v>
      </c>
      <c r="C57" s="11" t="str">
        <f t="shared" si="3"/>
        <v>No</v>
      </c>
    </row>
    <row r="58" spans="1:3">
      <c r="A58" s="10" t="s">
        <v>130</v>
      </c>
      <c r="B58" s="11" t="str">
        <f t="shared" si="4"/>
        <v>No</v>
      </c>
      <c r="C58" s="11" t="str">
        <f t="shared" si="3"/>
        <v>No</v>
      </c>
    </row>
    <row r="59" spans="1:3">
      <c r="A59" s="10" t="s">
        <v>131</v>
      </c>
      <c r="B59" s="11" t="str">
        <f t="shared" si="4"/>
        <v>No</v>
      </c>
      <c r="C59" s="11" t="str">
        <f t="shared" si="3"/>
        <v>No</v>
      </c>
    </row>
    <row r="60" spans="1:3">
      <c r="A60" s="10" t="s">
        <v>132</v>
      </c>
      <c r="B60" s="11" t="str">
        <f t="shared" si="4"/>
        <v>No</v>
      </c>
      <c r="C60" s="11" t="str">
        <f t="shared" si="3"/>
        <v>No</v>
      </c>
    </row>
    <row r="61" spans="1:3">
      <c r="A61" s="10" t="s">
        <v>133</v>
      </c>
      <c r="B61" s="11" t="str">
        <f t="shared" si="4"/>
        <v>Yes</v>
      </c>
      <c r="C61" s="11" t="str">
        <f t="shared" si="3"/>
        <v>No</v>
      </c>
    </row>
    <row r="62" spans="1:3">
      <c r="A62" s="10" t="s">
        <v>134</v>
      </c>
      <c r="B62" s="11" t="str">
        <f t="shared" si="4"/>
        <v>No</v>
      </c>
      <c r="C62" s="11" t="str">
        <f t="shared" si="3"/>
        <v>No</v>
      </c>
    </row>
    <row r="63" spans="1:3">
      <c r="A63" s="10" t="s">
        <v>135</v>
      </c>
      <c r="B63" s="11" t="str">
        <f t="shared" si="4"/>
        <v>No</v>
      </c>
      <c r="C63" s="11" t="str">
        <f t="shared" si="3"/>
        <v>No</v>
      </c>
    </row>
    <row r="64" spans="1:3">
      <c r="A64" s="10" t="s">
        <v>136</v>
      </c>
      <c r="B64" s="11" t="str">
        <f t="shared" si="4"/>
        <v>No</v>
      </c>
      <c r="C64" s="11" t="str">
        <f t="shared" si="3"/>
        <v>No</v>
      </c>
    </row>
    <row r="65" spans="1:3">
      <c r="A65" s="10" t="s">
        <v>137</v>
      </c>
      <c r="B65" s="11" t="str">
        <f t="shared" si="4"/>
        <v>No</v>
      </c>
      <c r="C65" s="11" t="str">
        <f t="shared" si="3"/>
        <v>No</v>
      </c>
    </row>
    <row r="66" spans="1:3">
      <c r="A66" s="10" t="s">
        <v>138</v>
      </c>
      <c r="B66" s="11" t="str">
        <f t="shared" si="4"/>
        <v>No</v>
      </c>
      <c r="C66" s="11" t="str">
        <f t="shared" si="3"/>
        <v>No</v>
      </c>
    </row>
    <row r="67" spans="1:3">
      <c r="A67" s="10" t="s">
        <v>139</v>
      </c>
      <c r="B67" s="11" t="str">
        <f t="shared" si="4"/>
        <v>No</v>
      </c>
      <c r="C67" s="11" t="str">
        <f t="shared" ref="C67:C98" si="5">_xlfn.IFS(AND(ISNUMBER(SEARCH("Python",B67)),ISNUMBER(SEARCH("R",B67))),"Yes",TRUE,"No")</f>
        <v>No</v>
      </c>
    </row>
    <row r="68" spans="1:3">
      <c r="A68" s="10" t="s">
        <v>140</v>
      </c>
      <c r="B68" s="11" t="str">
        <f t="shared" si="4"/>
        <v>No</v>
      </c>
      <c r="C68" s="11" t="str">
        <f t="shared" si="5"/>
        <v>No</v>
      </c>
    </row>
    <row r="69" spans="1:3">
      <c r="A69" s="10" t="s">
        <v>141</v>
      </c>
      <c r="B69" s="11" t="str">
        <f t="shared" si="4"/>
        <v>No</v>
      </c>
      <c r="C69" s="11" t="str">
        <f t="shared" si="5"/>
        <v>No</v>
      </c>
    </row>
    <row r="70" spans="1:3">
      <c r="A70" s="10" t="s">
        <v>142</v>
      </c>
      <c r="B70" s="11" t="str">
        <f t="shared" si="4"/>
        <v>No</v>
      </c>
      <c r="C70" s="11" t="str">
        <f t="shared" si="5"/>
        <v>No</v>
      </c>
    </row>
    <row r="71" spans="1:3">
      <c r="A71" s="10" t="s">
        <v>143</v>
      </c>
      <c r="B71" s="11" t="str">
        <f t="shared" si="4"/>
        <v>No</v>
      </c>
      <c r="C71" s="11" t="str">
        <f t="shared" si="5"/>
        <v>No</v>
      </c>
    </row>
    <row r="72" spans="1:3">
      <c r="A72" s="10" t="s">
        <v>144</v>
      </c>
      <c r="B72" s="11" t="str">
        <f t="shared" si="4"/>
        <v>No</v>
      </c>
      <c r="C72" s="11" t="str">
        <f t="shared" si="5"/>
        <v>No</v>
      </c>
    </row>
    <row r="73" spans="1:3">
      <c r="A73" s="10" t="s">
        <v>145</v>
      </c>
      <c r="B73" s="11" t="str">
        <f t="shared" si="4"/>
        <v>No</v>
      </c>
      <c r="C73" s="11" t="str">
        <f t="shared" si="5"/>
        <v>No</v>
      </c>
    </row>
    <row r="74" spans="1:3">
      <c r="A74" s="10" t="s">
        <v>146</v>
      </c>
      <c r="B74" s="11" t="str">
        <f t="shared" si="4"/>
        <v>No</v>
      </c>
      <c r="C74" s="11" t="str">
        <f t="shared" si="5"/>
        <v>No</v>
      </c>
    </row>
    <row r="75" spans="1:3">
      <c r="A75" s="10" t="s">
        <v>147</v>
      </c>
      <c r="B75" s="11" t="str">
        <f t="shared" si="4"/>
        <v>No</v>
      </c>
      <c r="C75" s="11" t="str">
        <f t="shared" si="5"/>
        <v>No</v>
      </c>
    </row>
    <row r="76" spans="1:3">
      <c r="A76" s="10" t="s">
        <v>148</v>
      </c>
      <c r="B76" s="11" t="str">
        <f t="shared" si="4"/>
        <v>No</v>
      </c>
      <c r="C76" s="11" t="str">
        <f t="shared" si="5"/>
        <v>No</v>
      </c>
    </row>
    <row r="77" spans="1:3">
      <c r="A77" s="10" t="s">
        <v>149</v>
      </c>
      <c r="B77" s="11" t="str">
        <f t="shared" si="4"/>
        <v>No</v>
      </c>
      <c r="C77" s="11" t="str">
        <f t="shared" si="5"/>
        <v>No</v>
      </c>
    </row>
    <row r="78" spans="1:3">
      <c r="A78" s="10" t="s">
        <v>150</v>
      </c>
      <c r="B78" s="11" t="str">
        <f t="shared" si="4"/>
        <v>No</v>
      </c>
      <c r="C78" s="11" t="str">
        <f t="shared" si="5"/>
        <v>No</v>
      </c>
    </row>
    <row r="79" spans="1:3">
      <c r="A79" s="10" t="s">
        <v>151</v>
      </c>
      <c r="B79" s="11" t="str">
        <f t="shared" si="4"/>
        <v>No</v>
      </c>
      <c r="C79" s="11" t="str">
        <f t="shared" si="5"/>
        <v>No</v>
      </c>
    </row>
    <row r="80" spans="1:3">
      <c r="A80" s="10" t="s">
        <v>152</v>
      </c>
      <c r="B80" s="11" t="str">
        <f t="shared" si="4"/>
        <v>No</v>
      </c>
      <c r="C80" s="11" t="str">
        <f t="shared" si="5"/>
        <v>No</v>
      </c>
    </row>
    <row r="81" spans="1:3">
      <c r="A81" s="10" t="s">
        <v>153</v>
      </c>
      <c r="B81" s="11" t="str">
        <f t="shared" si="4"/>
        <v>No</v>
      </c>
      <c r="C81" s="11" t="str">
        <f t="shared" si="5"/>
        <v>No</v>
      </c>
    </row>
    <row r="82" spans="1:3">
      <c r="A82" s="10" t="s">
        <v>154</v>
      </c>
      <c r="B82" s="11" t="str">
        <f t="shared" si="4"/>
        <v>No</v>
      </c>
      <c r="C82" s="11" t="str">
        <f t="shared" si="5"/>
        <v>No</v>
      </c>
    </row>
    <row r="83" spans="1:3">
      <c r="A83" s="10" t="s">
        <v>155</v>
      </c>
      <c r="B83" s="11" t="str">
        <f t="shared" ref="B83:B114" si="6">_xlfn.IFS(AND(ISNUMBER(SEARCH("Python",A83)),ISNUMBER(SEARCH("SQL",A83))),"Yes",TRUE,"No")</f>
        <v>No</v>
      </c>
      <c r="C83" s="11" t="str">
        <f t="shared" si="5"/>
        <v>No</v>
      </c>
    </row>
    <row r="84" spans="1:3">
      <c r="A84" s="10" t="s">
        <v>156</v>
      </c>
      <c r="B84" s="11" t="str">
        <f t="shared" si="6"/>
        <v>No</v>
      </c>
      <c r="C84" s="11" t="str">
        <f t="shared" si="5"/>
        <v>No</v>
      </c>
    </row>
    <row r="85" spans="1:3">
      <c r="A85" s="10" t="s">
        <v>157</v>
      </c>
      <c r="B85" s="11" t="str">
        <f t="shared" si="6"/>
        <v>No</v>
      </c>
      <c r="C85" s="11" t="str">
        <f t="shared" si="5"/>
        <v>No</v>
      </c>
    </row>
    <row r="86" spans="1:3">
      <c r="A86" s="10" t="s">
        <v>158</v>
      </c>
      <c r="B86" s="11" t="str">
        <f t="shared" si="6"/>
        <v>No</v>
      </c>
      <c r="C86" s="11" t="str">
        <f t="shared" si="5"/>
        <v>No</v>
      </c>
    </row>
    <row r="87" spans="1:3">
      <c r="A87" s="10" t="s">
        <v>159</v>
      </c>
      <c r="B87" s="11" t="str">
        <f t="shared" si="6"/>
        <v>No</v>
      </c>
      <c r="C87" s="11" t="str">
        <f t="shared" si="5"/>
        <v>No</v>
      </c>
    </row>
    <row r="88" spans="1:3">
      <c r="A88" s="10" t="s">
        <v>160</v>
      </c>
      <c r="B88" s="11" t="str">
        <f t="shared" si="6"/>
        <v>No</v>
      </c>
      <c r="C88" s="11" t="str">
        <f t="shared" si="5"/>
        <v>No</v>
      </c>
    </row>
    <row r="89" spans="1:3">
      <c r="A89" s="10" t="s">
        <v>161</v>
      </c>
      <c r="B89" s="11" t="str">
        <f t="shared" si="6"/>
        <v>Yes</v>
      </c>
      <c r="C89" s="11" t="str">
        <f t="shared" si="5"/>
        <v>No</v>
      </c>
    </row>
    <row r="90" spans="1:3">
      <c r="A90" s="10" t="s">
        <v>162</v>
      </c>
      <c r="B90" s="11" t="str">
        <f t="shared" si="6"/>
        <v>No</v>
      </c>
      <c r="C90" s="11" t="str">
        <f t="shared" si="5"/>
        <v>No</v>
      </c>
    </row>
    <row r="91" spans="1:3">
      <c r="A91" s="10" t="s">
        <v>163</v>
      </c>
      <c r="B91" s="11" t="str">
        <f t="shared" si="6"/>
        <v>No</v>
      </c>
      <c r="C91" s="11" t="str">
        <f t="shared" si="5"/>
        <v>No</v>
      </c>
    </row>
    <row r="92" spans="1:3">
      <c r="A92" s="10" t="s">
        <v>164</v>
      </c>
      <c r="B92" s="11" t="str">
        <f t="shared" si="6"/>
        <v>No</v>
      </c>
      <c r="C92" s="11" t="str">
        <f t="shared" si="5"/>
        <v>No</v>
      </c>
    </row>
    <row r="93" spans="1:3">
      <c r="A93" s="10" t="s">
        <v>165</v>
      </c>
      <c r="B93" s="11" t="str">
        <f t="shared" si="6"/>
        <v>No</v>
      </c>
      <c r="C93" s="11" t="str">
        <f t="shared" si="5"/>
        <v>No</v>
      </c>
    </row>
    <row r="94" spans="1:3">
      <c r="A94" s="10" t="s">
        <v>166</v>
      </c>
      <c r="B94" s="11" t="str">
        <f t="shared" si="6"/>
        <v>No</v>
      </c>
      <c r="C94" s="11" t="str">
        <f t="shared" si="5"/>
        <v>No</v>
      </c>
    </row>
    <row r="95" spans="1:3">
      <c r="A95" s="10" t="s">
        <v>167</v>
      </c>
      <c r="B95" s="11" t="str">
        <f t="shared" si="6"/>
        <v>No</v>
      </c>
      <c r="C95" s="11" t="str">
        <f t="shared" si="5"/>
        <v>No</v>
      </c>
    </row>
    <row r="96" spans="1:3">
      <c r="A96" s="10" t="s">
        <v>168</v>
      </c>
      <c r="B96" s="11" t="str">
        <f t="shared" si="6"/>
        <v>No</v>
      </c>
      <c r="C96" s="11" t="str">
        <f t="shared" si="5"/>
        <v>No</v>
      </c>
    </row>
    <row r="97" spans="1:3">
      <c r="A97" s="10" t="s">
        <v>169</v>
      </c>
      <c r="B97" s="11" t="str">
        <f t="shared" si="6"/>
        <v>No</v>
      </c>
      <c r="C97" s="11" t="str">
        <f t="shared" si="5"/>
        <v>No</v>
      </c>
    </row>
    <row r="98" spans="1:3">
      <c r="A98" s="10" t="s">
        <v>170</v>
      </c>
      <c r="B98" s="11" t="str">
        <f t="shared" si="6"/>
        <v>No</v>
      </c>
      <c r="C98" s="11" t="str">
        <f t="shared" si="5"/>
        <v>No</v>
      </c>
    </row>
    <row r="99" spans="1:3">
      <c r="A99" s="10" t="s">
        <v>171</v>
      </c>
      <c r="B99" s="11" t="str">
        <f t="shared" si="6"/>
        <v>No</v>
      </c>
      <c r="C99" s="11" t="str">
        <f t="shared" ref="C99:C130" si="7">_xlfn.IFS(AND(ISNUMBER(SEARCH("Python",B99)),ISNUMBER(SEARCH("R",B99))),"Yes",TRUE,"No")</f>
        <v>No</v>
      </c>
    </row>
    <row r="100" spans="1:3">
      <c r="A100" s="10" t="s">
        <v>172</v>
      </c>
      <c r="B100" s="11" t="str">
        <f t="shared" si="6"/>
        <v>No</v>
      </c>
      <c r="C100" s="11" t="str">
        <f t="shared" si="7"/>
        <v>No</v>
      </c>
    </row>
    <row r="101" spans="1:3">
      <c r="A101" s="10" t="s">
        <v>173</v>
      </c>
      <c r="B101" s="11" t="str">
        <f t="shared" si="6"/>
        <v>No</v>
      </c>
      <c r="C101" s="11" t="str">
        <f t="shared" si="7"/>
        <v>No</v>
      </c>
    </row>
    <row r="102" spans="1:3">
      <c r="A102" s="10" t="s">
        <v>174</v>
      </c>
      <c r="B102" s="11" t="str">
        <f t="shared" si="6"/>
        <v>No</v>
      </c>
      <c r="C102" s="11" t="str">
        <f t="shared" si="7"/>
        <v>No</v>
      </c>
    </row>
    <row r="103" spans="1:3">
      <c r="A103" s="10" t="s">
        <v>175</v>
      </c>
      <c r="B103" s="11" t="str">
        <f t="shared" si="6"/>
        <v>No</v>
      </c>
      <c r="C103" s="11" t="str">
        <f t="shared" si="7"/>
        <v>No</v>
      </c>
    </row>
    <row r="104" spans="1:3">
      <c r="A104" s="10" t="s">
        <v>176</v>
      </c>
      <c r="B104" s="11" t="str">
        <f t="shared" si="6"/>
        <v>No</v>
      </c>
      <c r="C104" s="11" t="str">
        <f t="shared" si="7"/>
        <v>No</v>
      </c>
    </row>
    <row r="105" spans="1:3">
      <c r="A105" s="10" t="s">
        <v>177</v>
      </c>
      <c r="B105" s="11" t="str">
        <f t="shared" si="6"/>
        <v>No</v>
      </c>
      <c r="C105" s="11" t="str">
        <f t="shared" si="7"/>
        <v>No</v>
      </c>
    </row>
    <row r="106" spans="1:3">
      <c r="A106" s="10" t="s">
        <v>178</v>
      </c>
      <c r="B106" s="11" t="str">
        <f t="shared" si="6"/>
        <v>No</v>
      </c>
      <c r="C106" s="11" t="str">
        <f t="shared" si="7"/>
        <v>No</v>
      </c>
    </row>
    <row r="107" spans="1:3">
      <c r="A107" s="10" t="s">
        <v>179</v>
      </c>
      <c r="B107" s="11" t="str">
        <f t="shared" si="6"/>
        <v>No</v>
      </c>
      <c r="C107" s="11" t="str">
        <f t="shared" si="7"/>
        <v>No</v>
      </c>
    </row>
    <row r="108" spans="1:3">
      <c r="A108" s="10" t="s">
        <v>180</v>
      </c>
      <c r="B108" s="11" t="str">
        <f t="shared" si="6"/>
        <v>No</v>
      </c>
      <c r="C108" s="11" t="str">
        <f t="shared" si="7"/>
        <v>No</v>
      </c>
    </row>
    <row r="109" spans="1:3">
      <c r="A109" s="10" t="s">
        <v>181</v>
      </c>
      <c r="B109" s="11" t="str">
        <f t="shared" si="6"/>
        <v>No</v>
      </c>
      <c r="C109" s="11" t="str">
        <f t="shared" si="7"/>
        <v>No</v>
      </c>
    </row>
    <row r="110" spans="1:3">
      <c r="A110" s="10" t="s">
        <v>182</v>
      </c>
      <c r="B110" s="11" t="str">
        <f t="shared" si="6"/>
        <v>No</v>
      </c>
      <c r="C110" s="11" t="str">
        <f t="shared" si="7"/>
        <v>No</v>
      </c>
    </row>
    <row r="111" spans="1:3">
      <c r="A111" s="10" t="s">
        <v>183</v>
      </c>
      <c r="B111" s="11" t="str">
        <f t="shared" si="6"/>
        <v>No</v>
      </c>
      <c r="C111" s="11" t="str">
        <f t="shared" si="7"/>
        <v>No</v>
      </c>
    </row>
    <row r="112" spans="1:3">
      <c r="A112" s="10" t="s">
        <v>184</v>
      </c>
      <c r="B112" s="11" t="str">
        <f t="shared" si="6"/>
        <v>No</v>
      </c>
      <c r="C112" s="11" t="str">
        <f t="shared" si="7"/>
        <v>No</v>
      </c>
    </row>
    <row r="113" spans="1:3">
      <c r="A113" s="10" t="s">
        <v>185</v>
      </c>
      <c r="B113" s="11" t="str">
        <f t="shared" si="6"/>
        <v>No</v>
      </c>
      <c r="C113" s="11" t="str">
        <f t="shared" si="7"/>
        <v>No</v>
      </c>
    </row>
    <row r="114" spans="1:3">
      <c r="A114" s="10" t="s">
        <v>186</v>
      </c>
      <c r="B114" s="11" t="str">
        <f t="shared" si="6"/>
        <v>No</v>
      </c>
      <c r="C114" s="11" t="str">
        <f t="shared" si="7"/>
        <v>No</v>
      </c>
    </row>
    <row r="115" spans="1:3">
      <c r="A115" s="10" t="s">
        <v>187</v>
      </c>
      <c r="B115" s="11" t="str">
        <f t="shared" ref="B115:B146" si="8">_xlfn.IFS(AND(ISNUMBER(SEARCH("Python",A115)),ISNUMBER(SEARCH("SQL",A115))),"Yes",TRUE,"No")</f>
        <v>No</v>
      </c>
      <c r="C115" s="11" t="str">
        <f t="shared" si="7"/>
        <v>No</v>
      </c>
    </row>
    <row r="116" spans="1:3">
      <c r="A116" s="10" t="s">
        <v>188</v>
      </c>
      <c r="B116" s="11" t="str">
        <f t="shared" si="8"/>
        <v>No</v>
      </c>
      <c r="C116" s="11" t="str">
        <f t="shared" si="7"/>
        <v>No</v>
      </c>
    </row>
    <row r="117" spans="1:3">
      <c r="A117" s="10" t="s">
        <v>189</v>
      </c>
      <c r="B117" s="11" t="str">
        <f t="shared" si="8"/>
        <v>No</v>
      </c>
      <c r="C117" s="11" t="str">
        <f t="shared" si="7"/>
        <v>No</v>
      </c>
    </row>
    <row r="118" spans="1:3">
      <c r="A118" s="10" t="s">
        <v>190</v>
      </c>
      <c r="B118" s="11" t="str">
        <f t="shared" si="8"/>
        <v>No</v>
      </c>
      <c r="C118" s="11" t="str">
        <f t="shared" si="7"/>
        <v>No</v>
      </c>
    </row>
    <row r="119" spans="1:3">
      <c r="A119" s="10" t="s">
        <v>191</v>
      </c>
      <c r="B119" s="11" t="str">
        <f t="shared" si="8"/>
        <v>No</v>
      </c>
      <c r="C119" s="11" t="str">
        <f t="shared" si="7"/>
        <v>No</v>
      </c>
    </row>
    <row r="120" spans="1:3">
      <c r="A120" s="10" t="s">
        <v>192</v>
      </c>
      <c r="B120" s="11" t="str">
        <f t="shared" si="8"/>
        <v>No</v>
      </c>
      <c r="C120" s="11" t="str">
        <f t="shared" si="7"/>
        <v>No</v>
      </c>
    </row>
    <row r="121" spans="1:3">
      <c r="A121" s="10" t="s">
        <v>193</v>
      </c>
      <c r="B121" s="11" t="str">
        <f t="shared" si="8"/>
        <v>No</v>
      </c>
      <c r="C121" s="11" t="str">
        <f t="shared" si="7"/>
        <v>No</v>
      </c>
    </row>
    <row r="122" spans="1:3">
      <c r="A122" s="10" t="s">
        <v>194</v>
      </c>
      <c r="B122" s="11" t="str">
        <f t="shared" si="8"/>
        <v>No</v>
      </c>
      <c r="C122" s="11" t="str">
        <f t="shared" si="7"/>
        <v>No</v>
      </c>
    </row>
    <row r="123" spans="1:3">
      <c r="A123" s="10" t="s">
        <v>195</v>
      </c>
      <c r="B123" s="11" t="str">
        <f t="shared" si="8"/>
        <v>No</v>
      </c>
      <c r="C123" s="11" t="str">
        <f t="shared" si="7"/>
        <v>No</v>
      </c>
    </row>
    <row r="124" spans="1:3">
      <c r="A124" s="10" t="s">
        <v>196</v>
      </c>
      <c r="B124" s="11" t="str">
        <f t="shared" si="8"/>
        <v>No</v>
      </c>
      <c r="C124" s="11" t="str">
        <f t="shared" si="7"/>
        <v>No</v>
      </c>
    </row>
    <row r="125" spans="1:3">
      <c r="A125" s="10" t="s">
        <v>197</v>
      </c>
      <c r="B125" s="11" t="str">
        <f t="shared" si="8"/>
        <v>No</v>
      </c>
      <c r="C125" s="11" t="str">
        <f t="shared" si="7"/>
        <v>No</v>
      </c>
    </row>
    <row r="126" spans="1:3">
      <c r="A126" s="10" t="s">
        <v>198</v>
      </c>
      <c r="B126" s="11" t="str">
        <f t="shared" si="8"/>
        <v>No</v>
      </c>
      <c r="C126" s="11" t="str">
        <f t="shared" si="7"/>
        <v>No</v>
      </c>
    </row>
    <row r="127" spans="1:3">
      <c r="A127" s="10" t="s">
        <v>199</v>
      </c>
      <c r="B127" s="11" t="str">
        <f t="shared" si="8"/>
        <v>No</v>
      </c>
      <c r="C127" s="11" t="str">
        <f t="shared" si="7"/>
        <v>No</v>
      </c>
    </row>
    <row r="128" spans="1:3">
      <c r="A128" s="10" t="s">
        <v>200</v>
      </c>
      <c r="B128" s="11" t="str">
        <f t="shared" si="8"/>
        <v>No</v>
      </c>
      <c r="C128" s="11" t="str">
        <f t="shared" si="7"/>
        <v>No</v>
      </c>
    </row>
    <row r="129" spans="1:3">
      <c r="A129" s="10" t="s">
        <v>201</v>
      </c>
      <c r="B129" s="11" t="str">
        <f t="shared" si="8"/>
        <v>No</v>
      </c>
      <c r="C129" s="11" t="str">
        <f t="shared" si="7"/>
        <v>No</v>
      </c>
    </row>
    <row r="130" spans="1:3">
      <c r="A130" s="10" t="s">
        <v>202</v>
      </c>
      <c r="B130" s="11" t="str">
        <f t="shared" si="8"/>
        <v>No</v>
      </c>
      <c r="C130" s="11" t="str">
        <f t="shared" si="7"/>
        <v>No</v>
      </c>
    </row>
    <row r="131" spans="1:3">
      <c r="A131" s="10" t="s">
        <v>203</v>
      </c>
      <c r="B131" s="11" t="str">
        <f t="shared" si="8"/>
        <v>No</v>
      </c>
      <c r="C131" s="11" t="str">
        <f t="shared" ref="C131:C151" si="9">_xlfn.IFS(AND(ISNUMBER(SEARCH("Python",B131)),ISNUMBER(SEARCH("R",B131))),"Yes",TRUE,"No")</f>
        <v>No</v>
      </c>
    </row>
    <row r="132" spans="1:3">
      <c r="A132" s="10" t="s">
        <v>204</v>
      </c>
      <c r="B132" s="11" t="str">
        <f t="shared" si="8"/>
        <v>No</v>
      </c>
      <c r="C132" s="11" t="str">
        <f t="shared" si="9"/>
        <v>No</v>
      </c>
    </row>
    <row r="133" spans="1:3">
      <c r="A133" s="10" t="s">
        <v>205</v>
      </c>
      <c r="B133" s="11" t="str">
        <f t="shared" si="8"/>
        <v>No</v>
      </c>
      <c r="C133" s="11" t="str">
        <f t="shared" si="9"/>
        <v>No</v>
      </c>
    </row>
    <row r="134" spans="1:3">
      <c r="A134" s="10" t="s">
        <v>206</v>
      </c>
      <c r="B134" s="11" t="str">
        <f t="shared" si="8"/>
        <v>No</v>
      </c>
      <c r="C134" s="11" t="str">
        <f t="shared" si="9"/>
        <v>No</v>
      </c>
    </row>
    <row r="135" spans="1:3">
      <c r="A135" s="10" t="s">
        <v>207</v>
      </c>
      <c r="B135" s="11" t="str">
        <f t="shared" si="8"/>
        <v>No</v>
      </c>
      <c r="C135" s="11" t="str">
        <f t="shared" si="9"/>
        <v>No</v>
      </c>
    </row>
    <row r="136" spans="1:3">
      <c r="A136" s="10" t="s">
        <v>208</v>
      </c>
      <c r="B136" s="11" t="str">
        <f t="shared" si="8"/>
        <v>No</v>
      </c>
      <c r="C136" s="11" t="str">
        <f t="shared" si="9"/>
        <v>No</v>
      </c>
    </row>
    <row r="137" spans="1:3">
      <c r="A137" s="10" t="s">
        <v>209</v>
      </c>
      <c r="B137" s="11" t="str">
        <f t="shared" si="8"/>
        <v>No</v>
      </c>
      <c r="C137" s="11" t="str">
        <f t="shared" si="9"/>
        <v>No</v>
      </c>
    </row>
    <row r="138" spans="1:3">
      <c r="A138" s="10" t="s">
        <v>210</v>
      </c>
      <c r="B138" s="11" t="str">
        <f t="shared" si="8"/>
        <v>No</v>
      </c>
      <c r="C138" s="11" t="str">
        <f t="shared" si="9"/>
        <v>No</v>
      </c>
    </row>
    <row r="139" spans="1:3">
      <c r="A139" s="10" t="s">
        <v>211</v>
      </c>
      <c r="B139" s="11" t="str">
        <f t="shared" si="8"/>
        <v>No</v>
      </c>
      <c r="C139" s="11" t="str">
        <f t="shared" si="9"/>
        <v>No</v>
      </c>
    </row>
    <row r="140" spans="1:3">
      <c r="A140" s="10" t="s">
        <v>212</v>
      </c>
      <c r="B140" s="11" t="str">
        <f t="shared" si="8"/>
        <v>No</v>
      </c>
      <c r="C140" s="11" t="str">
        <f t="shared" si="9"/>
        <v>No</v>
      </c>
    </row>
    <row r="141" spans="1:3">
      <c r="A141" s="10" t="s">
        <v>213</v>
      </c>
      <c r="B141" s="11" t="str">
        <f t="shared" si="8"/>
        <v>No</v>
      </c>
      <c r="C141" s="11" t="str">
        <f t="shared" si="9"/>
        <v>No</v>
      </c>
    </row>
    <row r="142" spans="1:3">
      <c r="A142" s="10" t="s">
        <v>214</v>
      </c>
      <c r="B142" s="11" t="str">
        <f t="shared" si="8"/>
        <v>No</v>
      </c>
      <c r="C142" s="11" t="str">
        <f t="shared" si="9"/>
        <v>No</v>
      </c>
    </row>
    <row r="143" spans="1:3">
      <c r="A143" s="10" t="s">
        <v>215</v>
      </c>
      <c r="B143" s="11" t="str">
        <f t="shared" si="8"/>
        <v>No</v>
      </c>
      <c r="C143" s="11" t="str">
        <f t="shared" si="9"/>
        <v>No</v>
      </c>
    </row>
    <row r="144" spans="1:3">
      <c r="A144" s="10" t="s">
        <v>216</v>
      </c>
      <c r="B144" s="11" t="str">
        <f t="shared" si="8"/>
        <v>No</v>
      </c>
      <c r="C144" s="11" t="str">
        <f t="shared" si="9"/>
        <v>No</v>
      </c>
    </row>
    <row r="145" spans="1:3">
      <c r="A145" s="10" t="s">
        <v>217</v>
      </c>
      <c r="B145" s="11" t="str">
        <f t="shared" si="8"/>
        <v>No</v>
      </c>
      <c r="C145" s="11" t="str">
        <f t="shared" si="9"/>
        <v>No</v>
      </c>
    </row>
    <row r="146" spans="1:3">
      <c r="A146" s="10" t="s">
        <v>218</v>
      </c>
      <c r="B146" s="11" t="str">
        <f t="shared" si="8"/>
        <v>No</v>
      </c>
      <c r="C146" s="11" t="str">
        <f t="shared" si="9"/>
        <v>No</v>
      </c>
    </row>
    <row r="147" spans="1:3">
      <c r="A147" s="10" t="s">
        <v>219</v>
      </c>
      <c r="B147" s="11" t="str">
        <f>_xlfn.IFS(AND(ISNUMBER(SEARCH("Python",A147)),ISNUMBER(SEARCH("SQL",A147))),"Yes",TRUE,"No")</f>
        <v>No</v>
      </c>
      <c r="C147" s="11" t="str">
        <f t="shared" si="9"/>
        <v>No</v>
      </c>
    </row>
    <row r="148" spans="1:3">
      <c r="A148" s="10" t="s">
        <v>220</v>
      </c>
      <c r="B148" s="11" t="str">
        <f>_xlfn.IFS(AND(ISNUMBER(SEARCH("Python",A148)),ISNUMBER(SEARCH("SQL",A148))),"Yes",TRUE,"No")</f>
        <v>No</v>
      </c>
      <c r="C148" s="11" t="str">
        <f t="shared" si="9"/>
        <v>No</v>
      </c>
    </row>
    <row r="149" spans="1:3">
      <c r="A149" s="10" t="s">
        <v>221</v>
      </c>
      <c r="B149" s="11" t="str">
        <f>_xlfn.IFS(AND(ISNUMBER(SEARCH("Python",A149)),ISNUMBER(SEARCH("SQL",A149))),"Yes",TRUE,"No")</f>
        <v>No</v>
      </c>
      <c r="C149" s="11" t="str">
        <f t="shared" si="9"/>
        <v>No</v>
      </c>
    </row>
    <row r="150" spans="1:3">
      <c r="A150" s="10" t="s">
        <v>222</v>
      </c>
      <c r="B150" s="11" t="str">
        <f>_xlfn.IFS(AND(ISNUMBER(SEARCH("Python",A150)),ISNUMBER(SEARCH("SQL",A150))),"Yes",TRUE,"No")</f>
        <v>No</v>
      </c>
      <c r="C150" s="11" t="str">
        <f t="shared" si="9"/>
        <v>No</v>
      </c>
    </row>
    <row r="151" spans="1:3">
      <c r="A151" s="10" t="s">
        <v>223</v>
      </c>
      <c r="B151" s="11" t="str">
        <f>_xlfn.IFS(AND(ISNUMBER(SEARCH("Python",A151)),ISNUMBER(SEARCH("SQL",A151))),"Yes",TRUE,"No")</f>
        <v>Yes</v>
      </c>
      <c r="C151" s="11" t="str">
        <f t="shared" si="9"/>
        <v>No</v>
      </c>
    </row>
  </sheetData>
  <conditionalFormatting sqref="A1:C151">
    <cfRule type="expression" dxfId="1" priority="1">
      <formula>MOD(ROW(),2)=1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J9" sqref="J9"/>
    </sheetView>
  </sheetViews>
  <sheetFormatPr defaultColWidth="8.8" defaultRowHeight="15" outlineLevelCol="2"/>
  <cols>
    <col min="1" max="1" width="15.2" customWidth="1"/>
    <col min="2" max="2" width="5.8" customWidth="1"/>
    <col min="3" max="3" width="4.6" customWidth="1"/>
  </cols>
  <sheetData>
    <row r="1" spans="1:2">
      <c r="A1" s="3" t="s">
        <v>43</v>
      </c>
      <c r="B1" s="3" t="s">
        <v>44</v>
      </c>
    </row>
    <row r="2" spans="1:3">
      <c r="A2" s="4" t="s">
        <v>19</v>
      </c>
      <c r="B2" s="5">
        <v>53</v>
      </c>
      <c r="C2" s="6" t="s">
        <v>45</v>
      </c>
    </row>
    <row r="3" spans="1:3">
      <c r="A3" s="4" t="s">
        <v>31</v>
      </c>
      <c r="B3" s="5">
        <v>48</v>
      </c>
      <c r="C3" s="6" t="s">
        <v>46</v>
      </c>
    </row>
    <row r="4" spans="1:3">
      <c r="A4" s="4" t="s">
        <v>36</v>
      </c>
      <c r="B4" s="5">
        <v>48</v>
      </c>
      <c r="C4" s="6" t="s">
        <v>47</v>
      </c>
    </row>
    <row r="5" spans="1:3">
      <c r="A5" s="4" t="s">
        <v>7</v>
      </c>
      <c r="B5" s="5">
        <v>46</v>
      </c>
      <c r="C5" s="6" t="s">
        <v>48</v>
      </c>
    </row>
    <row r="6" spans="1:3">
      <c r="A6" s="4" t="s">
        <v>13</v>
      </c>
      <c r="B6" s="5">
        <v>46</v>
      </c>
      <c r="C6" s="6" t="s">
        <v>49</v>
      </c>
    </row>
    <row r="7" spans="1:3">
      <c r="A7" s="4" t="s">
        <v>20</v>
      </c>
      <c r="B7" s="5">
        <v>46</v>
      </c>
      <c r="C7" s="6" t="s">
        <v>50</v>
      </c>
    </row>
    <row r="8" spans="1:3">
      <c r="A8" s="4" t="s">
        <v>26</v>
      </c>
      <c r="B8" s="5">
        <v>46</v>
      </c>
      <c r="C8" s="6" t="s">
        <v>51</v>
      </c>
    </row>
    <row r="9" spans="1:3">
      <c r="A9" s="4" t="s">
        <v>25</v>
      </c>
      <c r="B9" s="5">
        <v>45</v>
      </c>
      <c r="C9" s="6" t="s">
        <v>52</v>
      </c>
    </row>
    <row r="10" spans="1:3">
      <c r="A10" s="4" t="s">
        <v>37</v>
      </c>
      <c r="B10" s="5">
        <v>45</v>
      </c>
      <c r="C10" s="6" t="s">
        <v>53</v>
      </c>
    </row>
    <row r="11" spans="1:3">
      <c r="A11" s="4" t="s">
        <v>38</v>
      </c>
      <c r="B11" s="5">
        <v>45</v>
      </c>
      <c r="C11" s="6" t="s">
        <v>54</v>
      </c>
    </row>
    <row r="12" spans="1:3">
      <c r="A12" s="4" t="s">
        <v>1</v>
      </c>
      <c r="B12" s="5">
        <v>44</v>
      </c>
      <c r="C12" s="6"/>
    </row>
    <row r="13" spans="1:2">
      <c r="A13" s="4" t="s">
        <v>16</v>
      </c>
      <c r="B13" s="5">
        <v>43</v>
      </c>
    </row>
    <row r="14" spans="1:2">
      <c r="A14" s="4" t="s">
        <v>29</v>
      </c>
      <c r="B14" s="5">
        <v>42</v>
      </c>
    </row>
    <row r="15" spans="1:2">
      <c r="A15" s="4" t="s">
        <v>39</v>
      </c>
      <c r="B15" s="5">
        <v>42</v>
      </c>
    </row>
    <row r="16" spans="1:2">
      <c r="A16" s="4" t="s">
        <v>30</v>
      </c>
      <c r="B16" s="5">
        <v>39</v>
      </c>
    </row>
    <row r="17" spans="1:2">
      <c r="A17" s="4" t="s">
        <v>27</v>
      </c>
      <c r="B17" s="5">
        <v>37</v>
      </c>
    </row>
    <row r="18" spans="1:2">
      <c r="A18" s="4" t="s">
        <v>34</v>
      </c>
      <c r="B18" s="5">
        <v>37</v>
      </c>
    </row>
    <row r="19" spans="1:2">
      <c r="A19" s="4" t="s">
        <v>40</v>
      </c>
      <c r="B19" s="5">
        <v>37</v>
      </c>
    </row>
    <row r="20" spans="1:2">
      <c r="A20" s="4" t="s">
        <v>32</v>
      </c>
      <c r="B20" s="5">
        <v>35</v>
      </c>
    </row>
    <row r="21" spans="1:2">
      <c r="A21" s="4" t="s">
        <v>33</v>
      </c>
      <c r="B21" s="5">
        <v>30</v>
      </c>
    </row>
  </sheetData>
  <conditionalFormatting sqref="A2:B11">
    <cfRule type="top10" dxfId="2" priority="1" rank="3"/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6"/>
  <sheetViews>
    <sheetView tabSelected="1" workbookViewId="0">
      <selection activeCell="D19" sqref="D19"/>
    </sheetView>
  </sheetViews>
  <sheetFormatPr defaultColWidth="8.8" defaultRowHeight="15" outlineLevelCol="5"/>
  <cols>
    <col min="1" max="1" width="17.4"/>
    <col min="2" max="5" width="15.9"/>
    <col min="6" max="6" width="11.4"/>
    <col min="7" max="8" width="10.3"/>
    <col min="9" max="9" width="13.4"/>
    <col min="10" max="12" width="11.4"/>
    <col min="13" max="13" width="11.9"/>
    <col min="14" max="16" width="10.3"/>
    <col min="17" max="20" width="11.4"/>
    <col min="21" max="21" width="13.6"/>
    <col min="22" max="24" width="10.9666666666667"/>
    <col min="25" max="25" width="14.2"/>
    <col min="26" max="28" width="10.3"/>
    <col min="29" max="29" width="11.4"/>
    <col min="30" max="32" width="10.3"/>
    <col min="33" max="33" width="11.8"/>
    <col min="34" max="36" width="10.3"/>
    <col min="37" max="37" width="11.4"/>
    <col min="38" max="40" width="10.3"/>
    <col min="41" max="41" width="11.4"/>
    <col min="42" max="42" width="8.06666666666667"/>
    <col min="43" max="43" width="11"/>
    <col min="44" max="44" width="10.3"/>
  </cols>
  <sheetData>
    <row r="3" spans="1:2">
      <c r="A3" t="s">
        <v>254</v>
      </c>
      <c r="B3" t="s">
        <v>55</v>
      </c>
    </row>
    <row r="4" spans="1:6">
      <c r="A4" t="s">
        <v>255</v>
      </c>
      <c r="B4" t="s">
        <v>69</v>
      </c>
      <c r="C4" t="s">
        <v>70</v>
      </c>
      <c r="D4" t="s">
        <v>68</v>
      </c>
      <c r="E4" t="s">
        <v>256</v>
      </c>
      <c r="F4" t="s">
        <v>257</v>
      </c>
    </row>
    <row r="5" spans="1:6">
      <c r="A5" t="s">
        <v>58</v>
      </c>
      <c r="B5">
        <v>3987230</v>
      </c>
      <c r="C5">
        <v>5534374.5</v>
      </c>
      <c r="D5">
        <v>11683460</v>
      </c>
      <c r="E5"/>
      <c r="F5">
        <v>21205064.5</v>
      </c>
    </row>
    <row r="6" spans="1:6">
      <c r="A6" t="s">
        <v>59</v>
      </c>
      <c r="B6">
        <v>2337226.5</v>
      </c>
      <c r="C6">
        <v>7563797</v>
      </c>
      <c r="D6">
        <v>7211341</v>
      </c>
      <c r="E6"/>
      <c r="F6">
        <v>17112364.5</v>
      </c>
    </row>
    <row r="7" spans="1:6">
      <c r="A7" t="s">
        <v>60</v>
      </c>
      <c r="B7">
        <v>3409557.5</v>
      </c>
      <c r="C7">
        <v>4874987</v>
      </c>
      <c r="D7">
        <v>15157311.5</v>
      </c>
      <c r="E7"/>
      <c r="F7">
        <v>23441856</v>
      </c>
    </row>
    <row r="8" spans="1:6">
      <c r="A8" t="s">
        <v>61</v>
      </c>
      <c r="B8">
        <v>3332592</v>
      </c>
      <c r="C8">
        <v>5751771.5</v>
      </c>
      <c r="D8">
        <v>3858178</v>
      </c>
      <c r="F8">
        <v>12942541.5</v>
      </c>
    </row>
    <row r="9" spans="1:6">
      <c r="A9" t="s">
        <v>62</v>
      </c>
      <c r="B9">
        <v>2786834.5</v>
      </c>
      <c r="C9">
        <v>5598451.5</v>
      </c>
      <c r="D9">
        <v>16216980.5</v>
      </c>
      <c r="E9"/>
      <c r="F9">
        <v>24602266.5</v>
      </c>
    </row>
    <row r="10" spans="1:6">
      <c r="A10" t="s">
        <v>63</v>
      </c>
      <c r="B10">
        <v>5602051.5</v>
      </c>
      <c r="C10">
        <v>1971938</v>
      </c>
      <c r="D10">
        <v>5774182.5</v>
      </c>
      <c r="F10">
        <v>13348172</v>
      </c>
    </row>
    <row r="11" spans="1:6">
      <c r="A11" t="s">
        <v>64</v>
      </c>
      <c r="B11">
        <v>2342561.5</v>
      </c>
      <c r="C11">
        <v>8361007</v>
      </c>
      <c r="D11">
        <v>9514000</v>
      </c>
      <c r="F11">
        <v>20217568.5</v>
      </c>
    </row>
    <row r="12" spans="1:6">
      <c r="A12" t="s">
        <v>65</v>
      </c>
      <c r="B12">
        <v>1746978</v>
      </c>
      <c r="C12">
        <v>4644752</v>
      </c>
      <c r="D12">
        <v>1926499.5</v>
      </c>
      <c r="F12">
        <v>8318229.5</v>
      </c>
    </row>
    <row r="13" spans="1:6">
      <c r="A13" t="s">
        <v>66</v>
      </c>
      <c r="B13">
        <v>2993377</v>
      </c>
      <c r="C13">
        <v>9808191.5</v>
      </c>
      <c r="D13">
        <v>8349629</v>
      </c>
      <c r="F13">
        <v>21151197.5</v>
      </c>
    </row>
    <row r="14" spans="1:6">
      <c r="A14" t="s">
        <v>67</v>
      </c>
      <c r="B14">
        <v>2650516.5</v>
      </c>
      <c r="C14">
        <v>7324895.5</v>
      </c>
      <c r="D14">
        <v>9317873.5</v>
      </c>
      <c r="F14">
        <v>19293285.5</v>
      </c>
    </row>
    <row r="15" spans="1:1">
      <c r="A15" t="s">
        <v>256</v>
      </c>
    </row>
    <row r="16" spans="1:6">
      <c r="A16" t="s">
        <v>257</v>
      </c>
      <c r="B16">
        <v>31188925</v>
      </c>
      <c r="C16">
        <v>61434165.5</v>
      </c>
      <c r="D16">
        <v>89009455.5</v>
      </c>
      <c r="F16">
        <v>181632546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opLeftCell="K1" workbookViewId="0">
      <selection activeCell="L2" sqref="L2:L151"/>
    </sheetView>
  </sheetViews>
  <sheetFormatPr defaultColWidth="8.8" defaultRowHeight="15"/>
  <cols>
    <col min="1" max="1" width="12.2" customWidth="1"/>
    <col min="2" max="2" width="29.5" customWidth="1"/>
    <col min="3" max="3" width="27.4" customWidth="1"/>
    <col min="4" max="4" width="17.1" customWidth="1"/>
    <col min="5" max="5" width="15.5" customWidth="1"/>
    <col min="6" max="6" width="18.2" customWidth="1"/>
    <col min="7" max="8" width="16.5" customWidth="1"/>
    <col min="9" max="9" width="27" customWidth="1"/>
    <col min="10" max="10" width="21.7" customWidth="1"/>
    <col min="11" max="11" width="116" customWidth="1"/>
    <col min="12" max="12" width="10.3"/>
  </cols>
  <sheetData>
    <row r="1" ht="16.5" spans="1:12">
      <c r="A1" s="1" t="s">
        <v>258</v>
      </c>
      <c r="B1" s="1" t="s">
        <v>224</v>
      </c>
      <c r="C1" s="1" t="s">
        <v>225</v>
      </c>
      <c r="D1" s="1" t="s">
        <v>259</v>
      </c>
      <c r="E1" s="1" t="s">
        <v>255</v>
      </c>
      <c r="F1" s="1" t="s">
        <v>260</v>
      </c>
      <c r="G1" s="1" t="s">
        <v>261</v>
      </c>
      <c r="H1" s="1" t="s">
        <v>262</v>
      </c>
      <c r="I1" s="1" t="s">
        <v>55</v>
      </c>
      <c r="J1" s="1" t="s">
        <v>263</v>
      </c>
      <c r="K1" s="1" t="s">
        <v>41</v>
      </c>
      <c r="L1" t="s">
        <v>264</v>
      </c>
    </row>
    <row r="2" ht="16.5" spans="1:12">
      <c r="A2" s="1" t="s">
        <v>265</v>
      </c>
      <c r="B2" s="1" t="s">
        <v>229</v>
      </c>
      <c r="C2" s="1" t="s">
        <v>230</v>
      </c>
      <c r="D2" s="1" t="s">
        <v>266</v>
      </c>
      <c r="E2" s="1" t="s">
        <v>58</v>
      </c>
      <c r="F2" s="2">
        <v>45375</v>
      </c>
      <c r="G2" s="1">
        <v>1990000</v>
      </c>
      <c r="H2" s="1">
        <v>2403907</v>
      </c>
      <c r="I2" s="1" t="s">
        <v>68</v>
      </c>
      <c r="J2" s="1" t="s">
        <v>267</v>
      </c>
      <c r="K2" s="1" t="s">
        <v>73</v>
      </c>
      <c r="L2">
        <f>AVERAGE(G2:H2)</f>
        <v>2196953.5</v>
      </c>
    </row>
    <row r="3" ht="16.5" spans="1:12">
      <c r="A3" s="1" t="s">
        <v>268</v>
      </c>
      <c r="B3" s="1" t="s">
        <v>229</v>
      </c>
      <c r="C3" s="1" t="s">
        <v>231</v>
      </c>
      <c r="D3" s="1" t="s">
        <v>269</v>
      </c>
      <c r="E3" s="1" t="s">
        <v>63</v>
      </c>
      <c r="F3" s="2">
        <v>45312</v>
      </c>
      <c r="G3" s="1">
        <v>1980000</v>
      </c>
      <c r="H3" s="1">
        <v>2530181</v>
      </c>
      <c r="I3" s="1" t="s">
        <v>68</v>
      </c>
      <c r="J3" s="1" t="s">
        <v>270</v>
      </c>
      <c r="K3" s="1" t="s">
        <v>74</v>
      </c>
      <c r="L3">
        <f t="shared" ref="L3:L34" si="0">AVERAGE(G3:H3)</f>
        <v>2255090.5</v>
      </c>
    </row>
    <row r="4" ht="16.5" spans="1:12">
      <c r="A4" s="1" t="s">
        <v>271</v>
      </c>
      <c r="B4" s="1" t="s">
        <v>232</v>
      </c>
      <c r="C4" s="1" t="s">
        <v>233</v>
      </c>
      <c r="D4" s="1" t="s">
        <v>272</v>
      </c>
      <c r="E4" s="1" t="s">
        <v>67</v>
      </c>
      <c r="F4" s="2">
        <v>45362</v>
      </c>
      <c r="G4" s="1">
        <v>850000</v>
      </c>
      <c r="H4" s="1">
        <v>970479</v>
      </c>
      <c r="I4" s="1" t="s">
        <v>70</v>
      </c>
      <c r="J4" s="1" t="s">
        <v>273</v>
      </c>
      <c r="K4" s="1" t="s">
        <v>75</v>
      </c>
      <c r="L4">
        <f t="shared" si="0"/>
        <v>910239.5</v>
      </c>
    </row>
    <row r="5" ht="16.5" spans="1:12">
      <c r="A5" s="1" t="s">
        <v>274</v>
      </c>
      <c r="B5" s="1" t="s">
        <v>234</v>
      </c>
      <c r="C5" s="1" t="s">
        <v>235</v>
      </c>
      <c r="D5" s="1" t="s">
        <v>266</v>
      </c>
      <c r="E5" s="1" t="s">
        <v>66</v>
      </c>
      <c r="F5" s="2">
        <v>45379</v>
      </c>
      <c r="G5" s="1">
        <v>510000</v>
      </c>
      <c r="H5" s="1">
        <v>764257</v>
      </c>
      <c r="I5" s="1" t="s">
        <v>69</v>
      </c>
      <c r="J5" s="1" t="s">
        <v>267</v>
      </c>
      <c r="K5" s="1" t="s">
        <v>77</v>
      </c>
      <c r="L5">
        <f t="shared" si="0"/>
        <v>637128.5</v>
      </c>
    </row>
    <row r="6" ht="16.5" spans="1:12">
      <c r="A6" s="1" t="s">
        <v>275</v>
      </c>
      <c r="B6" s="1" t="s">
        <v>232</v>
      </c>
      <c r="C6" s="1" t="s">
        <v>236</v>
      </c>
      <c r="D6" s="1" t="s">
        <v>266</v>
      </c>
      <c r="E6" s="1" t="s">
        <v>61</v>
      </c>
      <c r="F6" s="2">
        <v>45352</v>
      </c>
      <c r="G6" s="1">
        <v>1040000</v>
      </c>
      <c r="H6" s="1">
        <v>1382682</v>
      </c>
      <c r="I6" s="1" t="s">
        <v>70</v>
      </c>
      <c r="J6" s="1" t="s">
        <v>267</v>
      </c>
      <c r="K6" s="1" t="s">
        <v>78</v>
      </c>
      <c r="L6">
        <f t="shared" si="0"/>
        <v>1211341</v>
      </c>
    </row>
    <row r="7" ht="16.5" spans="1:12">
      <c r="A7" s="1" t="s">
        <v>276</v>
      </c>
      <c r="B7" s="1" t="s">
        <v>234</v>
      </c>
      <c r="C7" s="1" t="s">
        <v>237</v>
      </c>
      <c r="D7" s="1" t="s">
        <v>277</v>
      </c>
      <c r="E7" s="1" t="s">
        <v>59</v>
      </c>
      <c r="F7" s="2">
        <v>45380</v>
      </c>
      <c r="G7" s="1">
        <v>520000</v>
      </c>
      <c r="H7" s="1">
        <v>655152</v>
      </c>
      <c r="I7" s="1" t="s">
        <v>69</v>
      </c>
      <c r="J7" s="1" t="s">
        <v>267</v>
      </c>
      <c r="K7" s="1" t="s">
        <v>79</v>
      </c>
      <c r="L7">
        <f t="shared" si="0"/>
        <v>587576</v>
      </c>
    </row>
    <row r="8" ht="16.5" spans="1:12">
      <c r="A8" s="1" t="s">
        <v>278</v>
      </c>
      <c r="B8" s="1" t="s">
        <v>234</v>
      </c>
      <c r="C8" s="1" t="s">
        <v>238</v>
      </c>
      <c r="D8" s="1" t="s">
        <v>279</v>
      </c>
      <c r="E8" s="1" t="s">
        <v>67</v>
      </c>
      <c r="F8" s="2">
        <v>45336</v>
      </c>
      <c r="G8" s="1">
        <v>520000</v>
      </c>
      <c r="H8" s="1">
        <v>931665</v>
      </c>
      <c r="I8" s="1" t="s">
        <v>69</v>
      </c>
      <c r="J8" s="1" t="s">
        <v>270</v>
      </c>
      <c r="K8" s="1" t="s">
        <v>80</v>
      </c>
      <c r="L8">
        <f t="shared" si="0"/>
        <v>725832.5</v>
      </c>
    </row>
    <row r="9" ht="16.5" spans="1:12">
      <c r="A9" s="1" t="s">
        <v>280</v>
      </c>
      <c r="B9" s="1" t="s">
        <v>232</v>
      </c>
      <c r="C9" s="1" t="s">
        <v>239</v>
      </c>
      <c r="D9" s="1" t="s">
        <v>281</v>
      </c>
      <c r="E9" s="1" t="s">
        <v>61</v>
      </c>
      <c r="F9" s="2">
        <v>45305</v>
      </c>
      <c r="G9" s="1">
        <v>1020000</v>
      </c>
      <c r="H9" s="1">
        <v>1426429</v>
      </c>
      <c r="I9" s="1" t="s">
        <v>70</v>
      </c>
      <c r="J9" s="1" t="s">
        <v>270</v>
      </c>
      <c r="K9" s="1" t="s">
        <v>81</v>
      </c>
      <c r="L9">
        <f t="shared" si="0"/>
        <v>1223214.5</v>
      </c>
    </row>
    <row r="10" ht="16.5" spans="1:12">
      <c r="A10" s="1" t="s">
        <v>282</v>
      </c>
      <c r="B10" s="1" t="s">
        <v>232</v>
      </c>
      <c r="C10" s="1" t="s">
        <v>240</v>
      </c>
      <c r="D10" s="1" t="s">
        <v>283</v>
      </c>
      <c r="E10" s="1" t="s">
        <v>58</v>
      </c>
      <c r="F10" s="2">
        <v>45365</v>
      </c>
      <c r="G10" s="1">
        <v>1090000</v>
      </c>
      <c r="H10" s="1">
        <v>1243646</v>
      </c>
      <c r="I10" s="1" t="s">
        <v>70</v>
      </c>
      <c r="J10" s="1" t="s">
        <v>270</v>
      </c>
      <c r="K10" s="1" t="s">
        <v>82</v>
      </c>
      <c r="L10">
        <f t="shared" si="0"/>
        <v>1166823</v>
      </c>
    </row>
    <row r="11" ht="16.5" spans="1:12">
      <c r="A11" s="1" t="s">
        <v>284</v>
      </c>
      <c r="B11" s="1" t="s">
        <v>234</v>
      </c>
      <c r="C11" s="1" t="s">
        <v>237</v>
      </c>
      <c r="D11" s="1" t="s">
        <v>279</v>
      </c>
      <c r="E11" s="1" t="s">
        <v>59</v>
      </c>
      <c r="F11" s="2">
        <v>45313</v>
      </c>
      <c r="G11" s="1">
        <v>440000</v>
      </c>
      <c r="H11" s="1">
        <v>541400</v>
      </c>
      <c r="I11" s="1" t="s">
        <v>69</v>
      </c>
      <c r="J11" s="1" t="s">
        <v>273</v>
      </c>
      <c r="K11" s="1" t="s">
        <v>83</v>
      </c>
      <c r="L11">
        <f t="shared" si="0"/>
        <v>490700</v>
      </c>
    </row>
    <row r="12" ht="16.5" spans="1:12">
      <c r="A12" s="1" t="s">
        <v>285</v>
      </c>
      <c r="B12" s="1" t="s">
        <v>234</v>
      </c>
      <c r="C12" s="1" t="s">
        <v>241</v>
      </c>
      <c r="D12" s="1" t="s">
        <v>272</v>
      </c>
      <c r="E12" s="1" t="s">
        <v>58</v>
      </c>
      <c r="F12" s="2">
        <v>45363</v>
      </c>
      <c r="G12" s="1">
        <v>430000</v>
      </c>
      <c r="H12" s="1">
        <v>798280</v>
      </c>
      <c r="I12" s="1" t="s">
        <v>69</v>
      </c>
      <c r="J12" s="1" t="s">
        <v>273</v>
      </c>
      <c r="K12" s="1" t="s">
        <v>84</v>
      </c>
      <c r="L12">
        <f t="shared" si="0"/>
        <v>614140</v>
      </c>
    </row>
    <row r="13" ht="16.5" spans="1:12">
      <c r="A13" s="1" t="s">
        <v>286</v>
      </c>
      <c r="B13" s="1" t="s">
        <v>232</v>
      </c>
      <c r="C13" s="1" t="s">
        <v>236</v>
      </c>
      <c r="D13" s="1" t="s">
        <v>287</v>
      </c>
      <c r="E13" s="1" t="s">
        <v>62</v>
      </c>
      <c r="F13" s="2">
        <v>45327</v>
      </c>
      <c r="G13" s="1">
        <v>960000</v>
      </c>
      <c r="H13" s="1">
        <v>1499693</v>
      </c>
      <c r="I13" s="1" t="s">
        <v>70</v>
      </c>
      <c r="J13" s="1" t="s">
        <v>270</v>
      </c>
      <c r="K13" s="1" t="s">
        <v>85</v>
      </c>
      <c r="L13">
        <f t="shared" si="0"/>
        <v>1229846.5</v>
      </c>
    </row>
    <row r="14" ht="16.5" spans="1:12">
      <c r="A14" s="1" t="s">
        <v>288</v>
      </c>
      <c r="B14" s="1" t="s">
        <v>232</v>
      </c>
      <c r="C14" s="1" t="s">
        <v>242</v>
      </c>
      <c r="D14" s="1" t="s">
        <v>277</v>
      </c>
      <c r="E14" s="1" t="s">
        <v>64</v>
      </c>
      <c r="F14" s="2">
        <v>45295</v>
      </c>
      <c r="G14" s="1">
        <v>1050000</v>
      </c>
      <c r="H14" s="1">
        <v>1514432</v>
      </c>
      <c r="I14" s="1" t="s">
        <v>70</v>
      </c>
      <c r="J14" s="1" t="s">
        <v>273</v>
      </c>
      <c r="K14" s="1" t="s">
        <v>86</v>
      </c>
      <c r="L14">
        <f t="shared" si="0"/>
        <v>1282216</v>
      </c>
    </row>
    <row r="15" ht="16.5" spans="1:12">
      <c r="A15" s="1" t="s">
        <v>289</v>
      </c>
      <c r="B15" s="1" t="s">
        <v>234</v>
      </c>
      <c r="C15" s="1" t="s">
        <v>235</v>
      </c>
      <c r="D15" s="1" t="s">
        <v>266</v>
      </c>
      <c r="E15" s="1" t="s">
        <v>63</v>
      </c>
      <c r="F15" s="2">
        <v>45317</v>
      </c>
      <c r="G15" s="1">
        <v>540000</v>
      </c>
      <c r="H15" s="1">
        <v>1099430</v>
      </c>
      <c r="I15" s="1" t="s">
        <v>69</v>
      </c>
      <c r="J15" s="1" t="s">
        <v>273</v>
      </c>
      <c r="K15" s="1" t="s">
        <v>87</v>
      </c>
      <c r="L15">
        <f t="shared" si="0"/>
        <v>819715</v>
      </c>
    </row>
    <row r="16" ht="16.5" spans="1:12">
      <c r="A16" s="1" t="s">
        <v>290</v>
      </c>
      <c r="B16" s="1" t="s">
        <v>234</v>
      </c>
      <c r="C16" s="1" t="s">
        <v>243</v>
      </c>
      <c r="D16" s="1" t="s">
        <v>283</v>
      </c>
      <c r="E16" s="1" t="s">
        <v>67</v>
      </c>
      <c r="F16" s="2">
        <v>45293</v>
      </c>
      <c r="G16" s="1">
        <v>480000</v>
      </c>
      <c r="H16" s="1">
        <v>752203</v>
      </c>
      <c r="I16" s="1" t="s">
        <v>69</v>
      </c>
      <c r="J16" s="1" t="s">
        <v>270</v>
      </c>
      <c r="K16" s="1" t="s">
        <v>88</v>
      </c>
      <c r="L16">
        <f t="shared" si="0"/>
        <v>616101.5</v>
      </c>
    </row>
    <row r="17" ht="16.5" spans="1:12">
      <c r="A17" s="1" t="s">
        <v>291</v>
      </c>
      <c r="B17" s="1" t="s">
        <v>229</v>
      </c>
      <c r="C17" s="1" t="s">
        <v>240</v>
      </c>
      <c r="D17" s="1" t="s">
        <v>277</v>
      </c>
      <c r="E17" s="1" t="s">
        <v>58</v>
      </c>
      <c r="F17" s="2">
        <v>45365</v>
      </c>
      <c r="G17" s="1">
        <v>1900000</v>
      </c>
      <c r="H17" s="1">
        <v>2208820</v>
      </c>
      <c r="I17" s="1" t="s">
        <v>68</v>
      </c>
      <c r="J17" s="1" t="s">
        <v>267</v>
      </c>
      <c r="K17" s="1" t="s">
        <v>89</v>
      </c>
      <c r="L17">
        <f t="shared" si="0"/>
        <v>2054410</v>
      </c>
    </row>
    <row r="18" ht="16.5" spans="1:12">
      <c r="A18" s="1" t="s">
        <v>292</v>
      </c>
      <c r="B18" s="1" t="s">
        <v>232</v>
      </c>
      <c r="C18" s="1" t="s">
        <v>244</v>
      </c>
      <c r="D18" s="1" t="s">
        <v>287</v>
      </c>
      <c r="E18" s="1" t="s">
        <v>59</v>
      </c>
      <c r="F18" s="2">
        <v>45382</v>
      </c>
      <c r="G18" s="1">
        <v>890000</v>
      </c>
      <c r="H18" s="1">
        <v>1238223</v>
      </c>
      <c r="I18" s="1" t="s">
        <v>70</v>
      </c>
      <c r="J18" s="1" t="s">
        <v>270</v>
      </c>
      <c r="K18" s="1" t="s">
        <v>90</v>
      </c>
      <c r="L18">
        <f t="shared" si="0"/>
        <v>1064111.5</v>
      </c>
    </row>
    <row r="19" ht="16.5" spans="1:12">
      <c r="A19" s="1" t="s">
        <v>293</v>
      </c>
      <c r="B19" s="1" t="s">
        <v>232</v>
      </c>
      <c r="C19" s="1" t="s">
        <v>237</v>
      </c>
      <c r="D19" s="1" t="s">
        <v>279</v>
      </c>
      <c r="E19" s="1" t="s">
        <v>60</v>
      </c>
      <c r="F19" s="2">
        <v>45370</v>
      </c>
      <c r="G19" s="1">
        <v>860000</v>
      </c>
      <c r="H19" s="1">
        <v>989385</v>
      </c>
      <c r="I19" s="1" t="s">
        <v>70</v>
      </c>
      <c r="J19" s="1" t="s">
        <v>270</v>
      </c>
      <c r="K19" s="1" t="s">
        <v>91</v>
      </c>
      <c r="L19">
        <f t="shared" si="0"/>
        <v>924692.5</v>
      </c>
    </row>
    <row r="20" ht="16.5" spans="1:12">
      <c r="A20" s="1" t="s">
        <v>294</v>
      </c>
      <c r="B20" s="1" t="s">
        <v>229</v>
      </c>
      <c r="C20" s="1" t="s">
        <v>238</v>
      </c>
      <c r="D20" s="1" t="s">
        <v>269</v>
      </c>
      <c r="E20" s="1" t="s">
        <v>62</v>
      </c>
      <c r="F20" s="2">
        <v>45377</v>
      </c>
      <c r="G20" s="1">
        <v>1570000</v>
      </c>
      <c r="H20" s="1">
        <v>2144860</v>
      </c>
      <c r="I20" s="1" t="s">
        <v>68</v>
      </c>
      <c r="J20" s="1" t="s">
        <v>267</v>
      </c>
      <c r="K20" s="1" t="s">
        <v>92</v>
      </c>
      <c r="L20">
        <f t="shared" si="0"/>
        <v>1857430</v>
      </c>
    </row>
    <row r="21" ht="16.5" spans="1:12">
      <c r="A21" s="1" t="s">
        <v>295</v>
      </c>
      <c r="B21" s="1" t="s">
        <v>234</v>
      </c>
      <c r="C21" s="1" t="s">
        <v>231</v>
      </c>
      <c r="D21" s="1" t="s">
        <v>272</v>
      </c>
      <c r="E21" s="1" t="s">
        <v>65</v>
      </c>
      <c r="F21" s="2">
        <v>45380</v>
      </c>
      <c r="G21" s="1">
        <v>460000</v>
      </c>
      <c r="H21" s="1">
        <v>604023</v>
      </c>
      <c r="I21" s="1" t="s">
        <v>69</v>
      </c>
      <c r="J21" s="1" t="s">
        <v>270</v>
      </c>
      <c r="K21" s="1" t="s">
        <v>93</v>
      </c>
      <c r="L21">
        <f t="shared" si="0"/>
        <v>532011.5</v>
      </c>
    </row>
    <row r="22" ht="16.5" spans="1:12">
      <c r="A22" s="1" t="s">
        <v>296</v>
      </c>
      <c r="B22" s="1" t="s">
        <v>232</v>
      </c>
      <c r="C22" s="1" t="s">
        <v>231</v>
      </c>
      <c r="D22" s="1" t="s">
        <v>269</v>
      </c>
      <c r="E22" s="1" t="s">
        <v>59</v>
      </c>
      <c r="F22" s="2">
        <v>45303</v>
      </c>
      <c r="G22" s="1">
        <v>940000</v>
      </c>
      <c r="H22" s="1">
        <v>1333894</v>
      </c>
      <c r="I22" s="1" t="s">
        <v>70</v>
      </c>
      <c r="J22" s="1" t="s">
        <v>267</v>
      </c>
      <c r="K22" s="1" t="s">
        <v>94</v>
      </c>
      <c r="L22">
        <f t="shared" si="0"/>
        <v>1136947</v>
      </c>
    </row>
    <row r="23" ht="16.5" spans="1:12">
      <c r="A23" s="1" t="s">
        <v>297</v>
      </c>
      <c r="B23" s="1" t="s">
        <v>234</v>
      </c>
      <c r="C23" s="1" t="s">
        <v>244</v>
      </c>
      <c r="D23" s="1" t="s">
        <v>281</v>
      </c>
      <c r="E23" s="1" t="s">
        <v>67</v>
      </c>
      <c r="F23" s="2">
        <v>45323</v>
      </c>
      <c r="G23" s="1">
        <v>480000</v>
      </c>
      <c r="H23" s="1">
        <v>889932</v>
      </c>
      <c r="I23" s="1" t="s">
        <v>69</v>
      </c>
      <c r="J23" s="1" t="s">
        <v>273</v>
      </c>
      <c r="K23" s="1" t="s">
        <v>95</v>
      </c>
      <c r="L23">
        <f t="shared" si="0"/>
        <v>684966</v>
      </c>
    </row>
    <row r="24" ht="16.5" spans="1:12">
      <c r="A24" s="1" t="s">
        <v>298</v>
      </c>
      <c r="B24" s="1" t="s">
        <v>234</v>
      </c>
      <c r="C24" s="1" t="s">
        <v>238</v>
      </c>
      <c r="D24" s="1" t="s">
        <v>283</v>
      </c>
      <c r="E24" s="1" t="s">
        <v>61</v>
      </c>
      <c r="F24" s="2">
        <v>45320</v>
      </c>
      <c r="G24" s="1">
        <v>490000</v>
      </c>
      <c r="H24" s="1">
        <v>960102</v>
      </c>
      <c r="I24" s="1" t="s">
        <v>69</v>
      </c>
      <c r="J24" s="1" t="s">
        <v>267</v>
      </c>
      <c r="K24" s="1" t="s">
        <v>96</v>
      </c>
      <c r="L24">
        <f t="shared" si="0"/>
        <v>725051</v>
      </c>
    </row>
    <row r="25" ht="16.5" spans="1:12">
      <c r="A25" s="1" t="s">
        <v>299</v>
      </c>
      <c r="B25" s="1" t="s">
        <v>232</v>
      </c>
      <c r="C25" s="1" t="s">
        <v>231</v>
      </c>
      <c r="D25" s="1" t="s">
        <v>277</v>
      </c>
      <c r="E25" s="1" t="s">
        <v>65</v>
      </c>
      <c r="F25" s="2">
        <v>45374</v>
      </c>
      <c r="G25" s="1">
        <v>930000</v>
      </c>
      <c r="H25" s="1">
        <v>1395721</v>
      </c>
      <c r="I25" s="1" t="s">
        <v>70</v>
      </c>
      <c r="J25" s="1" t="s">
        <v>270</v>
      </c>
      <c r="K25" s="1" t="s">
        <v>97</v>
      </c>
      <c r="L25">
        <f t="shared" si="0"/>
        <v>1162860.5</v>
      </c>
    </row>
    <row r="26" ht="16.5" spans="1:12">
      <c r="A26" s="1" t="s">
        <v>300</v>
      </c>
      <c r="B26" s="1" t="s">
        <v>229</v>
      </c>
      <c r="C26" s="1" t="s">
        <v>245</v>
      </c>
      <c r="D26" s="1" t="s">
        <v>283</v>
      </c>
      <c r="E26" s="1" t="s">
        <v>62</v>
      </c>
      <c r="F26" s="2">
        <v>45381</v>
      </c>
      <c r="G26" s="1">
        <v>1800000</v>
      </c>
      <c r="H26" s="1">
        <v>1981633</v>
      </c>
      <c r="I26" s="1" t="s">
        <v>68</v>
      </c>
      <c r="J26" s="1" t="s">
        <v>270</v>
      </c>
      <c r="K26" s="1" t="s">
        <v>98</v>
      </c>
      <c r="L26">
        <f t="shared" si="0"/>
        <v>1890816.5</v>
      </c>
    </row>
    <row r="27" ht="16.5" spans="1:12">
      <c r="A27" s="1" t="s">
        <v>301</v>
      </c>
      <c r="B27" s="1" t="s">
        <v>234</v>
      </c>
      <c r="C27" s="1" t="s">
        <v>242</v>
      </c>
      <c r="D27" s="1" t="s">
        <v>266</v>
      </c>
      <c r="E27" s="1" t="s">
        <v>66</v>
      </c>
      <c r="F27" s="2">
        <v>45309</v>
      </c>
      <c r="G27" s="1">
        <v>460000</v>
      </c>
      <c r="H27" s="1">
        <v>674428</v>
      </c>
      <c r="I27" s="1" t="s">
        <v>69</v>
      </c>
      <c r="J27" s="1" t="s">
        <v>273</v>
      </c>
      <c r="K27" s="1" t="s">
        <v>99</v>
      </c>
      <c r="L27">
        <f t="shared" si="0"/>
        <v>567214</v>
      </c>
    </row>
    <row r="28" ht="16.5" spans="1:12">
      <c r="A28" s="1" t="s">
        <v>302</v>
      </c>
      <c r="B28" s="1" t="s">
        <v>232</v>
      </c>
      <c r="C28" s="1" t="s">
        <v>242</v>
      </c>
      <c r="D28" s="1" t="s">
        <v>287</v>
      </c>
      <c r="E28" s="1" t="s">
        <v>67</v>
      </c>
      <c r="F28" s="2">
        <v>45374</v>
      </c>
      <c r="G28" s="1">
        <v>810000</v>
      </c>
      <c r="H28" s="1">
        <v>1079015</v>
      </c>
      <c r="I28" s="1" t="s">
        <v>70</v>
      </c>
      <c r="J28" s="1" t="s">
        <v>267</v>
      </c>
      <c r="K28" s="1" t="s">
        <v>100</v>
      </c>
      <c r="L28">
        <f t="shared" si="0"/>
        <v>944507.5</v>
      </c>
    </row>
    <row r="29" ht="16.5" spans="1:12">
      <c r="A29" s="1" t="s">
        <v>303</v>
      </c>
      <c r="B29" s="1" t="s">
        <v>234</v>
      </c>
      <c r="C29" s="1" t="s">
        <v>239</v>
      </c>
      <c r="D29" s="1" t="s">
        <v>281</v>
      </c>
      <c r="E29" s="1" t="s">
        <v>60</v>
      </c>
      <c r="F29" s="2">
        <v>45343</v>
      </c>
      <c r="G29" s="1">
        <v>520000</v>
      </c>
      <c r="H29" s="1">
        <v>906669</v>
      </c>
      <c r="I29" s="1" t="s">
        <v>69</v>
      </c>
      <c r="J29" s="1" t="s">
        <v>273</v>
      </c>
      <c r="K29" s="1" t="s">
        <v>101</v>
      </c>
      <c r="L29">
        <f t="shared" si="0"/>
        <v>713334.5</v>
      </c>
    </row>
    <row r="30" ht="16.5" spans="1:12">
      <c r="A30" s="1" t="s">
        <v>304</v>
      </c>
      <c r="B30" s="1" t="s">
        <v>229</v>
      </c>
      <c r="C30" s="1" t="s">
        <v>246</v>
      </c>
      <c r="D30" s="1" t="s">
        <v>272</v>
      </c>
      <c r="E30" s="1" t="s">
        <v>65</v>
      </c>
      <c r="F30" s="2">
        <v>45326</v>
      </c>
      <c r="G30" s="1">
        <v>1750000</v>
      </c>
      <c r="H30" s="1">
        <v>2102999</v>
      </c>
      <c r="I30" s="1" t="s">
        <v>68</v>
      </c>
      <c r="J30" s="1" t="s">
        <v>270</v>
      </c>
      <c r="K30" s="1" t="s">
        <v>102</v>
      </c>
      <c r="L30">
        <f t="shared" si="0"/>
        <v>1926499.5</v>
      </c>
    </row>
    <row r="31" ht="16.5" spans="1:12">
      <c r="A31" s="1" t="s">
        <v>305</v>
      </c>
      <c r="B31" s="1" t="s">
        <v>234</v>
      </c>
      <c r="C31" s="1" t="s">
        <v>245</v>
      </c>
      <c r="D31" s="1" t="s">
        <v>279</v>
      </c>
      <c r="E31" s="1" t="s">
        <v>67</v>
      </c>
      <c r="F31" s="2">
        <v>45376</v>
      </c>
      <c r="G31" s="1">
        <v>530000</v>
      </c>
      <c r="H31" s="1">
        <v>717233</v>
      </c>
      <c r="I31" s="1" t="s">
        <v>69</v>
      </c>
      <c r="J31" s="1" t="s">
        <v>273</v>
      </c>
      <c r="K31" s="1" t="s">
        <v>103</v>
      </c>
      <c r="L31">
        <f t="shared" si="0"/>
        <v>623616.5</v>
      </c>
    </row>
    <row r="32" ht="16.5" spans="1:12">
      <c r="A32" s="1" t="s">
        <v>306</v>
      </c>
      <c r="B32" s="1" t="s">
        <v>234</v>
      </c>
      <c r="C32" s="1" t="s">
        <v>245</v>
      </c>
      <c r="D32" s="1" t="s">
        <v>283</v>
      </c>
      <c r="E32" s="1" t="s">
        <v>61</v>
      </c>
      <c r="F32" s="2">
        <v>45314</v>
      </c>
      <c r="G32" s="1">
        <v>490000</v>
      </c>
      <c r="H32" s="1">
        <v>830497</v>
      </c>
      <c r="I32" s="1" t="s">
        <v>69</v>
      </c>
      <c r="J32" s="1" t="s">
        <v>273</v>
      </c>
      <c r="K32" s="1" t="s">
        <v>104</v>
      </c>
      <c r="L32">
        <f t="shared" si="0"/>
        <v>660248.5</v>
      </c>
    </row>
    <row r="33" ht="16.5" spans="1:12">
      <c r="A33" s="1" t="s">
        <v>307</v>
      </c>
      <c r="B33" s="1" t="s">
        <v>234</v>
      </c>
      <c r="C33" s="1" t="s">
        <v>231</v>
      </c>
      <c r="D33" s="1" t="s">
        <v>277</v>
      </c>
      <c r="E33" s="1" t="s">
        <v>60</v>
      </c>
      <c r="F33" s="2">
        <v>45339</v>
      </c>
      <c r="G33" s="1">
        <v>450000</v>
      </c>
      <c r="H33" s="1">
        <v>778877</v>
      </c>
      <c r="I33" s="1" t="s">
        <v>69</v>
      </c>
      <c r="J33" s="1" t="s">
        <v>267</v>
      </c>
      <c r="K33" s="1" t="s">
        <v>105</v>
      </c>
      <c r="L33">
        <f t="shared" si="0"/>
        <v>614438.5</v>
      </c>
    </row>
    <row r="34" ht="16.5" spans="1:12">
      <c r="A34" s="1" t="s">
        <v>308</v>
      </c>
      <c r="B34" s="1" t="s">
        <v>234</v>
      </c>
      <c r="C34" s="1" t="s">
        <v>237</v>
      </c>
      <c r="D34" s="1" t="s">
        <v>287</v>
      </c>
      <c r="E34" s="1" t="s">
        <v>61</v>
      </c>
      <c r="F34" s="2">
        <v>45304</v>
      </c>
      <c r="G34" s="1">
        <v>520000</v>
      </c>
      <c r="H34" s="1">
        <v>908268</v>
      </c>
      <c r="I34" s="1" t="s">
        <v>69</v>
      </c>
      <c r="J34" s="1" t="s">
        <v>273</v>
      </c>
      <c r="K34" s="1" t="s">
        <v>106</v>
      </c>
      <c r="L34">
        <f t="shared" si="0"/>
        <v>714134</v>
      </c>
    </row>
    <row r="35" ht="16.5" spans="1:12">
      <c r="A35" s="1" t="s">
        <v>309</v>
      </c>
      <c r="B35" s="1" t="s">
        <v>232</v>
      </c>
      <c r="C35" s="1" t="s">
        <v>247</v>
      </c>
      <c r="D35" s="1" t="s">
        <v>279</v>
      </c>
      <c r="E35" s="1" t="s">
        <v>66</v>
      </c>
      <c r="F35" s="2">
        <v>45354</v>
      </c>
      <c r="G35" s="1">
        <v>970000</v>
      </c>
      <c r="H35" s="1">
        <v>1540821</v>
      </c>
      <c r="I35" s="1" t="s">
        <v>70</v>
      </c>
      <c r="J35" s="1" t="s">
        <v>270</v>
      </c>
      <c r="K35" s="1" t="s">
        <v>107</v>
      </c>
      <c r="L35">
        <f t="shared" ref="L35:L66" si="1">AVERAGE(G35:H35)</f>
        <v>1255410.5</v>
      </c>
    </row>
    <row r="36" ht="16.5" spans="1:12">
      <c r="A36" s="1" t="s">
        <v>310</v>
      </c>
      <c r="B36" s="1" t="s">
        <v>234</v>
      </c>
      <c r="C36" s="1" t="s">
        <v>248</v>
      </c>
      <c r="D36" s="1" t="s">
        <v>287</v>
      </c>
      <c r="E36" s="1" t="s">
        <v>63</v>
      </c>
      <c r="F36" s="2">
        <v>45374</v>
      </c>
      <c r="G36" s="1">
        <v>460000</v>
      </c>
      <c r="H36" s="1">
        <v>753531</v>
      </c>
      <c r="I36" s="1" t="s">
        <v>69</v>
      </c>
      <c r="J36" s="1" t="s">
        <v>267</v>
      </c>
      <c r="K36" s="1" t="s">
        <v>108</v>
      </c>
      <c r="L36">
        <f t="shared" si="1"/>
        <v>606765.5</v>
      </c>
    </row>
    <row r="37" ht="16.5" spans="1:12">
      <c r="A37" s="1" t="s">
        <v>311</v>
      </c>
      <c r="B37" s="1" t="s">
        <v>234</v>
      </c>
      <c r="C37" s="1" t="s">
        <v>248</v>
      </c>
      <c r="D37" s="1" t="s">
        <v>272</v>
      </c>
      <c r="E37" s="1" t="s">
        <v>65</v>
      </c>
      <c r="F37" s="2">
        <v>45328</v>
      </c>
      <c r="G37" s="1">
        <v>450000</v>
      </c>
      <c r="H37" s="1">
        <v>708302</v>
      </c>
      <c r="I37" s="1" t="s">
        <v>69</v>
      </c>
      <c r="J37" s="1" t="s">
        <v>273</v>
      </c>
      <c r="K37" s="1" t="s">
        <v>109</v>
      </c>
      <c r="L37">
        <f t="shared" si="1"/>
        <v>579151</v>
      </c>
    </row>
    <row r="38" ht="16.5" spans="1:12">
      <c r="A38" s="1" t="s">
        <v>312</v>
      </c>
      <c r="B38" s="1" t="s">
        <v>232</v>
      </c>
      <c r="C38" s="1" t="s">
        <v>241</v>
      </c>
      <c r="D38" s="1" t="s">
        <v>269</v>
      </c>
      <c r="E38" s="1" t="s">
        <v>65</v>
      </c>
      <c r="F38" s="2">
        <v>45302</v>
      </c>
      <c r="G38" s="1">
        <v>1020000</v>
      </c>
      <c r="H38" s="1">
        <v>1214119</v>
      </c>
      <c r="I38" s="1" t="s">
        <v>70</v>
      </c>
      <c r="J38" s="1" t="s">
        <v>273</v>
      </c>
      <c r="K38" s="1" t="s">
        <v>110</v>
      </c>
      <c r="L38">
        <f t="shared" si="1"/>
        <v>1117059.5</v>
      </c>
    </row>
    <row r="39" ht="16.5" spans="1:12">
      <c r="A39" s="1" t="s">
        <v>313</v>
      </c>
      <c r="B39" s="1" t="s">
        <v>234</v>
      </c>
      <c r="C39" s="1" t="s">
        <v>249</v>
      </c>
      <c r="D39" s="1" t="s">
        <v>279</v>
      </c>
      <c r="E39" s="1" t="s">
        <v>64</v>
      </c>
      <c r="F39" s="2">
        <v>45343</v>
      </c>
      <c r="G39" s="1">
        <v>480000</v>
      </c>
      <c r="H39" s="1">
        <v>647496</v>
      </c>
      <c r="I39" s="1" t="s">
        <v>69</v>
      </c>
      <c r="J39" s="1" t="s">
        <v>273</v>
      </c>
      <c r="K39" s="1" t="s">
        <v>111</v>
      </c>
      <c r="L39">
        <f t="shared" si="1"/>
        <v>563748</v>
      </c>
    </row>
    <row r="40" ht="16.5" spans="1:12">
      <c r="A40" s="1" t="s">
        <v>314</v>
      </c>
      <c r="B40" s="1" t="s">
        <v>232</v>
      </c>
      <c r="C40" s="1" t="s">
        <v>245</v>
      </c>
      <c r="D40" s="1" t="s">
        <v>272</v>
      </c>
      <c r="E40" s="1" t="s">
        <v>61</v>
      </c>
      <c r="F40" s="2">
        <v>45314</v>
      </c>
      <c r="G40" s="1">
        <v>860000</v>
      </c>
      <c r="H40" s="1">
        <v>1276479</v>
      </c>
      <c r="I40" s="1" t="s">
        <v>70</v>
      </c>
      <c r="J40" s="1" t="s">
        <v>273</v>
      </c>
      <c r="K40" s="1" t="s">
        <v>112</v>
      </c>
      <c r="L40">
        <f t="shared" si="1"/>
        <v>1068239.5</v>
      </c>
    </row>
    <row r="41" ht="16.5" spans="1:12">
      <c r="A41" s="1" t="s">
        <v>315</v>
      </c>
      <c r="B41" s="1" t="s">
        <v>234</v>
      </c>
      <c r="C41" s="1" t="s">
        <v>248</v>
      </c>
      <c r="D41" s="1" t="s">
        <v>269</v>
      </c>
      <c r="E41" s="1" t="s">
        <v>58</v>
      </c>
      <c r="F41" s="2">
        <v>45328</v>
      </c>
      <c r="G41" s="1">
        <v>480000</v>
      </c>
      <c r="H41" s="1">
        <v>1077130</v>
      </c>
      <c r="I41" s="1" t="s">
        <v>69</v>
      </c>
      <c r="J41" s="1" t="s">
        <v>267</v>
      </c>
      <c r="K41" s="1" t="s">
        <v>113</v>
      </c>
      <c r="L41">
        <f t="shared" si="1"/>
        <v>778565</v>
      </c>
    </row>
    <row r="42" ht="16.5" spans="1:12">
      <c r="A42" s="1" t="s">
        <v>316</v>
      </c>
      <c r="B42" s="1" t="s">
        <v>232</v>
      </c>
      <c r="C42" s="1" t="s">
        <v>231</v>
      </c>
      <c r="D42" s="1" t="s">
        <v>283</v>
      </c>
      <c r="E42" s="1" t="s">
        <v>67</v>
      </c>
      <c r="F42" s="2">
        <v>45295</v>
      </c>
      <c r="G42" s="1">
        <v>820000</v>
      </c>
      <c r="H42" s="1">
        <v>1386179</v>
      </c>
      <c r="I42" s="1" t="s">
        <v>70</v>
      </c>
      <c r="J42" s="1" t="s">
        <v>270</v>
      </c>
      <c r="K42" s="1" t="s">
        <v>114</v>
      </c>
      <c r="L42">
        <f t="shared" si="1"/>
        <v>1103089.5</v>
      </c>
    </row>
    <row r="43" ht="16.5" spans="1:12">
      <c r="A43" s="1" t="s">
        <v>317</v>
      </c>
      <c r="B43" s="1" t="s">
        <v>232</v>
      </c>
      <c r="C43" s="1" t="s">
        <v>247</v>
      </c>
      <c r="D43" s="1" t="s">
        <v>272</v>
      </c>
      <c r="E43" s="1" t="s">
        <v>61</v>
      </c>
      <c r="F43" s="2">
        <v>45296</v>
      </c>
      <c r="G43" s="1">
        <v>1010000</v>
      </c>
      <c r="H43" s="1">
        <v>1119184</v>
      </c>
      <c r="I43" s="1" t="s">
        <v>70</v>
      </c>
      <c r="J43" s="1" t="s">
        <v>270</v>
      </c>
      <c r="K43" s="1" t="s">
        <v>115</v>
      </c>
      <c r="L43">
        <f t="shared" si="1"/>
        <v>1064592</v>
      </c>
    </row>
    <row r="44" ht="16.5" spans="1:12">
      <c r="A44" s="1" t="s">
        <v>318</v>
      </c>
      <c r="B44" s="1" t="s">
        <v>234</v>
      </c>
      <c r="C44" s="1" t="s">
        <v>235</v>
      </c>
      <c r="D44" s="1" t="s">
        <v>281</v>
      </c>
      <c r="E44" s="1" t="s">
        <v>66</v>
      </c>
      <c r="F44" s="2">
        <v>45336</v>
      </c>
      <c r="G44" s="1">
        <v>540000</v>
      </c>
      <c r="H44" s="1">
        <v>689583</v>
      </c>
      <c r="I44" s="1" t="s">
        <v>69</v>
      </c>
      <c r="J44" s="1" t="s">
        <v>273</v>
      </c>
      <c r="K44" s="1" t="s">
        <v>116</v>
      </c>
      <c r="L44">
        <f t="shared" si="1"/>
        <v>614791.5</v>
      </c>
    </row>
    <row r="45" ht="16.5" spans="1:12">
      <c r="A45" s="1" t="s">
        <v>319</v>
      </c>
      <c r="B45" s="1" t="s">
        <v>232</v>
      </c>
      <c r="C45" s="1" t="s">
        <v>237</v>
      </c>
      <c r="D45" s="1" t="s">
        <v>269</v>
      </c>
      <c r="E45" s="1" t="s">
        <v>67</v>
      </c>
      <c r="F45" s="2">
        <v>45357</v>
      </c>
      <c r="G45" s="1">
        <v>820000</v>
      </c>
      <c r="H45" s="1">
        <v>960126</v>
      </c>
      <c r="I45" s="1" t="s">
        <v>70</v>
      </c>
      <c r="J45" s="1" t="s">
        <v>270</v>
      </c>
      <c r="K45" s="1" t="s">
        <v>117</v>
      </c>
      <c r="L45">
        <f t="shared" si="1"/>
        <v>890063</v>
      </c>
    </row>
    <row r="46" ht="16.5" spans="1:12">
      <c r="A46" s="1" t="s">
        <v>320</v>
      </c>
      <c r="B46" s="1" t="s">
        <v>232</v>
      </c>
      <c r="C46" s="1" t="s">
        <v>249</v>
      </c>
      <c r="D46" s="1" t="s">
        <v>283</v>
      </c>
      <c r="E46" s="1" t="s">
        <v>66</v>
      </c>
      <c r="F46" s="2">
        <v>45316</v>
      </c>
      <c r="G46" s="1">
        <v>1010000</v>
      </c>
      <c r="H46" s="1">
        <v>1121735</v>
      </c>
      <c r="I46" s="1" t="s">
        <v>70</v>
      </c>
      <c r="J46" s="1" t="s">
        <v>270</v>
      </c>
      <c r="K46" s="1" t="s">
        <v>118</v>
      </c>
      <c r="L46">
        <f t="shared" si="1"/>
        <v>1065867.5</v>
      </c>
    </row>
    <row r="47" ht="16.5" spans="1:12">
      <c r="A47" s="1" t="s">
        <v>321</v>
      </c>
      <c r="B47" s="1" t="s">
        <v>229</v>
      </c>
      <c r="C47" s="1" t="s">
        <v>239</v>
      </c>
      <c r="D47" s="1" t="s">
        <v>287</v>
      </c>
      <c r="E47" s="1" t="s">
        <v>62</v>
      </c>
      <c r="F47" s="2">
        <v>45347</v>
      </c>
      <c r="G47" s="1">
        <v>1960000</v>
      </c>
      <c r="H47" s="1">
        <v>2507869</v>
      </c>
      <c r="I47" s="1" t="s">
        <v>68</v>
      </c>
      <c r="J47" s="1" t="s">
        <v>273</v>
      </c>
      <c r="K47" s="1" t="s">
        <v>119</v>
      </c>
      <c r="L47">
        <f t="shared" si="1"/>
        <v>2233934.5</v>
      </c>
    </row>
    <row r="48" ht="16.5" spans="1:12">
      <c r="A48" s="1" t="s">
        <v>322</v>
      </c>
      <c r="B48" s="1" t="s">
        <v>229</v>
      </c>
      <c r="C48" s="1" t="s">
        <v>239</v>
      </c>
      <c r="D48" s="1" t="s">
        <v>287</v>
      </c>
      <c r="E48" s="1" t="s">
        <v>67</v>
      </c>
      <c r="F48" s="2">
        <v>45294</v>
      </c>
      <c r="G48" s="1">
        <v>1440000</v>
      </c>
      <c r="H48" s="1">
        <v>1856996</v>
      </c>
      <c r="I48" s="1" t="s">
        <v>68</v>
      </c>
      <c r="J48" s="1" t="s">
        <v>273</v>
      </c>
      <c r="K48" s="1" t="s">
        <v>120</v>
      </c>
      <c r="L48">
        <f t="shared" si="1"/>
        <v>1648498</v>
      </c>
    </row>
    <row r="49" ht="16.5" spans="1:12">
      <c r="A49" s="1" t="s">
        <v>323</v>
      </c>
      <c r="B49" s="1" t="s">
        <v>232</v>
      </c>
      <c r="C49" s="1" t="s">
        <v>240</v>
      </c>
      <c r="D49" s="1" t="s">
        <v>283</v>
      </c>
      <c r="E49" s="1" t="s">
        <v>58</v>
      </c>
      <c r="F49" s="2">
        <v>45300</v>
      </c>
      <c r="G49" s="1">
        <v>960000</v>
      </c>
      <c r="H49" s="1">
        <v>1110933</v>
      </c>
      <c r="I49" s="1" t="s">
        <v>70</v>
      </c>
      <c r="J49" s="1" t="s">
        <v>270</v>
      </c>
      <c r="K49" s="1" t="s">
        <v>121</v>
      </c>
      <c r="L49">
        <f t="shared" si="1"/>
        <v>1035466.5</v>
      </c>
    </row>
    <row r="50" ht="16.5" spans="1:12">
      <c r="A50" s="1" t="s">
        <v>324</v>
      </c>
      <c r="B50" s="1" t="s">
        <v>229</v>
      </c>
      <c r="C50" s="1" t="s">
        <v>244</v>
      </c>
      <c r="D50" s="1" t="s">
        <v>277</v>
      </c>
      <c r="E50" s="1" t="s">
        <v>58</v>
      </c>
      <c r="F50" s="2">
        <v>45332</v>
      </c>
      <c r="G50" s="1">
        <v>1840000</v>
      </c>
      <c r="H50" s="1">
        <v>2272803</v>
      </c>
      <c r="I50" s="1" t="s">
        <v>68</v>
      </c>
      <c r="J50" s="1" t="s">
        <v>273</v>
      </c>
      <c r="K50" s="1" t="s">
        <v>122</v>
      </c>
      <c r="L50">
        <f t="shared" si="1"/>
        <v>2056401.5</v>
      </c>
    </row>
    <row r="51" ht="16.5" spans="1:12">
      <c r="A51" s="1" t="s">
        <v>325</v>
      </c>
      <c r="B51" s="1" t="s">
        <v>229</v>
      </c>
      <c r="C51" s="1" t="s">
        <v>250</v>
      </c>
      <c r="D51" s="1" t="s">
        <v>277</v>
      </c>
      <c r="E51" s="1" t="s">
        <v>60</v>
      </c>
      <c r="F51" s="2">
        <v>45365</v>
      </c>
      <c r="G51" s="1">
        <v>1920000</v>
      </c>
      <c r="H51" s="1">
        <v>2130434</v>
      </c>
      <c r="I51" s="1" t="s">
        <v>68</v>
      </c>
      <c r="J51" s="1" t="s">
        <v>267</v>
      </c>
      <c r="K51" s="1" t="s">
        <v>123</v>
      </c>
      <c r="L51">
        <f t="shared" si="1"/>
        <v>2025217</v>
      </c>
    </row>
    <row r="52" ht="16.5" spans="1:12">
      <c r="A52" s="1" t="s">
        <v>326</v>
      </c>
      <c r="B52" s="1" t="s">
        <v>234</v>
      </c>
      <c r="C52" s="1" t="s">
        <v>240</v>
      </c>
      <c r="D52" s="1" t="s">
        <v>287</v>
      </c>
      <c r="E52" s="1" t="s">
        <v>60</v>
      </c>
      <c r="F52" s="2">
        <v>45295</v>
      </c>
      <c r="G52" s="1">
        <v>450000</v>
      </c>
      <c r="H52" s="1">
        <v>942173</v>
      </c>
      <c r="I52" s="1" t="s">
        <v>69</v>
      </c>
      <c r="J52" s="1" t="s">
        <v>267</v>
      </c>
      <c r="K52" s="1" t="s">
        <v>124</v>
      </c>
      <c r="L52">
        <f t="shared" si="1"/>
        <v>696086.5</v>
      </c>
    </row>
    <row r="53" ht="16.5" spans="1:12">
      <c r="A53" s="1" t="s">
        <v>327</v>
      </c>
      <c r="B53" s="1" t="s">
        <v>229</v>
      </c>
      <c r="C53" s="1" t="s">
        <v>241</v>
      </c>
      <c r="D53" s="1" t="s">
        <v>287</v>
      </c>
      <c r="E53" s="1" t="s">
        <v>66</v>
      </c>
      <c r="F53" s="2">
        <v>45322</v>
      </c>
      <c r="G53" s="1">
        <v>1850000</v>
      </c>
      <c r="H53" s="1">
        <v>2167785</v>
      </c>
      <c r="I53" s="1" t="s">
        <v>68</v>
      </c>
      <c r="J53" s="1" t="s">
        <v>273</v>
      </c>
      <c r="K53" s="1" t="s">
        <v>125</v>
      </c>
      <c r="L53">
        <f t="shared" si="1"/>
        <v>2008892.5</v>
      </c>
    </row>
    <row r="54" ht="16.5" spans="1:12">
      <c r="A54" s="1" t="s">
        <v>328</v>
      </c>
      <c r="B54" s="1" t="s">
        <v>234</v>
      </c>
      <c r="C54" s="1" t="s">
        <v>250</v>
      </c>
      <c r="D54" s="1" t="s">
        <v>272</v>
      </c>
      <c r="E54" s="1" t="s">
        <v>64</v>
      </c>
      <c r="F54" s="2">
        <v>45312</v>
      </c>
      <c r="G54" s="1">
        <v>420000</v>
      </c>
      <c r="H54" s="1">
        <v>727486</v>
      </c>
      <c r="I54" s="1" t="s">
        <v>69</v>
      </c>
      <c r="J54" s="1" t="s">
        <v>270</v>
      </c>
      <c r="K54" s="1" t="s">
        <v>126</v>
      </c>
      <c r="L54">
        <f t="shared" si="1"/>
        <v>573743</v>
      </c>
    </row>
    <row r="55" ht="16.5" spans="1:12">
      <c r="A55" s="1" t="s">
        <v>329</v>
      </c>
      <c r="B55" s="1" t="s">
        <v>232</v>
      </c>
      <c r="C55" s="1" t="s">
        <v>241</v>
      </c>
      <c r="D55" s="1" t="s">
        <v>281</v>
      </c>
      <c r="E55" s="1" t="s">
        <v>58</v>
      </c>
      <c r="F55" s="2">
        <v>45360</v>
      </c>
      <c r="G55" s="1">
        <v>910000</v>
      </c>
      <c r="H55" s="1">
        <v>1229246</v>
      </c>
      <c r="I55" s="1" t="s">
        <v>70</v>
      </c>
      <c r="J55" s="1" t="s">
        <v>273</v>
      </c>
      <c r="K55" s="1" t="s">
        <v>127</v>
      </c>
      <c r="L55">
        <f t="shared" si="1"/>
        <v>1069623</v>
      </c>
    </row>
    <row r="56" ht="16.5" spans="1:12">
      <c r="A56" s="1" t="s">
        <v>330</v>
      </c>
      <c r="B56" s="1" t="s">
        <v>232</v>
      </c>
      <c r="C56" s="1" t="s">
        <v>251</v>
      </c>
      <c r="D56" s="1" t="s">
        <v>287</v>
      </c>
      <c r="E56" s="1" t="s">
        <v>64</v>
      </c>
      <c r="F56" s="2">
        <v>45334</v>
      </c>
      <c r="G56" s="1">
        <v>950000</v>
      </c>
      <c r="H56" s="1">
        <v>1483134</v>
      </c>
      <c r="I56" s="1" t="s">
        <v>70</v>
      </c>
      <c r="J56" s="1" t="s">
        <v>273</v>
      </c>
      <c r="K56" s="1" t="s">
        <v>128</v>
      </c>
      <c r="L56">
        <f t="shared" si="1"/>
        <v>1216567</v>
      </c>
    </row>
    <row r="57" ht="16.5" spans="1:12">
      <c r="A57" s="1" t="s">
        <v>331</v>
      </c>
      <c r="B57" s="1" t="s">
        <v>229</v>
      </c>
      <c r="C57" s="1" t="s">
        <v>240</v>
      </c>
      <c r="D57" s="1" t="s">
        <v>269</v>
      </c>
      <c r="E57" s="1" t="s">
        <v>66</v>
      </c>
      <c r="F57" s="2">
        <v>45371</v>
      </c>
      <c r="G57" s="1">
        <v>2080000</v>
      </c>
      <c r="H57" s="1">
        <v>2399204</v>
      </c>
      <c r="I57" s="1" t="s">
        <v>68</v>
      </c>
      <c r="J57" s="1" t="s">
        <v>270</v>
      </c>
      <c r="K57" s="1" t="s">
        <v>129</v>
      </c>
      <c r="L57">
        <f t="shared" si="1"/>
        <v>2239602</v>
      </c>
    </row>
    <row r="58" ht="16.5" spans="1:12">
      <c r="A58" s="1" t="s">
        <v>332</v>
      </c>
      <c r="B58" s="1" t="s">
        <v>229</v>
      </c>
      <c r="C58" s="1" t="s">
        <v>245</v>
      </c>
      <c r="D58" s="1" t="s">
        <v>277</v>
      </c>
      <c r="E58" s="1" t="s">
        <v>60</v>
      </c>
      <c r="F58" s="2">
        <v>45364</v>
      </c>
      <c r="G58" s="1">
        <v>1820000</v>
      </c>
      <c r="H58" s="1">
        <v>2415708</v>
      </c>
      <c r="I58" s="1" t="s">
        <v>68</v>
      </c>
      <c r="J58" s="1" t="s">
        <v>270</v>
      </c>
      <c r="K58" s="1" t="s">
        <v>130</v>
      </c>
      <c r="L58">
        <f t="shared" si="1"/>
        <v>2117854</v>
      </c>
    </row>
    <row r="59" ht="16.5" spans="1:12">
      <c r="A59" s="1" t="s">
        <v>333</v>
      </c>
      <c r="B59" s="1" t="s">
        <v>234</v>
      </c>
      <c r="C59" s="1" t="s">
        <v>249</v>
      </c>
      <c r="D59" s="1" t="s">
        <v>287</v>
      </c>
      <c r="E59" s="1" t="s">
        <v>59</v>
      </c>
      <c r="F59" s="2">
        <v>45317</v>
      </c>
      <c r="G59" s="1">
        <v>500000</v>
      </c>
      <c r="H59" s="1">
        <v>889437</v>
      </c>
      <c r="I59" s="1" t="s">
        <v>69</v>
      </c>
      <c r="J59" s="1" t="s">
        <v>273</v>
      </c>
      <c r="K59" s="1" t="s">
        <v>131</v>
      </c>
      <c r="L59">
        <f t="shared" si="1"/>
        <v>694718.5</v>
      </c>
    </row>
    <row r="60" ht="16.5" spans="1:12">
      <c r="A60" s="1" t="s">
        <v>334</v>
      </c>
      <c r="B60" s="1" t="s">
        <v>234</v>
      </c>
      <c r="C60" s="1" t="s">
        <v>240</v>
      </c>
      <c r="D60" s="1" t="s">
        <v>269</v>
      </c>
      <c r="E60" s="1" t="s">
        <v>60</v>
      </c>
      <c r="F60" s="2">
        <v>45356</v>
      </c>
      <c r="G60" s="1">
        <v>450000</v>
      </c>
      <c r="H60" s="1">
        <v>852829</v>
      </c>
      <c r="I60" s="1" t="s">
        <v>69</v>
      </c>
      <c r="J60" s="1" t="s">
        <v>270</v>
      </c>
      <c r="K60" s="1" t="s">
        <v>132</v>
      </c>
      <c r="L60">
        <f t="shared" si="1"/>
        <v>651414.5</v>
      </c>
    </row>
    <row r="61" ht="16.5" spans="1:12">
      <c r="A61" s="1" t="s">
        <v>335</v>
      </c>
      <c r="B61" s="1" t="s">
        <v>234</v>
      </c>
      <c r="C61" s="1" t="s">
        <v>240</v>
      </c>
      <c r="D61" s="1" t="s">
        <v>269</v>
      </c>
      <c r="E61" s="1" t="s">
        <v>62</v>
      </c>
      <c r="F61" s="2">
        <v>45345</v>
      </c>
      <c r="G61" s="1">
        <v>460000</v>
      </c>
      <c r="H61" s="1">
        <v>802332</v>
      </c>
      <c r="I61" s="1" t="s">
        <v>69</v>
      </c>
      <c r="J61" s="1" t="s">
        <v>273</v>
      </c>
      <c r="K61" s="1" t="s">
        <v>133</v>
      </c>
      <c r="L61">
        <f t="shared" si="1"/>
        <v>631166</v>
      </c>
    </row>
    <row r="62" ht="16.5" spans="1:12">
      <c r="A62" s="1" t="s">
        <v>336</v>
      </c>
      <c r="B62" s="1" t="s">
        <v>229</v>
      </c>
      <c r="C62" s="1" t="s">
        <v>236</v>
      </c>
      <c r="D62" s="1" t="s">
        <v>277</v>
      </c>
      <c r="E62" s="1" t="s">
        <v>59</v>
      </c>
      <c r="F62" s="2">
        <v>45357</v>
      </c>
      <c r="G62" s="1">
        <v>1420000</v>
      </c>
      <c r="H62" s="1">
        <v>1749911</v>
      </c>
      <c r="I62" s="1" t="s">
        <v>68</v>
      </c>
      <c r="J62" s="1" t="s">
        <v>270</v>
      </c>
      <c r="K62" s="1" t="s">
        <v>134</v>
      </c>
      <c r="L62">
        <f t="shared" si="1"/>
        <v>1584955.5</v>
      </c>
    </row>
    <row r="63" ht="16.5" spans="1:12">
      <c r="A63" s="1" t="s">
        <v>337</v>
      </c>
      <c r="B63" s="1" t="s">
        <v>234</v>
      </c>
      <c r="C63" s="1" t="s">
        <v>247</v>
      </c>
      <c r="D63" s="1" t="s">
        <v>287</v>
      </c>
      <c r="E63" s="1" t="s">
        <v>58</v>
      </c>
      <c r="F63" s="2">
        <v>45376</v>
      </c>
      <c r="G63" s="1">
        <v>430000</v>
      </c>
      <c r="H63" s="1">
        <v>974108</v>
      </c>
      <c r="I63" s="1" t="s">
        <v>69</v>
      </c>
      <c r="J63" s="1" t="s">
        <v>273</v>
      </c>
      <c r="K63" s="1" t="s">
        <v>135</v>
      </c>
      <c r="L63">
        <f t="shared" si="1"/>
        <v>702054</v>
      </c>
    </row>
    <row r="64" ht="16.5" spans="1:12">
      <c r="A64" s="1" t="s">
        <v>338</v>
      </c>
      <c r="B64" s="1" t="s">
        <v>234</v>
      </c>
      <c r="C64" s="1" t="s">
        <v>237</v>
      </c>
      <c r="D64" s="1" t="s">
        <v>277</v>
      </c>
      <c r="E64" s="1" t="s">
        <v>58</v>
      </c>
      <c r="F64" s="2">
        <v>45335</v>
      </c>
      <c r="G64" s="1">
        <v>460000</v>
      </c>
      <c r="H64" s="1">
        <v>610921</v>
      </c>
      <c r="I64" s="1" t="s">
        <v>69</v>
      </c>
      <c r="J64" s="1" t="s">
        <v>273</v>
      </c>
      <c r="K64" s="1" t="s">
        <v>136</v>
      </c>
      <c r="L64">
        <f t="shared" si="1"/>
        <v>535460.5</v>
      </c>
    </row>
    <row r="65" ht="16.5" spans="1:12">
      <c r="A65" s="1" t="s">
        <v>339</v>
      </c>
      <c r="B65" s="1" t="s">
        <v>229</v>
      </c>
      <c r="C65" s="1" t="s">
        <v>246</v>
      </c>
      <c r="D65" s="1" t="s">
        <v>266</v>
      </c>
      <c r="E65" s="1" t="s">
        <v>60</v>
      </c>
      <c r="F65" s="2">
        <v>45295</v>
      </c>
      <c r="G65" s="1">
        <v>1670000</v>
      </c>
      <c r="H65" s="1">
        <v>2067916</v>
      </c>
      <c r="I65" s="1" t="s">
        <v>68</v>
      </c>
      <c r="J65" s="1" t="s">
        <v>267</v>
      </c>
      <c r="K65" s="1" t="s">
        <v>137</v>
      </c>
      <c r="L65">
        <f t="shared" si="1"/>
        <v>1868958</v>
      </c>
    </row>
    <row r="66" ht="16.5" spans="1:12">
      <c r="A66" s="1" t="s">
        <v>340</v>
      </c>
      <c r="B66" s="1" t="s">
        <v>229</v>
      </c>
      <c r="C66" s="1" t="s">
        <v>240</v>
      </c>
      <c r="D66" s="1" t="s">
        <v>287</v>
      </c>
      <c r="E66" s="1" t="s">
        <v>67</v>
      </c>
      <c r="F66" s="2">
        <v>45380</v>
      </c>
      <c r="G66" s="1">
        <v>1700000</v>
      </c>
      <c r="H66" s="1">
        <v>1960779</v>
      </c>
      <c r="I66" s="1" t="s">
        <v>68</v>
      </c>
      <c r="J66" s="1" t="s">
        <v>267</v>
      </c>
      <c r="K66" s="1" t="s">
        <v>138</v>
      </c>
      <c r="L66">
        <f t="shared" si="1"/>
        <v>1830389.5</v>
      </c>
    </row>
    <row r="67" ht="16.5" spans="1:12">
      <c r="A67" s="1" t="s">
        <v>341</v>
      </c>
      <c r="B67" s="1" t="s">
        <v>232</v>
      </c>
      <c r="C67" s="1" t="s">
        <v>242</v>
      </c>
      <c r="D67" s="1" t="s">
        <v>283</v>
      </c>
      <c r="E67" s="1" t="s">
        <v>62</v>
      </c>
      <c r="F67" s="2">
        <v>45366</v>
      </c>
      <c r="G67" s="1">
        <v>930000</v>
      </c>
      <c r="H67" s="1">
        <v>1363846</v>
      </c>
      <c r="I67" s="1" t="s">
        <v>70</v>
      </c>
      <c r="J67" s="1" t="s">
        <v>267</v>
      </c>
      <c r="K67" s="1" t="s">
        <v>139</v>
      </c>
      <c r="L67">
        <f t="shared" ref="L67:L98" si="2">AVERAGE(G67:H67)</f>
        <v>1146923</v>
      </c>
    </row>
    <row r="68" ht="16.5" spans="1:12">
      <c r="A68" s="1" t="s">
        <v>342</v>
      </c>
      <c r="B68" s="1" t="s">
        <v>229</v>
      </c>
      <c r="C68" s="1" t="s">
        <v>231</v>
      </c>
      <c r="D68" s="1" t="s">
        <v>277</v>
      </c>
      <c r="E68" s="1" t="s">
        <v>62</v>
      </c>
      <c r="F68" s="2">
        <v>45339</v>
      </c>
      <c r="G68" s="1">
        <v>1940000</v>
      </c>
      <c r="H68" s="1">
        <v>2252779</v>
      </c>
      <c r="I68" s="1" t="s">
        <v>68</v>
      </c>
      <c r="J68" s="1" t="s">
        <v>273</v>
      </c>
      <c r="K68" s="1" t="s">
        <v>140</v>
      </c>
      <c r="L68">
        <f t="shared" si="2"/>
        <v>2096389.5</v>
      </c>
    </row>
    <row r="69" ht="16.5" spans="1:12">
      <c r="A69" s="1" t="s">
        <v>343</v>
      </c>
      <c r="B69" s="1" t="s">
        <v>232</v>
      </c>
      <c r="C69" s="1" t="s">
        <v>240</v>
      </c>
      <c r="D69" s="1" t="s">
        <v>283</v>
      </c>
      <c r="E69" s="1" t="s">
        <v>59</v>
      </c>
      <c r="F69" s="2">
        <v>45320</v>
      </c>
      <c r="G69" s="1">
        <v>890000</v>
      </c>
      <c r="H69" s="1">
        <v>1243754</v>
      </c>
      <c r="I69" s="1" t="s">
        <v>70</v>
      </c>
      <c r="J69" s="1" t="s">
        <v>267</v>
      </c>
      <c r="K69" s="1" t="s">
        <v>141</v>
      </c>
      <c r="L69">
        <f t="shared" si="2"/>
        <v>1066877</v>
      </c>
    </row>
    <row r="70" ht="16.5" spans="1:12">
      <c r="A70" s="1" t="s">
        <v>344</v>
      </c>
      <c r="B70" s="1" t="s">
        <v>229</v>
      </c>
      <c r="C70" s="1" t="s">
        <v>241</v>
      </c>
      <c r="D70" s="1" t="s">
        <v>279</v>
      </c>
      <c r="E70" s="1" t="s">
        <v>59</v>
      </c>
      <c r="F70" s="2">
        <v>45317</v>
      </c>
      <c r="G70" s="1">
        <v>1600000</v>
      </c>
      <c r="H70" s="1">
        <v>1886909</v>
      </c>
      <c r="I70" s="1" t="s">
        <v>68</v>
      </c>
      <c r="J70" s="1" t="s">
        <v>273</v>
      </c>
      <c r="K70" s="1" t="s">
        <v>142</v>
      </c>
      <c r="L70">
        <f t="shared" si="2"/>
        <v>1743454.5</v>
      </c>
    </row>
    <row r="71" ht="16.5" spans="1:12">
      <c r="A71" s="1" t="s">
        <v>345</v>
      </c>
      <c r="B71" s="1" t="s">
        <v>232</v>
      </c>
      <c r="C71" s="1" t="s">
        <v>247</v>
      </c>
      <c r="D71" s="1" t="s">
        <v>281</v>
      </c>
      <c r="E71" s="1" t="s">
        <v>67</v>
      </c>
      <c r="F71" s="2">
        <v>45349</v>
      </c>
      <c r="G71" s="1">
        <v>1060000</v>
      </c>
      <c r="H71" s="1">
        <v>1195230</v>
      </c>
      <c r="I71" s="1" t="s">
        <v>70</v>
      </c>
      <c r="J71" s="1" t="s">
        <v>270</v>
      </c>
      <c r="K71" s="1" t="s">
        <v>143</v>
      </c>
      <c r="L71">
        <f t="shared" si="2"/>
        <v>1127615</v>
      </c>
    </row>
    <row r="72" ht="16.5" spans="1:12">
      <c r="A72" s="1" t="s">
        <v>346</v>
      </c>
      <c r="B72" s="1" t="s">
        <v>229</v>
      </c>
      <c r="C72" s="1" t="s">
        <v>245</v>
      </c>
      <c r="D72" s="1" t="s">
        <v>281</v>
      </c>
      <c r="E72" s="1" t="s">
        <v>61</v>
      </c>
      <c r="F72" s="2">
        <v>45327</v>
      </c>
      <c r="G72" s="1">
        <v>1590000</v>
      </c>
      <c r="H72" s="1">
        <v>2051600</v>
      </c>
      <c r="I72" s="1" t="s">
        <v>68</v>
      </c>
      <c r="J72" s="1" t="s">
        <v>267</v>
      </c>
      <c r="K72" s="1" t="s">
        <v>144</v>
      </c>
      <c r="L72">
        <f t="shared" si="2"/>
        <v>1820800</v>
      </c>
    </row>
    <row r="73" ht="16.5" spans="1:12">
      <c r="A73" s="1" t="s">
        <v>347</v>
      </c>
      <c r="B73" s="1" t="s">
        <v>229</v>
      </c>
      <c r="C73" s="1" t="s">
        <v>237</v>
      </c>
      <c r="D73" s="1" t="s">
        <v>279</v>
      </c>
      <c r="E73" s="1" t="s">
        <v>59</v>
      </c>
      <c r="F73" s="2">
        <v>45304</v>
      </c>
      <c r="G73" s="1">
        <v>1710000</v>
      </c>
      <c r="H73" s="1">
        <v>1841910</v>
      </c>
      <c r="I73" s="1" t="s">
        <v>68</v>
      </c>
      <c r="J73" s="1" t="s">
        <v>270</v>
      </c>
      <c r="K73" s="1" t="s">
        <v>145</v>
      </c>
      <c r="L73">
        <f t="shared" si="2"/>
        <v>1775955</v>
      </c>
    </row>
    <row r="74" ht="16.5" spans="1:12">
      <c r="A74" s="1" t="s">
        <v>348</v>
      </c>
      <c r="B74" s="1" t="s">
        <v>234</v>
      </c>
      <c r="C74" s="1" t="s">
        <v>246</v>
      </c>
      <c r="D74" s="1" t="s">
        <v>279</v>
      </c>
      <c r="E74" s="1" t="s">
        <v>64</v>
      </c>
      <c r="F74" s="2">
        <v>45354</v>
      </c>
      <c r="G74" s="1">
        <v>520000</v>
      </c>
      <c r="H74" s="1">
        <v>681030</v>
      </c>
      <c r="I74" s="1" t="s">
        <v>69</v>
      </c>
      <c r="J74" s="1" t="s">
        <v>273</v>
      </c>
      <c r="K74" s="1" t="s">
        <v>146</v>
      </c>
      <c r="L74">
        <f t="shared" si="2"/>
        <v>600515</v>
      </c>
    </row>
    <row r="75" ht="16.5" spans="1:12">
      <c r="A75" s="1" t="s">
        <v>349</v>
      </c>
      <c r="B75" s="1" t="s">
        <v>234</v>
      </c>
      <c r="C75" s="1" t="s">
        <v>237</v>
      </c>
      <c r="D75" s="1" t="s">
        <v>287</v>
      </c>
      <c r="E75" s="1" t="s">
        <v>62</v>
      </c>
      <c r="F75" s="2">
        <v>45326</v>
      </c>
      <c r="G75" s="1">
        <v>510000</v>
      </c>
      <c r="H75" s="1">
        <v>1017579</v>
      </c>
      <c r="I75" s="1" t="s">
        <v>69</v>
      </c>
      <c r="J75" s="1" t="s">
        <v>273</v>
      </c>
      <c r="K75" s="1" t="s">
        <v>147</v>
      </c>
      <c r="L75">
        <f t="shared" si="2"/>
        <v>763789.5</v>
      </c>
    </row>
    <row r="76" ht="16.5" spans="1:12">
      <c r="A76" s="1" t="s">
        <v>350</v>
      </c>
      <c r="B76" s="1" t="s">
        <v>232</v>
      </c>
      <c r="C76" s="1" t="s">
        <v>251</v>
      </c>
      <c r="D76" s="1" t="s">
        <v>277</v>
      </c>
      <c r="E76" s="1" t="s">
        <v>61</v>
      </c>
      <c r="F76" s="2">
        <v>45356</v>
      </c>
      <c r="G76" s="1">
        <v>1060000</v>
      </c>
      <c r="H76" s="1">
        <v>1308769</v>
      </c>
      <c r="I76" s="1" t="s">
        <v>70</v>
      </c>
      <c r="J76" s="1" t="s">
        <v>273</v>
      </c>
      <c r="K76" s="1" t="s">
        <v>148</v>
      </c>
      <c r="L76">
        <f t="shared" si="2"/>
        <v>1184384.5</v>
      </c>
    </row>
    <row r="77" ht="16.5" spans="1:12">
      <c r="A77" s="1" t="s">
        <v>351</v>
      </c>
      <c r="B77" s="1" t="s">
        <v>232</v>
      </c>
      <c r="C77" s="1" t="s">
        <v>230</v>
      </c>
      <c r="D77" s="1" t="s">
        <v>269</v>
      </c>
      <c r="E77" s="1" t="s">
        <v>60</v>
      </c>
      <c r="F77" s="2">
        <v>45378</v>
      </c>
      <c r="G77" s="1">
        <v>800000</v>
      </c>
      <c r="H77" s="1">
        <v>1067356</v>
      </c>
      <c r="I77" s="1" t="s">
        <v>70</v>
      </c>
      <c r="J77" s="1" t="s">
        <v>273</v>
      </c>
      <c r="K77" s="1" t="s">
        <v>149</v>
      </c>
      <c r="L77">
        <f t="shared" si="2"/>
        <v>933678</v>
      </c>
    </row>
    <row r="78" ht="16.5" spans="1:12">
      <c r="A78" s="1" t="s">
        <v>352</v>
      </c>
      <c r="B78" s="1" t="s">
        <v>229</v>
      </c>
      <c r="C78" s="1" t="s">
        <v>237</v>
      </c>
      <c r="D78" s="1" t="s">
        <v>283</v>
      </c>
      <c r="E78" s="1" t="s">
        <v>62</v>
      </c>
      <c r="F78" s="2">
        <v>45331</v>
      </c>
      <c r="G78" s="1">
        <v>1960000</v>
      </c>
      <c r="H78" s="1">
        <v>2491257</v>
      </c>
      <c r="I78" s="1" t="s">
        <v>68</v>
      </c>
      <c r="J78" s="1" t="s">
        <v>270</v>
      </c>
      <c r="K78" s="1" t="s">
        <v>150</v>
      </c>
      <c r="L78">
        <f t="shared" si="2"/>
        <v>2225628.5</v>
      </c>
    </row>
    <row r="79" ht="16.5" spans="1:12">
      <c r="A79" s="1" t="s">
        <v>353</v>
      </c>
      <c r="B79" s="1" t="s">
        <v>232</v>
      </c>
      <c r="C79" s="1" t="s">
        <v>231</v>
      </c>
      <c r="D79" s="1" t="s">
        <v>287</v>
      </c>
      <c r="E79" s="1" t="s">
        <v>66</v>
      </c>
      <c r="F79" s="2">
        <v>45316</v>
      </c>
      <c r="G79" s="1">
        <v>850000</v>
      </c>
      <c r="H79" s="1">
        <v>1309004</v>
      </c>
      <c r="I79" s="1" t="s">
        <v>70</v>
      </c>
      <c r="J79" s="1" t="s">
        <v>273</v>
      </c>
      <c r="K79" s="1" t="s">
        <v>151</v>
      </c>
      <c r="L79">
        <f t="shared" si="2"/>
        <v>1079502</v>
      </c>
    </row>
    <row r="80" ht="16.5" spans="1:12">
      <c r="A80" s="1" t="s">
        <v>354</v>
      </c>
      <c r="B80" s="1" t="s">
        <v>229</v>
      </c>
      <c r="C80" s="1" t="s">
        <v>249</v>
      </c>
      <c r="D80" s="1" t="s">
        <v>287</v>
      </c>
      <c r="E80" s="1" t="s">
        <v>60</v>
      </c>
      <c r="F80" s="2">
        <v>45330</v>
      </c>
      <c r="G80" s="1">
        <v>1560000</v>
      </c>
      <c r="H80" s="1">
        <v>1830750</v>
      </c>
      <c r="I80" s="1" t="s">
        <v>68</v>
      </c>
      <c r="J80" s="1" t="s">
        <v>273</v>
      </c>
      <c r="K80" s="1" t="s">
        <v>152</v>
      </c>
      <c r="L80">
        <f t="shared" si="2"/>
        <v>1695375</v>
      </c>
    </row>
    <row r="81" ht="16.5" spans="1:12">
      <c r="A81" s="1" t="s">
        <v>355</v>
      </c>
      <c r="B81" s="1" t="s">
        <v>229</v>
      </c>
      <c r="C81" s="1" t="s">
        <v>242</v>
      </c>
      <c r="D81" s="1" t="s">
        <v>272</v>
      </c>
      <c r="E81" s="1" t="s">
        <v>61</v>
      </c>
      <c r="F81" s="2">
        <v>45343</v>
      </c>
      <c r="G81" s="1">
        <v>1770000</v>
      </c>
      <c r="H81" s="1">
        <v>2304756</v>
      </c>
      <c r="I81" s="1" t="s">
        <v>68</v>
      </c>
      <c r="J81" s="1" t="s">
        <v>267</v>
      </c>
      <c r="K81" s="1" t="s">
        <v>153</v>
      </c>
      <c r="L81">
        <f t="shared" si="2"/>
        <v>2037378</v>
      </c>
    </row>
    <row r="82" ht="16.5" spans="1:12">
      <c r="A82" s="1" t="s">
        <v>356</v>
      </c>
      <c r="B82" s="1" t="s">
        <v>232</v>
      </c>
      <c r="C82" s="1" t="s">
        <v>238</v>
      </c>
      <c r="D82" s="1" t="s">
        <v>281</v>
      </c>
      <c r="E82" s="1" t="s">
        <v>66</v>
      </c>
      <c r="F82" s="2">
        <v>45340</v>
      </c>
      <c r="G82" s="1">
        <v>940000</v>
      </c>
      <c r="H82" s="1">
        <v>1050212</v>
      </c>
      <c r="I82" s="1" t="s">
        <v>70</v>
      </c>
      <c r="J82" s="1" t="s">
        <v>273</v>
      </c>
      <c r="K82" s="1" t="s">
        <v>154</v>
      </c>
      <c r="L82">
        <f t="shared" si="2"/>
        <v>995106</v>
      </c>
    </row>
    <row r="83" ht="16.5" spans="1:12">
      <c r="A83" s="1" t="s">
        <v>357</v>
      </c>
      <c r="B83" s="1" t="s">
        <v>229</v>
      </c>
      <c r="C83" s="1" t="s">
        <v>243</v>
      </c>
      <c r="D83" s="1" t="s">
        <v>277</v>
      </c>
      <c r="E83" s="1" t="s">
        <v>64</v>
      </c>
      <c r="F83" s="2">
        <v>45353</v>
      </c>
      <c r="G83" s="1">
        <v>1860000</v>
      </c>
      <c r="H83" s="1">
        <v>2409002</v>
      </c>
      <c r="I83" s="1" t="s">
        <v>68</v>
      </c>
      <c r="J83" s="1" t="s">
        <v>270</v>
      </c>
      <c r="K83" s="1" t="s">
        <v>155</v>
      </c>
      <c r="L83">
        <f t="shared" si="2"/>
        <v>2134501</v>
      </c>
    </row>
    <row r="84" ht="16.5" spans="1:12">
      <c r="A84" s="1" t="s">
        <v>358</v>
      </c>
      <c r="B84" s="1" t="s">
        <v>229</v>
      </c>
      <c r="C84" s="1" t="s">
        <v>239</v>
      </c>
      <c r="D84" s="1" t="s">
        <v>266</v>
      </c>
      <c r="E84" s="1" t="s">
        <v>62</v>
      </c>
      <c r="F84" s="2">
        <v>45299</v>
      </c>
      <c r="G84" s="1">
        <v>1910000</v>
      </c>
      <c r="H84" s="1">
        <v>2140991</v>
      </c>
      <c r="I84" s="1" t="s">
        <v>68</v>
      </c>
      <c r="J84" s="1" t="s">
        <v>270</v>
      </c>
      <c r="K84" s="1" t="s">
        <v>156</v>
      </c>
      <c r="L84">
        <f t="shared" si="2"/>
        <v>2025495.5</v>
      </c>
    </row>
    <row r="85" ht="16.5" spans="1:12">
      <c r="A85" s="1" t="s">
        <v>359</v>
      </c>
      <c r="B85" s="1" t="s">
        <v>232</v>
      </c>
      <c r="C85" s="1" t="s">
        <v>246</v>
      </c>
      <c r="D85" s="1" t="s">
        <v>287</v>
      </c>
      <c r="E85" s="1" t="s">
        <v>67</v>
      </c>
      <c r="F85" s="2">
        <v>45344</v>
      </c>
      <c r="G85" s="1">
        <v>1020000</v>
      </c>
      <c r="H85" s="1">
        <v>1604235</v>
      </c>
      <c r="I85" s="1" t="s">
        <v>70</v>
      </c>
      <c r="J85" s="1" t="s">
        <v>267</v>
      </c>
      <c r="K85" s="1" t="s">
        <v>157</v>
      </c>
      <c r="L85">
        <f t="shared" si="2"/>
        <v>1312117.5</v>
      </c>
    </row>
    <row r="86" ht="16.5" spans="1:12">
      <c r="A86" s="1" t="s">
        <v>360</v>
      </c>
      <c r="B86" s="1" t="s">
        <v>229</v>
      </c>
      <c r="C86" s="1" t="s">
        <v>250</v>
      </c>
      <c r="D86" s="1" t="s">
        <v>283</v>
      </c>
      <c r="E86" s="1" t="s">
        <v>62</v>
      </c>
      <c r="F86" s="2">
        <v>45365</v>
      </c>
      <c r="G86" s="1">
        <v>1600000</v>
      </c>
      <c r="H86" s="1">
        <v>1994564</v>
      </c>
      <c r="I86" s="1" t="s">
        <v>68</v>
      </c>
      <c r="J86" s="1" t="s">
        <v>270</v>
      </c>
      <c r="K86" s="1" t="s">
        <v>158</v>
      </c>
      <c r="L86">
        <f t="shared" si="2"/>
        <v>1797282</v>
      </c>
    </row>
    <row r="87" ht="16.5" spans="1:12">
      <c r="A87" s="1" t="s">
        <v>361</v>
      </c>
      <c r="B87" s="1" t="s">
        <v>232</v>
      </c>
      <c r="C87" s="1" t="s">
        <v>230</v>
      </c>
      <c r="D87" s="1" t="s">
        <v>266</v>
      </c>
      <c r="E87" s="1" t="s">
        <v>63</v>
      </c>
      <c r="F87" s="2">
        <v>45319</v>
      </c>
      <c r="G87" s="1">
        <v>810000</v>
      </c>
      <c r="H87" s="1">
        <v>983645</v>
      </c>
      <c r="I87" s="1" t="s">
        <v>70</v>
      </c>
      <c r="J87" s="1" t="s">
        <v>267</v>
      </c>
      <c r="K87" s="1" t="s">
        <v>159</v>
      </c>
      <c r="L87">
        <f t="shared" si="2"/>
        <v>896822.5</v>
      </c>
    </row>
    <row r="88" ht="16.5" spans="1:12">
      <c r="A88" s="1" t="s">
        <v>362</v>
      </c>
      <c r="B88" s="1" t="s">
        <v>232</v>
      </c>
      <c r="C88" s="1" t="s">
        <v>236</v>
      </c>
      <c r="D88" s="1" t="s">
        <v>272</v>
      </c>
      <c r="E88" s="1" t="s">
        <v>64</v>
      </c>
      <c r="F88" s="2">
        <v>45307</v>
      </c>
      <c r="G88" s="1">
        <v>980000</v>
      </c>
      <c r="H88" s="1">
        <v>1254594</v>
      </c>
      <c r="I88" s="1" t="s">
        <v>70</v>
      </c>
      <c r="J88" s="1" t="s">
        <v>270</v>
      </c>
      <c r="K88" s="1" t="s">
        <v>160</v>
      </c>
      <c r="L88">
        <f t="shared" si="2"/>
        <v>1117297</v>
      </c>
    </row>
    <row r="89" ht="16.5" spans="1:12">
      <c r="A89" s="1" t="s">
        <v>363</v>
      </c>
      <c r="B89" s="1" t="s">
        <v>232</v>
      </c>
      <c r="C89" s="1" t="s">
        <v>249</v>
      </c>
      <c r="D89" s="1" t="s">
        <v>277</v>
      </c>
      <c r="E89" s="1" t="s">
        <v>66</v>
      </c>
      <c r="F89" s="2">
        <v>45333</v>
      </c>
      <c r="G89" s="1">
        <v>820000</v>
      </c>
      <c r="H89" s="1">
        <v>1356036</v>
      </c>
      <c r="I89" s="1" t="s">
        <v>70</v>
      </c>
      <c r="J89" s="1" t="s">
        <v>270</v>
      </c>
      <c r="K89" s="1" t="s">
        <v>161</v>
      </c>
      <c r="L89">
        <f t="shared" si="2"/>
        <v>1088018</v>
      </c>
    </row>
    <row r="90" ht="16.5" spans="1:12">
      <c r="A90" s="1" t="s">
        <v>364</v>
      </c>
      <c r="B90" s="1" t="s">
        <v>232</v>
      </c>
      <c r="C90" s="1" t="s">
        <v>235</v>
      </c>
      <c r="D90" s="1" t="s">
        <v>287</v>
      </c>
      <c r="E90" s="1" t="s">
        <v>59</v>
      </c>
      <c r="F90" s="2">
        <v>45306</v>
      </c>
      <c r="G90" s="1">
        <v>830000</v>
      </c>
      <c r="H90" s="1">
        <v>1315054</v>
      </c>
      <c r="I90" s="1" t="s">
        <v>70</v>
      </c>
      <c r="J90" s="1" t="s">
        <v>270</v>
      </c>
      <c r="K90" s="1" t="s">
        <v>162</v>
      </c>
      <c r="L90">
        <f t="shared" si="2"/>
        <v>1072527</v>
      </c>
    </row>
    <row r="91" ht="16.5" spans="1:12">
      <c r="A91" s="1" t="s">
        <v>365</v>
      </c>
      <c r="B91" s="1" t="s">
        <v>229</v>
      </c>
      <c r="C91" s="1" t="s">
        <v>231</v>
      </c>
      <c r="D91" s="1" t="s">
        <v>269</v>
      </c>
      <c r="E91" s="1" t="s">
        <v>66</v>
      </c>
      <c r="F91" s="2">
        <v>45375</v>
      </c>
      <c r="G91" s="1">
        <v>1890000</v>
      </c>
      <c r="H91" s="1">
        <v>2309832</v>
      </c>
      <c r="I91" s="1" t="s">
        <v>68</v>
      </c>
      <c r="J91" s="1" t="s">
        <v>273</v>
      </c>
      <c r="K91" s="1" t="s">
        <v>163</v>
      </c>
      <c r="L91">
        <f t="shared" si="2"/>
        <v>2099916</v>
      </c>
    </row>
    <row r="92" ht="16.5" spans="1:12">
      <c r="A92" s="1" t="s">
        <v>366</v>
      </c>
      <c r="B92" s="1" t="s">
        <v>232</v>
      </c>
      <c r="C92" s="1" t="s">
        <v>237</v>
      </c>
      <c r="D92" s="1" t="s">
        <v>281</v>
      </c>
      <c r="E92" s="1" t="s">
        <v>64</v>
      </c>
      <c r="F92" s="2">
        <v>45294</v>
      </c>
      <c r="G92" s="1">
        <v>1030000</v>
      </c>
      <c r="H92" s="1">
        <v>1406674</v>
      </c>
      <c r="I92" s="1" t="s">
        <v>70</v>
      </c>
      <c r="J92" s="1" t="s">
        <v>267</v>
      </c>
      <c r="K92" s="1" t="s">
        <v>164</v>
      </c>
      <c r="L92">
        <f t="shared" si="2"/>
        <v>1218337</v>
      </c>
    </row>
    <row r="93" ht="16.5" spans="1:12">
      <c r="A93" s="1" t="s">
        <v>367</v>
      </c>
      <c r="B93" s="1" t="s">
        <v>234</v>
      </c>
      <c r="C93" s="1" t="s">
        <v>246</v>
      </c>
      <c r="D93" s="1" t="s">
        <v>281</v>
      </c>
      <c r="E93" s="1" t="s">
        <v>60</v>
      </c>
      <c r="F93" s="2">
        <v>45375</v>
      </c>
      <c r="G93" s="1">
        <v>460000</v>
      </c>
      <c r="H93" s="1">
        <v>1008567</v>
      </c>
      <c r="I93" s="1" t="s">
        <v>69</v>
      </c>
      <c r="J93" s="1" t="s">
        <v>270</v>
      </c>
      <c r="K93" s="1" t="s">
        <v>165</v>
      </c>
      <c r="L93">
        <f t="shared" si="2"/>
        <v>734283.5</v>
      </c>
    </row>
    <row r="94" ht="16.5" spans="1:12">
      <c r="A94" s="1" t="s">
        <v>368</v>
      </c>
      <c r="B94" s="1" t="s">
        <v>229</v>
      </c>
      <c r="C94" s="1" t="s">
        <v>244</v>
      </c>
      <c r="D94" s="1" t="s">
        <v>279</v>
      </c>
      <c r="E94" s="1" t="s">
        <v>62</v>
      </c>
      <c r="F94" s="2">
        <v>45304</v>
      </c>
      <c r="G94" s="1">
        <v>2000000</v>
      </c>
      <c r="H94" s="1">
        <v>2180008</v>
      </c>
      <c r="I94" s="1" t="s">
        <v>68</v>
      </c>
      <c r="J94" s="1" t="s">
        <v>267</v>
      </c>
      <c r="K94" s="1" t="s">
        <v>166</v>
      </c>
      <c r="L94">
        <f t="shared" si="2"/>
        <v>2090004</v>
      </c>
    </row>
    <row r="95" ht="16.5" spans="1:12">
      <c r="A95" s="1" t="s">
        <v>369</v>
      </c>
      <c r="B95" s="1" t="s">
        <v>232</v>
      </c>
      <c r="C95" s="1" t="s">
        <v>238</v>
      </c>
      <c r="D95" s="1" t="s">
        <v>281</v>
      </c>
      <c r="E95" s="1" t="s">
        <v>60</v>
      </c>
      <c r="F95" s="2">
        <v>45346</v>
      </c>
      <c r="G95" s="1">
        <v>830000</v>
      </c>
      <c r="H95" s="1">
        <v>1101683</v>
      </c>
      <c r="I95" s="1" t="s">
        <v>70</v>
      </c>
      <c r="J95" s="1" t="s">
        <v>273</v>
      </c>
      <c r="K95" s="1" t="s">
        <v>167</v>
      </c>
      <c r="L95">
        <f t="shared" si="2"/>
        <v>965841.5</v>
      </c>
    </row>
    <row r="96" ht="16.5" spans="1:12">
      <c r="A96" s="1" t="s">
        <v>370</v>
      </c>
      <c r="B96" s="1" t="s">
        <v>234</v>
      </c>
      <c r="C96" s="1" t="s">
        <v>241</v>
      </c>
      <c r="D96" s="1" t="s">
        <v>277</v>
      </c>
      <c r="E96" s="1" t="s">
        <v>63</v>
      </c>
      <c r="F96" s="2">
        <v>45298</v>
      </c>
      <c r="G96" s="1">
        <v>430000</v>
      </c>
      <c r="H96" s="1">
        <v>990134</v>
      </c>
      <c r="I96" s="1" t="s">
        <v>69</v>
      </c>
      <c r="J96" s="1" t="s">
        <v>273</v>
      </c>
      <c r="K96" s="1" t="s">
        <v>168</v>
      </c>
      <c r="L96">
        <f t="shared" si="2"/>
        <v>710067</v>
      </c>
    </row>
    <row r="97" ht="16.5" spans="1:12">
      <c r="A97" s="1" t="s">
        <v>371</v>
      </c>
      <c r="B97" s="1" t="s">
        <v>234</v>
      </c>
      <c r="C97" s="1" t="s">
        <v>231</v>
      </c>
      <c r="D97" s="1" t="s">
        <v>269</v>
      </c>
      <c r="E97" s="1" t="s">
        <v>63</v>
      </c>
      <c r="F97" s="2">
        <v>45366</v>
      </c>
      <c r="G97" s="1">
        <v>490000</v>
      </c>
      <c r="H97" s="1">
        <v>899443</v>
      </c>
      <c r="I97" s="1" t="s">
        <v>69</v>
      </c>
      <c r="J97" s="1" t="s">
        <v>270</v>
      </c>
      <c r="K97" s="1" t="s">
        <v>169</v>
      </c>
      <c r="L97">
        <f t="shared" si="2"/>
        <v>694721.5</v>
      </c>
    </row>
    <row r="98" ht="16.5" spans="1:12">
      <c r="A98" s="1" t="s">
        <v>372</v>
      </c>
      <c r="B98" s="1" t="s">
        <v>234</v>
      </c>
      <c r="C98" s="1" t="s">
        <v>239</v>
      </c>
      <c r="D98" s="1" t="s">
        <v>277</v>
      </c>
      <c r="E98" s="1" t="s">
        <v>62</v>
      </c>
      <c r="F98" s="2">
        <v>45356</v>
      </c>
      <c r="G98" s="1">
        <v>520000</v>
      </c>
      <c r="H98" s="1">
        <v>1008309</v>
      </c>
      <c r="I98" s="1" t="s">
        <v>69</v>
      </c>
      <c r="J98" s="1" t="s">
        <v>273</v>
      </c>
      <c r="K98" s="1" t="s">
        <v>170</v>
      </c>
      <c r="L98">
        <f t="shared" si="2"/>
        <v>764154.5</v>
      </c>
    </row>
    <row r="99" ht="16.5" spans="1:12">
      <c r="A99" s="1" t="s">
        <v>373</v>
      </c>
      <c r="B99" s="1" t="s">
        <v>234</v>
      </c>
      <c r="C99" s="1" t="s">
        <v>249</v>
      </c>
      <c r="D99" s="1" t="s">
        <v>266</v>
      </c>
      <c r="E99" s="1" t="s">
        <v>59</v>
      </c>
      <c r="F99" s="2">
        <v>45304</v>
      </c>
      <c r="G99" s="1">
        <v>510000</v>
      </c>
      <c r="H99" s="1">
        <v>618464</v>
      </c>
      <c r="I99" s="1" t="s">
        <v>69</v>
      </c>
      <c r="J99" s="1" t="s">
        <v>273</v>
      </c>
      <c r="K99" s="1" t="s">
        <v>171</v>
      </c>
      <c r="L99">
        <f t="shared" ref="L99:L130" si="3">AVERAGE(G99:H99)</f>
        <v>564232</v>
      </c>
    </row>
    <row r="100" ht="16.5" spans="1:12">
      <c r="A100" s="1" t="s">
        <v>374</v>
      </c>
      <c r="B100" s="1" t="s">
        <v>232</v>
      </c>
      <c r="C100" s="1" t="s">
        <v>231</v>
      </c>
      <c r="D100" s="1" t="s">
        <v>281</v>
      </c>
      <c r="E100" s="1" t="s">
        <v>66</v>
      </c>
      <c r="F100" s="2">
        <v>45297</v>
      </c>
      <c r="G100" s="1">
        <v>950000</v>
      </c>
      <c r="H100" s="1">
        <v>1170250</v>
      </c>
      <c r="I100" s="1" t="s">
        <v>70</v>
      </c>
      <c r="J100" s="1" t="s">
        <v>267</v>
      </c>
      <c r="K100" s="1" t="s">
        <v>172</v>
      </c>
      <c r="L100">
        <f t="shared" si="3"/>
        <v>1060125</v>
      </c>
    </row>
    <row r="101" ht="16.5" spans="1:12">
      <c r="A101" s="1" t="s">
        <v>375</v>
      </c>
      <c r="B101" s="1" t="s">
        <v>234</v>
      </c>
      <c r="C101" s="1" t="s">
        <v>242</v>
      </c>
      <c r="D101" s="1" t="s">
        <v>283</v>
      </c>
      <c r="E101" s="1" t="s">
        <v>66</v>
      </c>
      <c r="F101" s="2">
        <v>45368</v>
      </c>
      <c r="G101" s="1">
        <v>430000</v>
      </c>
      <c r="H101" s="1">
        <v>801907</v>
      </c>
      <c r="I101" s="1" t="s">
        <v>69</v>
      </c>
      <c r="J101" s="1" t="s">
        <v>267</v>
      </c>
      <c r="K101" s="1" t="s">
        <v>173</v>
      </c>
      <c r="L101">
        <f t="shared" si="3"/>
        <v>615953.5</v>
      </c>
    </row>
    <row r="102" ht="16.5" spans="1:12">
      <c r="A102" s="1" t="s">
        <v>376</v>
      </c>
      <c r="B102" s="1" t="s">
        <v>232</v>
      </c>
      <c r="C102" s="1" t="s">
        <v>233</v>
      </c>
      <c r="D102" s="1" t="s">
        <v>287</v>
      </c>
      <c r="E102" s="1" t="s">
        <v>58</v>
      </c>
      <c r="F102" s="2">
        <v>45338</v>
      </c>
      <c r="G102" s="1">
        <v>880000</v>
      </c>
      <c r="H102" s="1">
        <v>1199802</v>
      </c>
      <c r="I102" s="1" t="s">
        <v>70</v>
      </c>
      <c r="J102" s="1" t="s">
        <v>267</v>
      </c>
      <c r="K102" s="1" t="s">
        <v>174</v>
      </c>
      <c r="L102">
        <f t="shared" si="3"/>
        <v>1039901</v>
      </c>
    </row>
    <row r="103" ht="16.5" spans="1:12">
      <c r="A103" s="1" t="s">
        <v>377</v>
      </c>
      <c r="B103" s="1" t="s">
        <v>234</v>
      </c>
      <c r="C103" s="1" t="s">
        <v>236</v>
      </c>
      <c r="D103" s="1" t="s">
        <v>287</v>
      </c>
      <c r="E103" s="1" t="s">
        <v>65</v>
      </c>
      <c r="F103" s="2">
        <v>45296</v>
      </c>
      <c r="G103" s="1">
        <v>480000</v>
      </c>
      <c r="H103" s="1">
        <v>791631</v>
      </c>
      <c r="I103" s="1" t="s">
        <v>69</v>
      </c>
      <c r="J103" s="1" t="s">
        <v>270</v>
      </c>
      <c r="K103" s="1" t="s">
        <v>175</v>
      </c>
      <c r="L103">
        <f t="shared" si="3"/>
        <v>635815.5</v>
      </c>
    </row>
    <row r="104" ht="16.5" spans="1:12">
      <c r="A104" s="1" t="s">
        <v>378</v>
      </c>
      <c r="B104" s="1" t="s">
        <v>229</v>
      </c>
      <c r="C104" s="1" t="s">
        <v>251</v>
      </c>
      <c r="D104" s="1" t="s">
        <v>269</v>
      </c>
      <c r="E104" s="1" t="s">
        <v>58</v>
      </c>
      <c r="F104" s="2">
        <v>45303</v>
      </c>
      <c r="G104" s="1">
        <v>1790000</v>
      </c>
      <c r="H104" s="1">
        <v>2289770</v>
      </c>
      <c r="I104" s="1" t="s">
        <v>68</v>
      </c>
      <c r="J104" s="1" t="s">
        <v>273</v>
      </c>
      <c r="K104" s="1" t="s">
        <v>176</v>
      </c>
      <c r="L104">
        <f t="shared" si="3"/>
        <v>2039885</v>
      </c>
    </row>
    <row r="105" ht="16.5" spans="1:12">
      <c r="A105" s="1" t="s">
        <v>379</v>
      </c>
      <c r="B105" s="1" t="s">
        <v>232</v>
      </c>
      <c r="C105" s="1" t="s">
        <v>240</v>
      </c>
      <c r="D105" s="1" t="s">
        <v>266</v>
      </c>
      <c r="E105" s="1" t="s">
        <v>59</v>
      </c>
      <c r="F105" s="2">
        <v>45308</v>
      </c>
      <c r="G105" s="1">
        <v>1010000</v>
      </c>
      <c r="H105" s="1">
        <v>1558864</v>
      </c>
      <c r="I105" s="1" t="s">
        <v>70</v>
      </c>
      <c r="J105" s="1" t="s">
        <v>273</v>
      </c>
      <c r="K105" s="1" t="s">
        <v>177</v>
      </c>
      <c r="L105">
        <f t="shared" si="3"/>
        <v>1284432</v>
      </c>
    </row>
    <row r="106" ht="16.5" spans="1:12">
      <c r="A106" s="1" t="s">
        <v>380</v>
      </c>
      <c r="B106" s="1" t="s">
        <v>232</v>
      </c>
      <c r="C106" s="1" t="s">
        <v>251</v>
      </c>
      <c r="D106" s="1" t="s">
        <v>269</v>
      </c>
      <c r="E106" s="1" t="s">
        <v>64</v>
      </c>
      <c r="F106" s="2">
        <v>45320</v>
      </c>
      <c r="G106" s="1">
        <v>1050000</v>
      </c>
      <c r="H106" s="1">
        <v>1542544</v>
      </c>
      <c r="I106" s="1" t="s">
        <v>70</v>
      </c>
      <c r="J106" s="1" t="s">
        <v>270</v>
      </c>
      <c r="K106" s="1" t="s">
        <v>178</v>
      </c>
      <c r="L106">
        <f t="shared" si="3"/>
        <v>1296272</v>
      </c>
    </row>
    <row r="107" ht="16.5" spans="1:12">
      <c r="A107" s="1" t="s">
        <v>381</v>
      </c>
      <c r="B107" s="1" t="s">
        <v>232</v>
      </c>
      <c r="C107" s="1" t="s">
        <v>244</v>
      </c>
      <c r="D107" s="1" t="s">
        <v>283</v>
      </c>
      <c r="E107" s="1" t="s">
        <v>60</v>
      </c>
      <c r="F107" s="2">
        <v>45382</v>
      </c>
      <c r="G107" s="1">
        <v>850000</v>
      </c>
      <c r="H107" s="1">
        <v>1080956</v>
      </c>
      <c r="I107" s="1" t="s">
        <v>70</v>
      </c>
      <c r="J107" s="1" t="s">
        <v>273</v>
      </c>
      <c r="K107" s="1" t="s">
        <v>179</v>
      </c>
      <c r="L107">
        <f t="shared" si="3"/>
        <v>965478</v>
      </c>
    </row>
    <row r="108" ht="16.5" spans="1:12">
      <c r="A108" s="1" t="s">
        <v>382</v>
      </c>
      <c r="B108" s="1" t="s">
        <v>232</v>
      </c>
      <c r="C108" s="1" t="s">
        <v>244</v>
      </c>
      <c r="D108" s="1" t="s">
        <v>279</v>
      </c>
      <c r="E108" s="1" t="s">
        <v>65</v>
      </c>
      <c r="F108" s="2">
        <v>45317</v>
      </c>
      <c r="G108" s="1">
        <v>990000</v>
      </c>
      <c r="H108" s="1">
        <v>1436660</v>
      </c>
      <c r="I108" s="1" t="s">
        <v>70</v>
      </c>
      <c r="J108" s="1" t="s">
        <v>267</v>
      </c>
      <c r="K108" s="1" t="s">
        <v>180</v>
      </c>
      <c r="L108">
        <f t="shared" si="3"/>
        <v>1213330</v>
      </c>
    </row>
    <row r="109" ht="16.5" spans="1:12">
      <c r="A109" s="1" t="s">
        <v>383</v>
      </c>
      <c r="B109" s="1" t="s">
        <v>234</v>
      </c>
      <c r="C109" s="1" t="s">
        <v>230</v>
      </c>
      <c r="D109" s="1" t="s">
        <v>272</v>
      </c>
      <c r="E109" s="1" t="s">
        <v>63</v>
      </c>
      <c r="F109" s="2">
        <v>45316</v>
      </c>
      <c r="G109" s="1">
        <v>440000</v>
      </c>
      <c r="H109" s="1">
        <v>748018</v>
      </c>
      <c r="I109" s="1" t="s">
        <v>69</v>
      </c>
      <c r="J109" s="1" t="s">
        <v>270</v>
      </c>
      <c r="K109" s="1" t="s">
        <v>181</v>
      </c>
      <c r="L109">
        <f t="shared" si="3"/>
        <v>594009</v>
      </c>
    </row>
    <row r="110" ht="16.5" spans="1:12">
      <c r="A110" s="1" t="s">
        <v>384</v>
      </c>
      <c r="B110" s="1" t="s">
        <v>232</v>
      </c>
      <c r="C110" s="1" t="s">
        <v>248</v>
      </c>
      <c r="D110" s="1" t="s">
        <v>266</v>
      </c>
      <c r="E110" s="1" t="s">
        <v>62</v>
      </c>
      <c r="F110" s="2">
        <v>45315</v>
      </c>
      <c r="G110" s="1">
        <v>930000</v>
      </c>
      <c r="H110" s="1">
        <v>1316198</v>
      </c>
      <c r="I110" s="1" t="s">
        <v>70</v>
      </c>
      <c r="J110" s="1" t="s">
        <v>273</v>
      </c>
      <c r="K110" s="1" t="s">
        <v>182</v>
      </c>
      <c r="L110">
        <f t="shared" si="3"/>
        <v>1123099</v>
      </c>
    </row>
    <row r="111" ht="16.5" spans="1:12">
      <c r="A111" s="1" t="s">
        <v>385</v>
      </c>
      <c r="B111" s="1" t="s">
        <v>232</v>
      </c>
      <c r="C111" s="1" t="s">
        <v>251</v>
      </c>
      <c r="D111" s="1" t="s">
        <v>287</v>
      </c>
      <c r="E111" s="1" t="s">
        <v>63</v>
      </c>
      <c r="F111" s="2">
        <v>45374</v>
      </c>
      <c r="G111" s="1">
        <v>850000</v>
      </c>
      <c r="H111" s="1">
        <v>1300231</v>
      </c>
      <c r="I111" s="1" t="s">
        <v>70</v>
      </c>
      <c r="J111" s="1" t="s">
        <v>267</v>
      </c>
      <c r="K111" s="1" t="s">
        <v>183</v>
      </c>
      <c r="L111">
        <f t="shared" si="3"/>
        <v>1075115.5</v>
      </c>
    </row>
    <row r="112" ht="16.5" spans="1:12">
      <c r="A112" s="1" t="s">
        <v>386</v>
      </c>
      <c r="B112" s="1" t="s">
        <v>232</v>
      </c>
      <c r="C112" s="1" t="s">
        <v>241</v>
      </c>
      <c r="D112" s="1" t="s">
        <v>287</v>
      </c>
      <c r="E112" s="1" t="s">
        <v>62</v>
      </c>
      <c r="F112" s="2">
        <v>45302</v>
      </c>
      <c r="G112" s="1">
        <v>850000</v>
      </c>
      <c r="H112" s="1">
        <v>1013060</v>
      </c>
      <c r="I112" s="1" t="s">
        <v>70</v>
      </c>
      <c r="J112" s="1" t="s">
        <v>270</v>
      </c>
      <c r="K112" s="1" t="s">
        <v>184</v>
      </c>
      <c r="L112">
        <f t="shared" si="3"/>
        <v>931530</v>
      </c>
    </row>
    <row r="113" ht="16.5" spans="1:12">
      <c r="A113" s="1" t="s">
        <v>387</v>
      </c>
      <c r="B113" s="1" t="s">
        <v>234</v>
      </c>
      <c r="C113" s="1" t="s">
        <v>250</v>
      </c>
      <c r="D113" s="1" t="s">
        <v>266</v>
      </c>
      <c r="E113" s="1" t="s">
        <v>63</v>
      </c>
      <c r="F113" s="2">
        <v>45359</v>
      </c>
      <c r="G113" s="1">
        <v>430000</v>
      </c>
      <c r="H113" s="1">
        <v>970408</v>
      </c>
      <c r="I113" s="1" t="s">
        <v>69</v>
      </c>
      <c r="J113" s="1" t="s">
        <v>267</v>
      </c>
      <c r="K113" s="1" t="s">
        <v>185</v>
      </c>
      <c r="L113">
        <f t="shared" si="3"/>
        <v>700204</v>
      </c>
    </row>
    <row r="114" ht="16.5" spans="1:12">
      <c r="A114" s="1" t="s">
        <v>388</v>
      </c>
      <c r="B114" s="1" t="s">
        <v>229</v>
      </c>
      <c r="C114" s="1" t="s">
        <v>238</v>
      </c>
      <c r="D114" s="1" t="s">
        <v>272</v>
      </c>
      <c r="E114" s="1" t="s">
        <v>67</v>
      </c>
      <c r="F114" s="2">
        <v>45361</v>
      </c>
      <c r="G114" s="1">
        <v>1950000</v>
      </c>
      <c r="H114" s="1">
        <v>2137426</v>
      </c>
      <c r="I114" s="1" t="s">
        <v>68</v>
      </c>
      <c r="J114" s="1" t="s">
        <v>270</v>
      </c>
      <c r="K114" s="1" t="s">
        <v>186</v>
      </c>
      <c r="L114">
        <f t="shared" si="3"/>
        <v>2043713</v>
      </c>
    </row>
    <row r="115" ht="16.5" spans="1:12">
      <c r="A115" s="1" t="s">
        <v>389</v>
      </c>
      <c r="B115" s="1" t="s">
        <v>234</v>
      </c>
      <c r="C115" s="1" t="s">
        <v>239</v>
      </c>
      <c r="D115" s="1" t="s">
        <v>269</v>
      </c>
      <c r="E115" s="1" t="s">
        <v>62</v>
      </c>
      <c r="F115" s="2">
        <v>45330</v>
      </c>
      <c r="G115" s="1">
        <v>500000</v>
      </c>
      <c r="H115" s="1">
        <v>755449</v>
      </c>
      <c r="I115" s="1" t="s">
        <v>69</v>
      </c>
      <c r="J115" s="1" t="s">
        <v>267</v>
      </c>
      <c r="K115" s="1" t="s">
        <v>187</v>
      </c>
      <c r="L115">
        <f t="shared" si="3"/>
        <v>627724.5</v>
      </c>
    </row>
    <row r="116" ht="16.5" spans="1:12">
      <c r="A116" s="1" t="s">
        <v>390</v>
      </c>
      <c r="B116" s="1" t="s">
        <v>229</v>
      </c>
      <c r="C116" s="1" t="s">
        <v>236</v>
      </c>
      <c r="D116" s="1" t="s">
        <v>287</v>
      </c>
      <c r="E116" s="1" t="s">
        <v>64</v>
      </c>
      <c r="F116" s="2">
        <v>45323</v>
      </c>
      <c r="G116" s="1">
        <v>1720000</v>
      </c>
      <c r="H116" s="1">
        <v>1929447</v>
      </c>
      <c r="I116" s="1" t="s">
        <v>68</v>
      </c>
      <c r="J116" s="1" t="s">
        <v>273</v>
      </c>
      <c r="K116" s="1" t="s">
        <v>188</v>
      </c>
      <c r="L116">
        <f t="shared" si="3"/>
        <v>1824723.5</v>
      </c>
    </row>
    <row r="117" ht="16.5" spans="1:12">
      <c r="A117" s="1" t="s">
        <v>391</v>
      </c>
      <c r="B117" s="1" t="s">
        <v>229</v>
      </c>
      <c r="C117" s="1" t="s">
        <v>238</v>
      </c>
      <c r="D117" s="1" t="s">
        <v>287</v>
      </c>
      <c r="E117" s="1" t="s">
        <v>58</v>
      </c>
      <c r="F117" s="2">
        <v>45307</v>
      </c>
      <c r="G117" s="1">
        <v>1600000</v>
      </c>
      <c r="H117" s="1">
        <v>1830323</v>
      </c>
      <c r="I117" s="1" t="s">
        <v>68</v>
      </c>
      <c r="J117" s="1" t="s">
        <v>270</v>
      </c>
      <c r="K117" s="1" t="s">
        <v>189</v>
      </c>
      <c r="L117">
        <f t="shared" si="3"/>
        <v>1715161.5</v>
      </c>
    </row>
    <row r="118" ht="16.5" spans="1:12">
      <c r="A118" s="1" t="s">
        <v>392</v>
      </c>
      <c r="B118" s="1" t="s">
        <v>234</v>
      </c>
      <c r="C118" s="1" t="s">
        <v>247</v>
      </c>
      <c r="D118" s="1" t="s">
        <v>277</v>
      </c>
      <c r="E118" s="1" t="s">
        <v>58</v>
      </c>
      <c r="F118" s="2">
        <v>45372</v>
      </c>
      <c r="G118" s="1">
        <v>470000</v>
      </c>
      <c r="H118" s="1">
        <v>968765</v>
      </c>
      <c r="I118" s="1" t="s">
        <v>69</v>
      </c>
      <c r="J118" s="1" t="s">
        <v>270</v>
      </c>
      <c r="K118" s="1" t="s">
        <v>190</v>
      </c>
      <c r="L118">
        <f t="shared" si="3"/>
        <v>719382.5</v>
      </c>
    </row>
    <row r="119" ht="16.5" spans="1:12">
      <c r="A119" s="1" t="s">
        <v>393</v>
      </c>
      <c r="B119" s="1" t="s">
        <v>232</v>
      </c>
      <c r="C119" s="1" t="s">
        <v>230</v>
      </c>
      <c r="D119" s="1" t="s">
        <v>269</v>
      </c>
      <c r="E119" s="1" t="s">
        <v>64</v>
      </c>
      <c r="F119" s="2">
        <v>45340</v>
      </c>
      <c r="G119" s="1">
        <v>860000</v>
      </c>
      <c r="H119" s="1">
        <v>1243775</v>
      </c>
      <c r="I119" s="1" t="s">
        <v>70</v>
      </c>
      <c r="J119" s="1" t="s">
        <v>273</v>
      </c>
      <c r="K119" s="1" t="s">
        <v>191</v>
      </c>
      <c r="L119">
        <f t="shared" si="3"/>
        <v>1051887.5</v>
      </c>
    </row>
    <row r="120" ht="16.5" spans="1:12">
      <c r="A120" s="1" t="s">
        <v>394</v>
      </c>
      <c r="B120" s="1" t="s">
        <v>229</v>
      </c>
      <c r="C120" s="1" t="s">
        <v>248</v>
      </c>
      <c r="D120" s="1" t="s">
        <v>281</v>
      </c>
      <c r="E120" s="1" t="s">
        <v>64</v>
      </c>
      <c r="F120" s="2">
        <v>45368</v>
      </c>
      <c r="G120" s="1">
        <v>1570000</v>
      </c>
      <c r="H120" s="1">
        <v>2129403</v>
      </c>
      <c r="I120" s="1" t="s">
        <v>68</v>
      </c>
      <c r="J120" s="1" t="s">
        <v>273</v>
      </c>
      <c r="K120" s="1" t="s">
        <v>192</v>
      </c>
      <c r="L120">
        <f t="shared" si="3"/>
        <v>1849701.5</v>
      </c>
    </row>
    <row r="121" ht="16.5" spans="1:12">
      <c r="A121" s="1" t="s">
        <v>395</v>
      </c>
      <c r="B121" s="1" t="s">
        <v>232</v>
      </c>
      <c r="C121" s="1" t="s">
        <v>236</v>
      </c>
      <c r="D121" s="1" t="s">
        <v>266</v>
      </c>
      <c r="E121" s="1" t="s">
        <v>67</v>
      </c>
      <c r="F121" s="2">
        <v>45373</v>
      </c>
      <c r="G121" s="1">
        <v>820000</v>
      </c>
      <c r="H121" s="1">
        <v>1254527</v>
      </c>
      <c r="I121" s="1" t="s">
        <v>70</v>
      </c>
      <c r="J121" s="1" t="s">
        <v>270</v>
      </c>
      <c r="K121" s="1" t="s">
        <v>193</v>
      </c>
      <c r="L121">
        <f t="shared" si="3"/>
        <v>1037263.5</v>
      </c>
    </row>
    <row r="122" ht="16.5" spans="1:12">
      <c r="A122" s="1" t="s">
        <v>396</v>
      </c>
      <c r="B122" s="1" t="s">
        <v>232</v>
      </c>
      <c r="C122" s="1" t="s">
        <v>239</v>
      </c>
      <c r="D122" s="1" t="s">
        <v>272</v>
      </c>
      <c r="E122" s="1" t="s">
        <v>59</v>
      </c>
      <c r="F122" s="2">
        <v>45320</v>
      </c>
      <c r="G122" s="1">
        <v>840000</v>
      </c>
      <c r="H122" s="1">
        <v>946777</v>
      </c>
      <c r="I122" s="1" t="s">
        <v>70</v>
      </c>
      <c r="J122" s="1" t="s">
        <v>270</v>
      </c>
      <c r="K122" s="1" t="s">
        <v>194</v>
      </c>
      <c r="L122">
        <f t="shared" si="3"/>
        <v>893388.5</v>
      </c>
    </row>
    <row r="123" ht="16.5" spans="1:12">
      <c r="A123" s="1" t="s">
        <v>397</v>
      </c>
      <c r="B123" s="1" t="s">
        <v>229</v>
      </c>
      <c r="C123" s="1" t="s">
        <v>246</v>
      </c>
      <c r="D123" s="1" t="s">
        <v>269</v>
      </c>
      <c r="E123" s="1" t="s">
        <v>59</v>
      </c>
      <c r="F123" s="2">
        <v>45367</v>
      </c>
      <c r="G123" s="1">
        <v>1910000</v>
      </c>
      <c r="H123" s="1">
        <v>2303952</v>
      </c>
      <c r="I123" s="1" t="s">
        <v>68</v>
      </c>
      <c r="J123" s="1" t="s">
        <v>270</v>
      </c>
      <c r="K123" s="1" t="s">
        <v>195</v>
      </c>
      <c r="L123">
        <f t="shared" si="3"/>
        <v>2106976</v>
      </c>
    </row>
    <row r="124" ht="16.5" spans="1:12">
      <c r="A124" s="1" t="s">
        <v>398</v>
      </c>
      <c r="B124" s="1" t="s">
        <v>234</v>
      </c>
      <c r="C124" s="1" t="s">
        <v>241</v>
      </c>
      <c r="D124" s="1" t="s">
        <v>279</v>
      </c>
      <c r="E124" s="1" t="s">
        <v>64</v>
      </c>
      <c r="F124" s="2">
        <v>45348</v>
      </c>
      <c r="G124" s="1">
        <v>460000</v>
      </c>
      <c r="H124" s="1">
        <v>749111</v>
      </c>
      <c r="I124" s="1" t="s">
        <v>69</v>
      </c>
      <c r="J124" s="1" t="s">
        <v>273</v>
      </c>
      <c r="K124" s="1" t="s">
        <v>196</v>
      </c>
      <c r="L124">
        <f t="shared" si="3"/>
        <v>604555.5</v>
      </c>
    </row>
    <row r="125" ht="16.5" spans="1:12">
      <c r="A125" s="1" t="s">
        <v>399</v>
      </c>
      <c r="B125" s="1" t="s">
        <v>229</v>
      </c>
      <c r="C125" s="1" t="s">
        <v>239</v>
      </c>
      <c r="D125" s="1" t="s">
        <v>277</v>
      </c>
      <c r="E125" s="1" t="s">
        <v>60</v>
      </c>
      <c r="F125" s="2">
        <v>45295</v>
      </c>
      <c r="G125" s="1">
        <v>1420000</v>
      </c>
      <c r="H125" s="1">
        <v>1633266</v>
      </c>
      <c r="I125" s="1" t="s">
        <v>68</v>
      </c>
      <c r="J125" s="1" t="s">
        <v>270</v>
      </c>
      <c r="K125" s="1" t="s">
        <v>197</v>
      </c>
      <c r="L125">
        <f t="shared" si="3"/>
        <v>1526633</v>
      </c>
    </row>
    <row r="126" ht="16.5" spans="1:12">
      <c r="A126" s="1" t="s">
        <v>400</v>
      </c>
      <c r="B126" s="1" t="s">
        <v>229</v>
      </c>
      <c r="C126" s="1" t="s">
        <v>231</v>
      </c>
      <c r="D126" s="1" t="s">
        <v>283</v>
      </c>
      <c r="E126" s="1" t="s">
        <v>63</v>
      </c>
      <c r="F126" s="2">
        <v>45350</v>
      </c>
      <c r="G126" s="1">
        <v>1760000</v>
      </c>
      <c r="H126" s="1">
        <v>2044747</v>
      </c>
      <c r="I126" s="1" t="s">
        <v>68</v>
      </c>
      <c r="J126" s="1" t="s">
        <v>270</v>
      </c>
      <c r="K126" s="1" t="s">
        <v>198</v>
      </c>
      <c r="L126">
        <f t="shared" si="3"/>
        <v>1902373.5</v>
      </c>
    </row>
    <row r="127" ht="16.5" spans="1:12">
      <c r="A127" s="1" t="s">
        <v>401</v>
      </c>
      <c r="B127" s="1" t="s">
        <v>229</v>
      </c>
      <c r="C127" s="1" t="s">
        <v>237</v>
      </c>
      <c r="D127" s="1" t="s">
        <v>281</v>
      </c>
      <c r="E127" s="1" t="s">
        <v>67</v>
      </c>
      <c r="F127" s="2">
        <v>45334</v>
      </c>
      <c r="G127" s="1">
        <v>1970000</v>
      </c>
      <c r="H127" s="1">
        <v>2409889</v>
      </c>
      <c r="I127" s="1" t="s">
        <v>68</v>
      </c>
      <c r="J127" s="1" t="s">
        <v>273</v>
      </c>
      <c r="K127" s="1" t="s">
        <v>199</v>
      </c>
      <c r="L127">
        <f t="shared" si="3"/>
        <v>2189944.5</v>
      </c>
    </row>
    <row r="128" ht="16.5" spans="1:12">
      <c r="A128" s="1" t="s">
        <v>402</v>
      </c>
      <c r="B128" s="1" t="s">
        <v>234</v>
      </c>
      <c r="C128" s="1" t="s">
        <v>237</v>
      </c>
      <c r="D128" s="1" t="s">
        <v>266</v>
      </c>
      <c r="E128" s="1" t="s">
        <v>58</v>
      </c>
      <c r="F128" s="2">
        <v>45382</v>
      </c>
      <c r="G128" s="1">
        <v>420000</v>
      </c>
      <c r="H128" s="1">
        <v>855256</v>
      </c>
      <c r="I128" s="1" t="s">
        <v>69</v>
      </c>
      <c r="J128" s="1" t="s">
        <v>273</v>
      </c>
      <c r="K128" s="1" t="s">
        <v>200</v>
      </c>
      <c r="L128">
        <f t="shared" si="3"/>
        <v>637628</v>
      </c>
    </row>
    <row r="129" ht="16.5" spans="1:12">
      <c r="A129" s="1" t="s">
        <v>403</v>
      </c>
      <c r="B129" s="1" t="s">
        <v>232</v>
      </c>
      <c r="C129" s="1" t="s">
        <v>241</v>
      </c>
      <c r="D129" s="1" t="s">
        <v>287</v>
      </c>
      <c r="E129" s="1" t="s">
        <v>66</v>
      </c>
      <c r="F129" s="2">
        <v>45363</v>
      </c>
      <c r="G129" s="1">
        <v>880000</v>
      </c>
      <c r="H129" s="1">
        <v>1068365</v>
      </c>
      <c r="I129" s="1" t="s">
        <v>70</v>
      </c>
      <c r="J129" s="1" t="s">
        <v>270</v>
      </c>
      <c r="K129" s="1" t="s">
        <v>201</v>
      </c>
      <c r="L129">
        <f t="shared" si="3"/>
        <v>974182.5</v>
      </c>
    </row>
    <row r="130" ht="16.5" spans="1:12">
      <c r="A130" s="1" t="s">
        <v>404</v>
      </c>
      <c r="B130" s="1" t="s">
        <v>229</v>
      </c>
      <c r="C130" s="1" t="s">
        <v>250</v>
      </c>
      <c r="D130" s="1" t="s">
        <v>266</v>
      </c>
      <c r="E130" s="1" t="s">
        <v>60</v>
      </c>
      <c r="F130" s="2">
        <v>45310</v>
      </c>
      <c r="G130" s="1">
        <v>1470000</v>
      </c>
      <c r="H130" s="1">
        <v>1674133</v>
      </c>
      <c r="I130" s="1" t="s">
        <v>68</v>
      </c>
      <c r="J130" s="1" t="s">
        <v>270</v>
      </c>
      <c r="K130" s="1" t="s">
        <v>202</v>
      </c>
      <c r="L130">
        <f t="shared" si="3"/>
        <v>1572066.5</v>
      </c>
    </row>
    <row r="131" ht="16.5" spans="1:12">
      <c r="A131" s="1" t="s">
        <v>405</v>
      </c>
      <c r="B131" s="1" t="s">
        <v>232</v>
      </c>
      <c r="C131" s="1" t="s">
        <v>239</v>
      </c>
      <c r="D131" s="1" t="s">
        <v>287</v>
      </c>
      <c r="E131" s="1" t="s">
        <v>65</v>
      </c>
      <c r="F131" s="2">
        <v>45297</v>
      </c>
      <c r="G131" s="1">
        <v>860000</v>
      </c>
      <c r="H131" s="1">
        <v>1443004</v>
      </c>
      <c r="I131" s="1" t="s">
        <v>70</v>
      </c>
      <c r="J131" s="1" t="s">
        <v>267</v>
      </c>
      <c r="K131" s="1" t="s">
        <v>203</v>
      </c>
      <c r="L131">
        <f t="shared" ref="L131:L151" si="4">AVERAGE(G131:H131)</f>
        <v>1151502</v>
      </c>
    </row>
    <row r="132" ht="16.5" spans="1:12">
      <c r="A132" s="1" t="s">
        <v>406</v>
      </c>
      <c r="B132" s="1" t="s">
        <v>232</v>
      </c>
      <c r="C132" s="1" t="s">
        <v>230</v>
      </c>
      <c r="D132" s="1" t="s">
        <v>277</v>
      </c>
      <c r="E132" s="1" t="s">
        <v>64</v>
      </c>
      <c r="F132" s="2">
        <v>45323</v>
      </c>
      <c r="G132" s="1">
        <v>910000</v>
      </c>
      <c r="H132" s="1">
        <v>1446861</v>
      </c>
      <c r="I132" s="1" t="s">
        <v>70</v>
      </c>
      <c r="J132" s="1" t="s">
        <v>267</v>
      </c>
      <c r="K132" s="1" t="s">
        <v>204</v>
      </c>
      <c r="L132">
        <f t="shared" si="4"/>
        <v>1178430.5</v>
      </c>
    </row>
    <row r="133" ht="16.5" spans="1:12">
      <c r="A133" s="1" t="s">
        <v>407</v>
      </c>
      <c r="B133" s="1" t="s">
        <v>229</v>
      </c>
      <c r="C133" s="1" t="s">
        <v>239</v>
      </c>
      <c r="D133" s="1" t="s">
        <v>272</v>
      </c>
      <c r="E133" s="1" t="s">
        <v>60</v>
      </c>
      <c r="F133" s="2">
        <v>45372</v>
      </c>
      <c r="G133" s="1">
        <v>1970000</v>
      </c>
      <c r="H133" s="1">
        <v>2367840</v>
      </c>
      <c r="I133" s="1" t="s">
        <v>68</v>
      </c>
      <c r="J133" s="1" t="s">
        <v>270</v>
      </c>
      <c r="K133" s="1" t="s">
        <v>205</v>
      </c>
      <c r="L133">
        <f t="shared" si="4"/>
        <v>2168920</v>
      </c>
    </row>
    <row r="134" ht="16.5" spans="1:12">
      <c r="A134" s="1" t="s">
        <v>408</v>
      </c>
      <c r="B134" s="1" t="s">
        <v>232</v>
      </c>
      <c r="C134" s="1" t="s">
        <v>247</v>
      </c>
      <c r="D134" s="1" t="s">
        <v>266</v>
      </c>
      <c r="E134" s="1" t="s">
        <v>62</v>
      </c>
      <c r="F134" s="2">
        <v>45380</v>
      </c>
      <c r="G134" s="1">
        <v>1020000</v>
      </c>
      <c r="H134" s="1">
        <v>1314106</v>
      </c>
      <c r="I134" s="1" t="s">
        <v>70</v>
      </c>
      <c r="J134" s="1" t="s">
        <v>267</v>
      </c>
      <c r="K134" s="1" t="s">
        <v>206</v>
      </c>
      <c r="L134">
        <f t="shared" si="4"/>
        <v>1167053</v>
      </c>
    </row>
    <row r="135" ht="16.5" spans="1:12">
      <c r="A135" s="1" t="s">
        <v>409</v>
      </c>
      <c r="B135" s="1" t="s">
        <v>229</v>
      </c>
      <c r="C135" s="1" t="s">
        <v>230</v>
      </c>
      <c r="D135" s="1" t="s">
        <v>281</v>
      </c>
      <c r="E135" s="1" t="s">
        <v>67</v>
      </c>
      <c r="F135" s="2">
        <v>45381</v>
      </c>
      <c r="G135" s="1">
        <v>1530000</v>
      </c>
      <c r="H135" s="1">
        <v>1680657</v>
      </c>
      <c r="I135" s="1" t="s">
        <v>68</v>
      </c>
      <c r="J135" s="1" t="s">
        <v>270</v>
      </c>
      <c r="K135" s="1" t="s">
        <v>207</v>
      </c>
      <c r="L135">
        <f t="shared" si="4"/>
        <v>1605328.5</v>
      </c>
    </row>
    <row r="136" ht="16.5" spans="1:12">
      <c r="A136" s="1" t="s">
        <v>410</v>
      </c>
      <c r="B136" s="1" t="s">
        <v>229</v>
      </c>
      <c r="C136" s="1" t="s">
        <v>242</v>
      </c>
      <c r="D136" s="1" t="s">
        <v>279</v>
      </c>
      <c r="E136" s="1" t="s">
        <v>58</v>
      </c>
      <c r="F136" s="2">
        <v>45349</v>
      </c>
      <c r="G136" s="1">
        <v>1450000</v>
      </c>
      <c r="H136" s="1">
        <v>1791297</v>
      </c>
      <c r="I136" s="1" t="s">
        <v>68</v>
      </c>
      <c r="J136" s="1" t="s">
        <v>270</v>
      </c>
      <c r="K136" s="1" t="s">
        <v>208</v>
      </c>
      <c r="L136">
        <f t="shared" si="4"/>
        <v>1620648.5</v>
      </c>
    </row>
    <row r="137" ht="16.5" spans="1:12">
      <c r="A137" s="1" t="s">
        <v>411</v>
      </c>
      <c r="B137" s="1" t="s">
        <v>229</v>
      </c>
      <c r="C137" s="1" t="s">
        <v>241</v>
      </c>
      <c r="D137" s="1" t="s">
        <v>287</v>
      </c>
      <c r="E137" s="1" t="s">
        <v>63</v>
      </c>
      <c r="F137" s="2">
        <v>45347</v>
      </c>
      <c r="G137" s="1">
        <v>1550000</v>
      </c>
      <c r="H137" s="1">
        <v>1683437</v>
      </c>
      <c r="I137" s="1" t="s">
        <v>68</v>
      </c>
      <c r="J137" s="1" t="s">
        <v>270</v>
      </c>
      <c r="K137" s="1" t="s">
        <v>209</v>
      </c>
      <c r="L137">
        <f t="shared" si="4"/>
        <v>1616718.5</v>
      </c>
    </row>
    <row r="138" ht="16.5" spans="1:12">
      <c r="A138" s="1" t="s">
        <v>412</v>
      </c>
      <c r="B138" s="1" t="s">
        <v>229</v>
      </c>
      <c r="C138" s="1" t="s">
        <v>233</v>
      </c>
      <c r="D138" s="1" t="s">
        <v>266</v>
      </c>
      <c r="E138" s="1" t="s">
        <v>66</v>
      </c>
      <c r="F138" s="2">
        <v>45361</v>
      </c>
      <c r="G138" s="1">
        <v>1870000</v>
      </c>
      <c r="H138" s="1">
        <v>2132437</v>
      </c>
      <c r="I138" s="1" t="s">
        <v>68</v>
      </c>
      <c r="J138" s="1" t="s">
        <v>270</v>
      </c>
      <c r="K138" s="1" t="s">
        <v>210</v>
      </c>
      <c r="L138">
        <f t="shared" si="4"/>
        <v>2001218.5</v>
      </c>
    </row>
    <row r="139" ht="16.5" spans="1:12">
      <c r="A139" s="1" t="s">
        <v>413</v>
      </c>
      <c r="B139" s="1" t="s">
        <v>234</v>
      </c>
      <c r="C139" s="1" t="s">
        <v>238</v>
      </c>
      <c r="D139" s="1" t="s">
        <v>287</v>
      </c>
      <c r="E139" s="1" t="s">
        <v>63</v>
      </c>
      <c r="F139" s="2">
        <v>45344</v>
      </c>
      <c r="G139" s="1">
        <v>490000</v>
      </c>
      <c r="H139" s="1">
        <v>897991</v>
      </c>
      <c r="I139" s="1" t="s">
        <v>69</v>
      </c>
      <c r="J139" s="1" t="s">
        <v>270</v>
      </c>
      <c r="K139" s="1" t="s">
        <v>211</v>
      </c>
      <c r="L139">
        <f t="shared" si="4"/>
        <v>693995.5</v>
      </c>
    </row>
    <row r="140" ht="16.5" spans="1:12">
      <c r="A140" s="1" t="s">
        <v>414</v>
      </c>
      <c r="B140" s="1" t="s">
        <v>229</v>
      </c>
      <c r="C140" s="1" t="s">
        <v>246</v>
      </c>
      <c r="D140" s="1" t="s">
        <v>272</v>
      </c>
      <c r="E140" s="1" t="s">
        <v>64</v>
      </c>
      <c r="F140" s="2">
        <v>45303</v>
      </c>
      <c r="G140" s="1">
        <v>1580000</v>
      </c>
      <c r="H140" s="1">
        <v>2118168</v>
      </c>
      <c r="I140" s="1" t="s">
        <v>68</v>
      </c>
      <c r="J140" s="1" t="s">
        <v>267</v>
      </c>
      <c r="K140" s="1" t="s">
        <v>212</v>
      </c>
      <c r="L140">
        <f t="shared" si="4"/>
        <v>1849084</v>
      </c>
    </row>
    <row r="141" ht="16.5" spans="1:12">
      <c r="A141" s="1" t="s">
        <v>415</v>
      </c>
      <c r="B141" s="1" t="s">
        <v>232</v>
      </c>
      <c r="C141" s="1" t="s">
        <v>239</v>
      </c>
      <c r="D141" s="1" t="s">
        <v>272</v>
      </c>
      <c r="E141" s="1" t="s">
        <v>58</v>
      </c>
      <c r="F141" s="2">
        <v>45314</v>
      </c>
      <c r="G141" s="1">
        <v>990000</v>
      </c>
      <c r="H141" s="1">
        <v>1455122</v>
      </c>
      <c r="I141" s="1" t="s">
        <v>70</v>
      </c>
      <c r="J141" s="1" t="s">
        <v>270</v>
      </c>
      <c r="K141" s="1" t="s">
        <v>213</v>
      </c>
      <c r="L141">
        <f t="shared" si="4"/>
        <v>1222561</v>
      </c>
    </row>
    <row r="142" ht="16.5" spans="1:12">
      <c r="A142" s="1" t="s">
        <v>416</v>
      </c>
      <c r="B142" s="1" t="s">
        <v>234</v>
      </c>
      <c r="C142" s="1" t="s">
        <v>233</v>
      </c>
      <c r="D142" s="1" t="s">
        <v>283</v>
      </c>
      <c r="E142" s="1" t="s">
        <v>66</v>
      </c>
      <c r="F142" s="2">
        <v>45304</v>
      </c>
      <c r="G142" s="1">
        <v>440000</v>
      </c>
      <c r="H142" s="1">
        <v>676579</v>
      </c>
      <c r="I142" s="1" t="s">
        <v>69</v>
      </c>
      <c r="J142" s="1" t="s">
        <v>270</v>
      </c>
      <c r="K142" s="1" t="s">
        <v>214</v>
      </c>
      <c r="L142">
        <f t="shared" si="4"/>
        <v>558289.5</v>
      </c>
    </row>
    <row r="143" ht="16.5" spans="1:12">
      <c r="A143" s="1" t="s">
        <v>417</v>
      </c>
      <c r="B143" s="1" t="s">
        <v>234</v>
      </c>
      <c r="C143" s="1" t="s">
        <v>245</v>
      </c>
      <c r="D143" s="1" t="s">
        <v>266</v>
      </c>
      <c r="E143" s="1" t="s">
        <v>61</v>
      </c>
      <c r="F143" s="2">
        <v>45331</v>
      </c>
      <c r="G143" s="1">
        <v>540000</v>
      </c>
      <c r="H143" s="1">
        <v>671009</v>
      </c>
      <c r="I143" s="1" t="s">
        <v>69</v>
      </c>
      <c r="J143" s="1" t="s">
        <v>267</v>
      </c>
      <c r="K143" s="1" t="s">
        <v>215</v>
      </c>
      <c r="L143">
        <f t="shared" si="4"/>
        <v>605504.5</v>
      </c>
    </row>
    <row r="144" ht="16.5" spans="1:12">
      <c r="A144" s="1" t="s">
        <v>418</v>
      </c>
      <c r="B144" s="1" t="s">
        <v>234</v>
      </c>
      <c r="C144" s="1" t="s">
        <v>235</v>
      </c>
      <c r="D144" s="1" t="s">
        <v>287</v>
      </c>
      <c r="E144" s="1" t="s">
        <v>61</v>
      </c>
      <c r="F144" s="2">
        <v>45348</v>
      </c>
      <c r="G144" s="1">
        <v>530000</v>
      </c>
      <c r="H144" s="1">
        <v>725308</v>
      </c>
      <c r="I144" s="1" t="s">
        <v>69</v>
      </c>
      <c r="J144" s="1" t="s">
        <v>270</v>
      </c>
      <c r="K144" s="1" t="s">
        <v>216</v>
      </c>
      <c r="L144">
        <f t="shared" si="4"/>
        <v>627654</v>
      </c>
    </row>
    <row r="145" ht="16.5" spans="1:12">
      <c r="A145" s="1" t="s">
        <v>419</v>
      </c>
      <c r="B145" s="1" t="s">
        <v>232</v>
      </c>
      <c r="C145" s="1" t="s">
        <v>231</v>
      </c>
      <c r="D145" s="1" t="s">
        <v>266</v>
      </c>
      <c r="E145" s="1" t="s">
        <v>66</v>
      </c>
      <c r="F145" s="2">
        <v>45329</v>
      </c>
      <c r="G145" s="1">
        <v>810000</v>
      </c>
      <c r="H145" s="1">
        <v>1236150</v>
      </c>
      <c r="I145" s="1" t="s">
        <v>70</v>
      </c>
      <c r="J145" s="1" t="s">
        <v>267</v>
      </c>
      <c r="K145" s="1" t="s">
        <v>217</v>
      </c>
      <c r="L145">
        <f t="shared" si="4"/>
        <v>1023075</v>
      </c>
    </row>
    <row r="146" ht="16.5" spans="1:12">
      <c r="A146" s="1" t="s">
        <v>420</v>
      </c>
      <c r="B146" s="1" t="s">
        <v>229</v>
      </c>
      <c r="C146" s="1" t="s">
        <v>250</v>
      </c>
      <c r="D146" s="1" t="s">
        <v>277</v>
      </c>
      <c r="E146" s="1" t="s">
        <v>64</v>
      </c>
      <c r="F146" s="2">
        <v>45370</v>
      </c>
      <c r="G146" s="1">
        <v>1570000</v>
      </c>
      <c r="H146" s="1">
        <v>2141980</v>
      </c>
      <c r="I146" s="1" t="s">
        <v>68</v>
      </c>
      <c r="J146" s="1" t="s">
        <v>273</v>
      </c>
      <c r="K146" s="1" t="s">
        <v>218</v>
      </c>
      <c r="L146">
        <f t="shared" si="4"/>
        <v>1855990</v>
      </c>
    </row>
    <row r="147" ht="16.5" spans="1:12">
      <c r="A147" s="1" t="s">
        <v>421</v>
      </c>
      <c r="B147" s="1" t="s">
        <v>232</v>
      </c>
      <c r="C147" s="1" t="s">
        <v>243</v>
      </c>
      <c r="D147" s="1" t="s">
        <v>272</v>
      </c>
      <c r="E147" s="1" t="s">
        <v>60</v>
      </c>
      <c r="F147" s="2">
        <v>45354</v>
      </c>
      <c r="G147" s="1">
        <v>860000</v>
      </c>
      <c r="H147" s="1">
        <v>1310594</v>
      </c>
      <c r="I147" s="1" t="s">
        <v>70</v>
      </c>
      <c r="J147" s="1" t="s">
        <v>267</v>
      </c>
      <c r="K147" s="1" t="s">
        <v>219</v>
      </c>
      <c r="L147">
        <f t="shared" si="4"/>
        <v>1085297</v>
      </c>
    </row>
    <row r="148" ht="16.5" spans="1:12">
      <c r="A148" s="1" t="s">
        <v>422</v>
      </c>
      <c r="B148" s="1" t="s">
        <v>234</v>
      </c>
      <c r="C148" s="1" t="s">
        <v>250</v>
      </c>
      <c r="D148" s="1" t="s">
        <v>272</v>
      </c>
      <c r="E148" s="1" t="s">
        <v>63</v>
      </c>
      <c r="F148" s="2">
        <v>45365</v>
      </c>
      <c r="G148" s="1">
        <v>520000</v>
      </c>
      <c r="H148" s="1">
        <v>1045148</v>
      </c>
      <c r="I148" s="1" t="s">
        <v>69</v>
      </c>
      <c r="J148" s="1" t="s">
        <v>270</v>
      </c>
      <c r="K148" s="1" t="s">
        <v>220</v>
      </c>
      <c r="L148">
        <f t="shared" si="4"/>
        <v>782574</v>
      </c>
    </row>
    <row r="149" ht="16.5" spans="1:12">
      <c r="A149" s="1" t="s">
        <v>423</v>
      </c>
      <c r="B149" s="1" t="s">
        <v>232</v>
      </c>
      <c r="C149" s="1" t="s">
        <v>248</v>
      </c>
      <c r="D149" s="1" t="s">
        <v>279</v>
      </c>
      <c r="E149" s="1" t="s">
        <v>59</v>
      </c>
      <c r="F149" s="2">
        <v>45302</v>
      </c>
      <c r="G149" s="1">
        <v>960000</v>
      </c>
      <c r="H149" s="1">
        <v>1131028</v>
      </c>
      <c r="I149" s="1" t="s">
        <v>70</v>
      </c>
      <c r="J149" s="1" t="s">
        <v>273</v>
      </c>
      <c r="K149" s="1" t="s">
        <v>221</v>
      </c>
      <c r="L149">
        <f t="shared" si="4"/>
        <v>1045514</v>
      </c>
    </row>
    <row r="150" ht="16.5" spans="1:12">
      <c r="A150" s="1" t="s">
        <v>424</v>
      </c>
      <c r="B150" s="1" t="s">
        <v>232</v>
      </c>
      <c r="C150" s="1" t="s">
        <v>249</v>
      </c>
      <c r="D150" s="1" t="s">
        <v>269</v>
      </c>
      <c r="E150" s="1" t="s">
        <v>66</v>
      </c>
      <c r="F150" s="2">
        <v>45297</v>
      </c>
      <c r="G150" s="1">
        <v>1090000</v>
      </c>
      <c r="H150" s="1">
        <v>1443810</v>
      </c>
      <c r="I150" s="1" t="s">
        <v>70</v>
      </c>
      <c r="J150" s="1" t="s">
        <v>267</v>
      </c>
      <c r="K150" s="1" t="s">
        <v>222</v>
      </c>
      <c r="L150">
        <f t="shared" si="4"/>
        <v>1266905</v>
      </c>
    </row>
    <row r="151" ht="16.5" spans="1:12">
      <c r="A151" s="1" t="s">
        <v>425</v>
      </c>
      <c r="B151" s="1" t="s">
        <v>229</v>
      </c>
      <c r="C151" s="1" t="s">
        <v>238</v>
      </c>
      <c r="D151" s="1" t="s">
        <v>272</v>
      </c>
      <c r="E151" s="1" t="s">
        <v>60</v>
      </c>
      <c r="F151" s="2">
        <v>45298</v>
      </c>
      <c r="G151" s="1">
        <v>1990000</v>
      </c>
      <c r="H151" s="1">
        <v>2374576</v>
      </c>
      <c r="I151" s="1" t="s">
        <v>68</v>
      </c>
      <c r="J151" s="1" t="s">
        <v>273</v>
      </c>
      <c r="K151" s="1" t="s">
        <v>223</v>
      </c>
      <c r="L151">
        <f t="shared" si="4"/>
        <v>2182288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C8-Data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idkjustpratham</dc:creator>
  <cp:lastModifiedBy>idkjustpratham</cp:lastModifiedBy>
  <dcterms:created xsi:type="dcterms:W3CDTF">2026-07-01T01:37:00Z</dcterms:created>
  <dcterms:modified xsi:type="dcterms:W3CDTF">2026-07-03T10:41:31Z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