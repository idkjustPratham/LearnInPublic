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85" windowHeight="7695" activeTab="9"/>
  </bookViews>
  <sheets>
    <sheet name="A1" sheetId="1" r:id="rId1"/>
    <sheet name="A2" sheetId="2" r:id="rId2"/>
    <sheet name="A3" sheetId="3" r:id="rId3"/>
    <sheet name="A4" sheetId="4" r:id="rId4"/>
    <sheet name="A5" sheetId="5" r:id="rId5"/>
    <sheet name="A6" sheetId="6" r:id="rId6"/>
    <sheet name="A7" sheetId="7" r:id="rId7"/>
    <sheet name="A8" sheetId="8" r:id="rId8"/>
    <sheet name="A9" sheetId="9" r:id="rId9"/>
    <sheet name="A10" sheetId="10" r:id="rId10"/>
  </sheets>
  <definedNames>
    <definedName name="_xlnm._FilterDatabase" localSheetId="2" hidden="1">'A3'!$D$1:$E$501</definedName>
  </definedNames>
  <calcPr calcId="144525"/>
</workbook>
</file>

<file path=xl/sharedStrings.xml><?xml version="1.0" encoding="utf-8"?>
<sst xmlns="http://schemas.openxmlformats.org/spreadsheetml/2006/main" count="4223" uniqueCount="106">
  <si>
    <t>StartTime</t>
  </si>
  <si>
    <t>EndTime</t>
  </si>
  <si>
    <t>WaitTime_sec</t>
  </si>
  <si>
    <t>Call Duration_sec</t>
  </si>
  <si>
    <t>Call Durations MM:SS</t>
  </si>
  <si>
    <t>Wait Time_Sec MM:SS</t>
  </si>
  <si>
    <t>Call Hour</t>
  </si>
  <si>
    <t>Day of week</t>
  </si>
  <si>
    <t>Week Number</t>
  </si>
  <si>
    <t>Start Time</t>
  </si>
  <si>
    <t>Weekday</t>
  </si>
  <si>
    <t>Hour</t>
  </si>
  <si>
    <t>Uniques</t>
  </si>
  <si>
    <t>Count</t>
  </si>
  <si>
    <t>Volume</t>
  </si>
  <si>
    <t>Peak</t>
  </si>
  <si>
    <t>Quiet</t>
  </si>
  <si>
    <t>CallType</t>
  </si>
  <si>
    <t>Department</t>
  </si>
  <si>
    <t>Channel</t>
  </si>
  <si>
    <t>Resolved</t>
  </si>
  <si>
    <t>Resolution</t>
  </si>
  <si>
    <t>CustomerRating</t>
  </si>
  <si>
    <t>Shifts</t>
  </si>
  <si>
    <t>Unique Shift</t>
  </si>
  <si>
    <t>Avg Wait Time / Shift</t>
  </si>
  <si>
    <t>Customer Rating / Shift</t>
  </si>
  <si>
    <t>Resolution Rate / Shift</t>
  </si>
  <si>
    <t>Unique Call Type</t>
  </si>
  <si>
    <t>Wait time / Call type</t>
  </si>
  <si>
    <t>Unique Channel</t>
  </si>
  <si>
    <t>wait time / channel</t>
  </si>
  <si>
    <t>Technical</t>
  </si>
  <si>
    <t>Support</t>
  </si>
  <si>
    <t>Email</t>
  </si>
  <si>
    <t>Y</t>
  </si>
  <si>
    <t>N</t>
  </si>
  <si>
    <t>Complaint</t>
  </si>
  <si>
    <t>Chat</t>
  </si>
  <si>
    <t>Sales</t>
  </si>
  <si>
    <t>Phone</t>
  </si>
  <si>
    <t>Retention</t>
  </si>
  <si>
    <t>General</t>
  </si>
  <si>
    <t>Billing</t>
  </si>
  <si>
    <t>AgentID</t>
  </si>
  <si>
    <t>AgentName</t>
  </si>
  <si>
    <t>EscalatedToManager</t>
  </si>
  <si>
    <t>Escalation</t>
  </si>
  <si>
    <t>Total calls</t>
  </si>
  <si>
    <t>Avg Duration</t>
  </si>
  <si>
    <t>Customer Rating</t>
  </si>
  <si>
    <t>Resolution rate (%)</t>
  </si>
  <si>
    <t>Escalation Rate (%)</t>
  </si>
  <si>
    <t>AGT011</t>
  </si>
  <si>
    <t>Anita Bose</t>
  </si>
  <si>
    <t>AGT001</t>
  </si>
  <si>
    <t>Priya Sharma</t>
  </si>
  <si>
    <t>AGT002</t>
  </si>
  <si>
    <t>Rahul Mehta</t>
  </si>
  <si>
    <t>AGT007</t>
  </si>
  <si>
    <t>Pooja Singh</t>
  </si>
  <si>
    <t>AGT003</t>
  </si>
  <si>
    <t>Sneha Patil</t>
  </si>
  <si>
    <t>AGT013</t>
  </si>
  <si>
    <t>Lakshmi Iyer</t>
  </si>
  <si>
    <t>AGT004</t>
  </si>
  <si>
    <t>Amit Joshi</t>
  </si>
  <si>
    <t>AGT005</t>
  </si>
  <si>
    <t>Divya Nair</t>
  </si>
  <si>
    <t>AGT006</t>
  </si>
  <si>
    <t>Rohan Desai</t>
  </si>
  <si>
    <t>AGT012</t>
  </si>
  <si>
    <t>Sanjay Tiwari</t>
  </si>
  <si>
    <t>AGT008</t>
  </si>
  <si>
    <t>Kiran Kumar</t>
  </si>
  <si>
    <t>AGT009</t>
  </si>
  <si>
    <t>Neha Gupta</t>
  </si>
  <si>
    <t>AGT010</t>
  </si>
  <si>
    <t>Vijay Rao</t>
  </si>
  <si>
    <t>AGT014</t>
  </si>
  <si>
    <t>Deepak Shah</t>
  </si>
  <si>
    <t>AGT015</t>
  </si>
  <si>
    <t>Meera Pillai</t>
  </si>
  <si>
    <t>Score = (Resolution Rate × 0.40) + (Avg Rating / 5 × 0.35) + (Normalized Call Volume × 0.25)</t>
  </si>
  <si>
    <t>Rank</t>
  </si>
  <si>
    <t>#1 and #5</t>
  </si>
  <si>
    <t>Match</t>
  </si>
  <si>
    <t>Index</t>
  </si>
  <si>
    <t xml:space="preserve">Score </t>
  </si>
  <si>
    <t>Mean</t>
  </si>
  <si>
    <t>Median</t>
  </si>
  <si>
    <t>Std Dev</t>
  </si>
  <si>
    <t>Min</t>
  </si>
  <si>
    <t>Max</t>
  </si>
  <si>
    <t>Kurtosis</t>
  </si>
  <si>
    <t>Skewness</t>
  </si>
  <si>
    <t>Percentile</t>
  </si>
  <si>
    <t>Calls</t>
  </si>
  <si>
    <t>HourlyRate</t>
  </si>
  <si>
    <t>ScenarioName</t>
  </si>
  <si>
    <t>AgentCountMultiplier</t>
  </si>
  <si>
    <t>Current Baseline</t>
  </si>
  <si>
    <t>Scale Up +20%</t>
  </si>
  <si>
    <t>Scale Down -20%</t>
  </si>
  <si>
    <t>Automation Assist</t>
  </si>
  <si>
    <t>Peak Season</t>
  </si>
</sst>
</file>

<file path=xl/styles.xml><?xml version="1.0" encoding="utf-8"?>
<styleSheet xmlns="http://schemas.openxmlformats.org/spreadsheetml/2006/main">
  <numFmts count="8">
    <numFmt numFmtId="176" formatCode="h:mm:ss;@"/>
    <numFmt numFmtId="177" formatCode="0_ "/>
    <numFmt numFmtId="178" formatCode="0.00_ "/>
    <numFmt numFmtId="179" formatCode="_ * #,##0_ ;_ * \-#,##0_ ;_ * &quot;-&quot;_ ;_ @_ "/>
    <numFmt numFmtId="180" formatCode="_ &quot;₹&quot;* #,##0_ ;_ &quot;₹&quot;* \-#,##0_ ;_ &quot;₹&quot;* &quot;-&quot;_ ;_ @_ "/>
    <numFmt numFmtId="181" formatCode="_ &quot;₹&quot;* #,##0.00_ ;_ &quot;₹&quot;* \-#,##0.00_ ;_ &quot;₹&quot;* &quot;-&quot;??_ ;_ @_ "/>
    <numFmt numFmtId="182" formatCode="_ * #,##0.00_ ;_ * \-#,##0.00_ ;_ * &quot;-&quot;??_ ;_ @_ "/>
    <numFmt numFmtId="183" formatCode="dd\-mm\-yyyy\ hh:mm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22" fillId="23" borderId="36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8" borderId="30" applyNumberFormat="0" applyFont="0" applyAlignment="0" applyProtection="0">
      <alignment vertical="center"/>
    </xf>
    <xf numFmtId="0" fontId="20" fillId="27" borderId="3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23" borderId="34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3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2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9" fillId="10" borderId="31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178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77" fontId="0" fillId="0" borderId="0" xfId="0" applyNumberFormat="1" applyFill="1" applyAlignment="1">
      <alignment vertical="center"/>
    </xf>
    <xf numFmtId="177" fontId="0" fillId="0" borderId="0" xfId="0" applyNumberFormat="1">
      <alignment vertical="center"/>
    </xf>
    <xf numFmtId="177" fontId="1" fillId="0" borderId="8" xfId="0" applyNumberFormat="1" applyFont="1" applyFill="1" applyBorder="1" applyAlignment="1">
      <alignment horizontal="center" vertical="center"/>
    </xf>
    <xf numFmtId="177" fontId="0" fillId="0" borderId="8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177" fontId="1" fillId="0" borderId="10" xfId="0" applyNumberFormat="1" applyFont="1" applyFill="1" applyBorder="1" applyAlignment="1">
      <alignment horizontal="center" vertical="center"/>
    </xf>
    <xf numFmtId="178" fontId="1" fillId="0" borderId="10" xfId="0" applyNumberFormat="1" applyFont="1" applyFill="1" applyBorder="1" applyAlignment="1">
      <alignment horizontal="center" vertical="center"/>
    </xf>
    <xf numFmtId="177" fontId="0" fillId="0" borderId="10" xfId="0" applyNumberFormat="1" applyFont="1" applyFill="1" applyBorder="1" applyAlignment="1">
      <alignment horizontal="center" vertical="center"/>
    </xf>
    <xf numFmtId="178" fontId="0" fillId="0" borderId="10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8" fontId="1" fillId="0" borderId="12" xfId="0" applyNumberFormat="1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178" fontId="0" fillId="0" borderId="12" xfId="0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178" fontId="0" fillId="0" borderId="13" xfId="0" applyNumberFormat="1" applyFont="1" applyFill="1" applyBorder="1" applyAlignment="1">
      <alignment horizontal="center" vertical="center"/>
    </xf>
    <xf numFmtId="10" fontId="1" fillId="0" borderId="12" xfId="0" applyNumberFormat="1" applyFont="1" applyFill="1" applyBorder="1" applyAlignment="1">
      <alignment horizontal="center" vertical="center"/>
    </xf>
    <xf numFmtId="10" fontId="0" fillId="0" borderId="12" xfId="0" applyNumberFormat="1" applyFont="1" applyFill="1" applyBorder="1" applyAlignment="1">
      <alignment horizontal="center" vertical="center"/>
    </xf>
    <xf numFmtId="10" fontId="0" fillId="0" borderId="10" xfId="0" applyNumberFormat="1" applyFont="1" applyFill="1" applyBorder="1" applyAlignment="1">
      <alignment horizontal="center" vertical="center"/>
    </xf>
    <xf numFmtId="10" fontId="0" fillId="0" borderId="13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178" fontId="0" fillId="0" borderId="10" xfId="0" applyNumberFormat="1" applyFont="1" applyFill="1" applyBorder="1" applyAlignment="1">
      <alignment horizontal="center" vertical="center"/>
    </xf>
    <xf numFmtId="10" fontId="0" fillId="0" borderId="10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3" fontId="0" fillId="0" borderId="8" xfId="0" applyNumberFormat="1" applyFont="1" applyFill="1" applyBorder="1" applyAlignment="1">
      <alignment horizontal="center" vertical="center"/>
    </xf>
    <xf numFmtId="183" fontId="0" fillId="0" borderId="11" xfId="0" applyNumberFormat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78" fontId="1" fillId="0" borderId="16" xfId="0" applyNumberFormat="1" applyFont="1" applyBorder="1" applyAlignment="1">
      <alignment horizontal="center" vertical="center"/>
    </xf>
    <xf numFmtId="0" fontId="0" fillId="0" borderId="17" xfId="0" applyNumberFormat="1" applyFont="1" applyBorder="1" applyAlignment="1">
      <alignment horizontal="center" vertical="center"/>
    </xf>
    <xf numFmtId="0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178" fontId="0" fillId="0" borderId="11" xfId="0" applyNumberFormat="1" applyFont="1" applyBorder="1" applyAlignment="1">
      <alignment horizontal="center" vertical="center"/>
    </xf>
    <xf numFmtId="0" fontId="0" fillId="0" borderId="18" xfId="0" applyNumberFormat="1" applyFont="1" applyBorder="1" applyAlignment="1">
      <alignment horizontal="center" vertical="center"/>
    </xf>
    <xf numFmtId="0" fontId="0" fillId="0" borderId="19" xfId="0" applyNumberFormat="1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178" fontId="0" fillId="0" borderId="19" xfId="0" applyNumberFormat="1" applyFont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178" fontId="1" fillId="0" borderId="20" xfId="0" applyNumberFormat="1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178" fontId="0" fillId="0" borderId="21" xfId="0" applyNumberFormat="1" applyFont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78" fontId="0" fillId="0" borderId="23" xfId="0" applyNumberFormat="1" applyFont="1" applyBorder="1" applyAlignment="1">
      <alignment horizontal="center" vertical="center"/>
    </xf>
    <xf numFmtId="178" fontId="0" fillId="0" borderId="14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176" fontId="0" fillId="0" borderId="11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6" fontId="0" fillId="0" borderId="8" xfId="0" applyNumberFormat="1" applyFont="1" applyBorder="1" applyAlignment="1">
      <alignment horizontal="center" vertical="center"/>
    </xf>
    <xf numFmtId="176" fontId="0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6" fontId="0" fillId="0" borderId="11" xfId="0" applyNumberFormat="1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7" fontId="1" fillId="0" borderId="11" xfId="0" applyNumberFormat="1" applyFont="1" applyBorder="1" applyAlignment="1">
      <alignment horizontal="center" vertical="center"/>
    </xf>
    <xf numFmtId="177" fontId="0" fillId="0" borderId="11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176" fontId="0" fillId="0" borderId="14" xfId="0" applyNumberFormat="1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4">
    <dxf>
      <fill>
        <patternFill patternType="solid">
          <bgColor theme="4" tint="0.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Calls / Hour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'A8'!$A$1</c:f>
              <c:strCache>
                <c:ptCount val="1"/>
                <c:pt idx="0">
                  <c:v>Hour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'A8'!$A$2:$A$18</c:f>
              <c:numCache>
                <c:formatCode>0_ </c:formatCode>
                <c:ptCount val="17"/>
                <c:pt idx="0">
                  <c:v>6</c:v>
                </c:pt>
                <c:pt idx="1">
                  <c:v>19</c:v>
                </c:pt>
                <c:pt idx="2">
                  <c:v>20</c:v>
                </c:pt>
                <c:pt idx="3">
                  <c:v>9</c:v>
                </c:pt>
                <c:pt idx="4">
                  <c:v>8</c:v>
                </c:pt>
                <c:pt idx="5">
                  <c:v>13</c:v>
                </c:pt>
                <c:pt idx="6">
                  <c:v>16</c:v>
                </c:pt>
                <c:pt idx="7">
                  <c:v>10</c:v>
                </c:pt>
                <c:pt idx="8">
                  <c:v>14</c:v>
                </c:pt>
                <c:pt idx="9">
                  <c:v>11</c:v>
                </c:pt>
                <c:pt idx="10">
                  <c:v>15</c:v>
                </c:pt>
                <c:pt idx="11">
                  <c:v>12</c:v>
                </c:pt>
                <c:pt idx="12">
                  <c:v>18</c:v>
                </c:pt>
                <c:pt idx="13">
                  <c:v>21</c:v>
                </c:pt>
                <c:pt idx="14">
                  <c:v>22</c:v>
                </c:pt>
                <c:pt idx="15">
                  <c:v>7</c:v>
                </c:pt>
                <c:pt idx="16">
                  <c:v>17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'A8'!$B$1</c:f>
              <c:strCache>
                <c:ptCount val="1"/>
                <c:pt idx="0">
                  <c:v>Calls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'A8'!$B$2:$B$18</c:f>
              <c:numCache>
                <c:formatCode>0_ </c:formatCode>
                <c:ptCount val="17"/>
                <c:pt idx="0">
                  <c:v>23</c:v>
                </c:pt>
                <c:pt idx="1">
                  <c:v>27</c:v>
                </c:pt>
                <c:pt idx="2">
                  <c:v>27</c:v>
                </c:pt>
                <c:pt idx="3">
                  <c:v>26</c:v>
                </c:pt>
                <c:pt idx="4">
                  <c:v>30</c:v>
                </c:pt>
                <c:pt idx="5">
                  <c:v>33</c:v>
                </c:pt>
                <c:pt idx="6">
                  <c:v>32</c:v>
                </c:pt>
                <c:pt idx="7">
                  <c:v>30</c:v>
                </c:pt>
                <c:pt idx="8">
                  <c:v>26</c:v>
                </c:pt>
                <c:pt idx="9">
                  <c:v>24</c:v>
                </c:pt>
                <c:pt idx="10">
                  <c:v>29</c:v>
                </c:pt>
                <c:pt idx="11">
                  <c:v>30</c:v>
                </c:pt>
                <c:pt idx="12">
                  <c:v>34</c:v>
                </c:pt>
                <c:pt idx="13">
                  <c:v>26</c:v>
                </c:pt>
                <c:pt idx="14">
                  <c:v>34</c:v>
                </c:pt>
                <c:pt idx="15">
                  <c:v>39</c:v>
                </c:pt>
                <c:pt idx="16">
                  <c:v>30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61791146"/>
        <c:axId val="45936326"/>
      </c:lineChart>
      <c:dateAx>
        <c:axId val="46179114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Hour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936326"/>
        <c:crosses val="autoZero"/>
        <c:auto val="1"/>
        <c:lblAlgn val="ctr"/>
        <c:lblOffset val="100"/>
        <c:baseTimeUnit val="days"/>
      </c:dateAx>
      <c:valAx>
        <c:axId val="4593632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Calls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7911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368300</xdr:colOff>
      <xdr:row>1</xdr:row>
      <xdr:rowOff>153670</xdr:rowOff>
    </xdr:from>
    <xdr:to>
      <xdr:col>9</xdr:col>
      <xdr:colOff>567690</xdr:colOff>
      <xdr:row>16</xdr:row>
      <xdr:rowOff>106045</xdr:rowOff>
    </xdr:to>
    <xdr:graphicFrame>
      <xdr:nvGraphicFramePr>
        <xdr:cNvPr id="5" name="Chart 4"/>
        <xdr:cNvGraphicFramePr/>
      </xdr:nvGraphicFramePr>
      <xdr:xfrm>
        <a:off x="3349625" y="344170"/>
        <a:ext cx="6066790" cy="2809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workbookViewId="0">
      <selection activeCell="D1" sqref="D$1:D$1048576"/>
    </sheetView>
  </sheetViews>
  <sheetFormatPr defaultColWidth="8.8" defaultRowHeight="15" outlineLevelCol="5"/>
  <cols>
    <col min="1" max="2" width="15.8" style="29" customWidth="1"/>
    <col min="3" max="3" width="13.2" style="29" customWidth="1"/>
    <col min="4" max="4" width="16.4" style="19" customWidth="1"/>
    <col min="5" max="5" width="20.3" style="111" customWidth="1"/>
    <col min="6" max="6" width="20.8" style="111" customWidth="1"/>
  </cols>
  <sheetData>
    <row r="1" spans="1:6">
      <c r="A1" s="54" t="s">
        <v>0</v>
      </c>
      <c r="B1" s="32" t="s">
        <v>1</v>
      </c>
      <c r="C1" s="32" t="s">
        <v>2</v>
      </c>
      <c r="D1" s="112" t="s">
        <v>3</v>
      </c>
      <c r="E1" s="114" t="s">
        <v>4</v>
      </c>
      <c r="F1" s="115" t="s">
        <v>5</v>
      </c>
    </row>
    <row r="2" spans="1:6">
      <c r="A2" s="55">
        <v>45295.2828356481</v>
      </c>
      <c r="B2" s="56">
        <v>45295.2893287037</v>
      </c>
      <c r="C2" s="35">
        <v>238</v>
      </c>
      <c r="D2" s="113">
        <f>(B2-A2)*86400</f>
        <v>561.00000415463</v>
      </c>
      <c r="E2" s="109">
        <f>B2-A2</f>
        <v>0.00649305560364155</v>
      </c>
      <c r="F2" s="116">
        <f>C2/86400</f>
        <v>0.00275462962962963</v>
      </c>
    </row>
    <row r="3" spans="1:6">
      <c r="A3" s="55">
        <v>45310.7930671296</v>
      </c>
      <c r="B3" s="56">
        <v>45310.7959722222</v>
      </c>
      <c r="C3" s="35">
        <v>233</v>
      </c>
      <c r="D3" s="113">
        <f>(B3-A3)*86400</f>
        <v>251.000000839122</v>
      </c>
      <c r="E3" s="109">
        <f t="shared" ref="E3:E66" si="0">B3-A3</f>
        <v>0.00290509260230465</v>
      </c>
      <c r="F3" s="116">
        <f t="shared" ref="F3:F66" si="1">C3/86400</f>
        <v>0.00269675925925926</v>
      </c>
    </row>
    <row r="4" spans="1:6">
      <c r="A4" s="55">
        <v>45299.859224537</v>
      </c>
      <c r="B4" s="56">
        <v>45299.8790972222</v>
      </c>
      <c r="C4" s="35">
        <v>16</v>
      </c>
      <c r="D4" s="113">
        <f>(B4-A4)*86400</f>
        <v>1717.00000092387</v>
      </c>
      <c r="E4" s="109">
        <f t="shared" si="0"/>
        <v>0.0198726851958781</v>
      </c>
      <c r="F4" s="116">
        <f t="shared" si="1"/>
        <v>0.000185185185185185</v>
      </c>
    </row>
    <row r="5" spans="1:6">
      <c r="A5" s="55">
        <v>45302.37875</v>
      </c>
      <c r="B5" s="56">
        <v>45302.3817361111</v>
      </c>
      <c r="C5" s="35">
        <v>377</v>
      </c>
      <c r="D5" s="113">
        <f>(B5-A5)*86400</f>
        <v>257.999998703599</v>
      </c>
      <c r="E5" s="109">
        <f t="shared" si="0"/>
        <v>0.00298611109610647</v>
      </c>
      <c r="F5" s="116">
        <f t="shared" si="1"/>
        <v>0.00436342592592593</v>
      </c>
    </row>
    <row r="6" spans="1:6">
      <c r="A6" s="55">
        <v>45304.3578472222</v>
      </c>
      <c r="B6" s="56">
        <v>45304.3781944444</v>
      </c>
      <c r="C6" s="35">
        <v>380</v>
      </c>
      <c r="D6" s="113">
        <f t="shared" ref="D6:D69" si="2">(B6-A6)*86400</f>
        <v>1757.99999793526</v>
      </c>
      <c r="E6" s="109">
        <f t="shared" si="0"/>
        <v>0.0203472221983247</v>
      </c>
      <c r="F6" s="116">
        <f t="shared" si="1"/>
        <v>0.00439814814814815</v>
      </c>
    </row>
    <row r="7" spans="1:6">
      <c r="A7" s="55">
        <v>45294.5799305556</v>
      </c>
      <c r="B7" s="56">
        <v>45294.5896296296</v>
      </c>
      <c r="C7" s="35">
        <v>294</v>
      </c>
      <c r="D7" s="113">
        <f t="shared" si="2"/>
        <v>837.999993469566</v>
      </c>
      <c r="E7" s="109">
        <f t="shared" si="0"/>
        <v>0.00969907399849035</v>
      </c>
      <c r="F7" s="116">
        <f t="shared" si="1"/>
        <v>0.00340277777777778</v>
      </c>
    </row>
    <row r="8" spans="1:6">
      <c r="A8" s="55">
        <v>45300.3601851852</v>
      </c>
      <c r="B8" s="56">
        <v>45300.3649305556</v>
      </c>
      <c r="C8" s="35">
        <v>556</v>
      </c>
      <c r="D8" s="113">
        <f t="shared" si="2"/>
        <v>410.000002803281</v>
      </c>
      <c r="E8" s="109">
        <f t="shared" si="0"/>
        <v>0.00474537040281575</v>
      </c>
      <c r="F8" s="116">
        <f t="shared" si="1"/>
        <v>0.00643518518518519</v>
      </c>
    </row>
    <row r="9" spans="1:6">
      <c r="A9" s="55">
        <v>45309.5717592593</v>
      </c>
      <c r="B9" s="56">
        <v>45309.5924305556</v>
      </c>
      <c r="C9" s="35">
        <v>67</v>
      </c>
      <c r="D9" s="113">
        <f t="shared" si="2"/>
        <v>1786.00000008009</v>
      </c>
      <c r="E9" s="109">
        <f t="shared" si="0"/>
        <v>0.0206712962972233</v>
      </c>
      <c r="F9" s="116">
        <f t="shared" si="1"/>
        <v>0.000775462962962963</v>
      </c>
    </row>
    <row r="10" spans="1:6">
      <c r="A10" s="55">
        <v>45310.6761689815</v>
      </c>
      <c r="B10" s="56">
        <v>45310.6886921296</v>
      </c>
      <c r="C10" s="35">
        <v>415</v>
      </c>
      <c r="D10" s="113">
        <f t="shared" si="2"/>
        <v>1081.99999581557</v>
      </c>
      <c r="E10" s="109">
        <f t="shared" si="0"/>
        <v>0.0125231480997172</v>
      </c>
      <c r="F10" s="116">
        <f t="shared" si="1"/>
        <v>0.00480324074074074</v>
      </c>
    </row>
    <row r="11" spans="1:6">
      <c r="A11" s="55">
        <v>45315.8316782407</v>
      </c>
      <c r="B11" s="56">
        <v>45315.8418287037</v>
      </c>
      <c r="C11" s="35">
        <v>380</v>
      </c>
      <c r="D11" s="113">
        <f t="shared" si="2"/>
        <v>877.000003214926</v>
      </c>
      <c r="E11" s="109">
        <f t="shared" si="0"/>
        <v>0.0101504630001727</v>
      </c>
      <c r="F11" s="116">
        <f t="shared" si="1"/>
        <v>0.00439814814814815</v>
      </c>
    </row>
    <row r="12" spans="1:6">
      <c r="A12" s="55">
        <v>45295.4445601852</v>
      </c>
      <c r="B12" s="56">
        <v>45295.4640277778</v>
      </c>
      <c r="C12" s="35">
        <v>442</v>
      </c>
      <c r="D12" s="113">
        <f t="shared" si="2"/>
        <v>1682.00000091456</v>
      </c>
      <c r="E12" s="109">
        <f t="shared" si="0"/>
        <v>0.0194675926031778</v>
      </c>
      <c r="F12" s="116">
        <f t="shared" si="1"/>
        <v>0.00511574074074074</v>
      </c>
    </row>
    <row r="13" spans="1:6">
      <c r="A13" s="55">
        <v>45300.2803935185</v>
      </c>
      <c r="B13" s="56">
        <v>45300.2837962963</v>
      </c>
      <c r="C13" s="35">
        <v>559</v>
      </c>
      <c r="D13" s="113">
        <f t="shared" si="2"/>
        <v>294.000002089888</v>
      </c>
      <c r="E13" s="109">
        <f t="shared" si="0"/>
        <v>0.00340277780196629</v>
      </c>
      <c r="F13" s="116">
        <f t="shared" si="1"/>
        <v>0.00646990740740741</v>
      </c>
    </row>
    <row r="14" spans="1:6">
      <c r="A14" s="55">
        <v>45292.6061111111</v>
      </c>
      <c r="B14" s="56">
        <v>45292.6110300926</v>
      </c>
      <c r="C14" s="35">
        <v>529</v>
      </c>
      <c r="D14" s="113">
        <f t="shared" si="2"/>
        <v>425.000001909211</v>
      </c>
      <c r="E14" s="109">
        <f t="shared" si="0"/>
        <v>0.00491898150357883</v>
      </c>
      <c r="F14" s="116">
        <f t="shared" si="1"/>
        <v>0.00612268518518518</v>
      </c>
    </row>
    <row r="15" spans="1:6">
      <c r="A15" s="55">
        <v>45303.4825115741</v>
      </c>
      <c r="B15" s="56">
        <v>45303.495775463</v>
      </c>
      <c r="C15" s="35">
        <v>10</v>
      </c>
      <c r="D15" s="113">
        <f t="shared" si="2"/>
        <v>1146.00000134669</v>
      </c>
      <c r="E15" s="109">
        <f t="shared" si="0"/>
        <v>0.0132638889044756</v>
      </c>
      <c r="F15" s="116">
        <f t="shared" si="1"/>
        <v>0.000115740740740741</v>
      </c>
    </row>
    <row r="16" spans="1:6">
      <c r="A16" s="55">
        <v>45317.6354513889</v>
      </c>
      <c r="B16" s="56">
        <v>45317.6418518519</v>
      </c>
      <c r="C16" s="35">
        <v>590</v>
      </c>
      <c r="D16" s="113">
        <f t="shared" si="2"/>
        <v>553.000002913177</v>
      </c>
      <c r="E16" s="109">
        <f t="shared" si="0"/>
        <v>0.00640046299668029</v>
      </c>
      <c r="F16" s="116">
        <f t="shared" si="1"/>
        <v>0.0068287037037037</v>
      </c>
    </row>
    <row r="17" spans="1:6">
      <c r="A17" s="55">
        <v>45309.4227083333</v>
      </c>
      <c r="B17" s="56">
        <v>45309.4346643519</v>
      </c>
      <c r="C17" s="35">
        <v>572</v>
      </c>
      <c r="D17" s="113">
        <f t="shared" si="2"/>
        <v>1033.00000699237</v>
      </c>
      <c r="E17" s="109">
        <f t="shared" si="0"/>
        <v>0.0119560185994487</v>
      </c>
      <c r="F17" s="116">
        <f t="shared" si="1"/>
        <v>0.00662037037037037</v>
      </c>
    </row>
    <row r="18" spans="1:6">
      <c r="A18" s="55">
        <v>45309.5314699074</v>
      </c>
      <c r="B18" s="56">
        <v>45309.5416203704</v>
      </c>
      <c r="C18" s="35">
        <v>392</v>
      </c>
      <c r="D18" s="113">
        <f t="shared" si="2"/>
        <v>877.000003214926</v>
      </c>
      <c r="E18" s="109">
        <f t="shared" si="0"/>
        <v>0.0101504630001727</v>
      </c>
      <c r="F18" s="116">
        <f t="shared" si="1"/>
        <v>0.00453703703703704</v>
      </c>
    </row>
    <row r="19" spans="1:6">
      <c r="A19" s="55">
        <v>45309.5675231482</v>
      </c>
      <c r="B19" s="56">
        <v>45309.5683796296</v>
      </c>
      <c r="C19" s="35">
        <v>82</v>
      </c>
      <c r="D19" s="113">
        <f t="shared" si="2"/>
        <v>73.9999927813187</v>
      </c>
      <c r="E19" s="109">
        <f t="shared" si="0"/>
        <v>0.00085648139793193</v>
      </c>
      <c r="F19" s="116">
        <f t="shared" si="1"/>
        <v>0.000949074074074074</v>
      </c>
    </row>
    <row r="20" spans="1:6">
      <c r="A20" s="55">
        <v>45308.5539583333</v>
      </c>
      <c r="B20" s="56">
        <v>45308.5661574074</v>
      </c>
      <c r="C20" s="35">
        <v>229</v>
      </c>
      <c r="D20" s="113">
        <f t="shared" si="2"/>
        <v>1054.00000184309</v>
      </c>
      <c r="E20" s="109">
        <f t="shared" si="0"/>
        <v>0.0121990740954061</v>
      </c>
      <c r="F20" s="116">
        <f t="shared" si="1"/>
        <v>0.00265046296296296</v>
      </c>
    </row>
    <row r="21" spans="1:6">
      <c r="A21" s="55">
        <v>45307.5767361111</v>
      </c>
      <c r="B21" s="56">
        <v>45307.5965625</v>
      </c>
      <c r="C21" s="35">
        <v>426</v>
      </c>
      <c r="D21" s="113">
        <f t="shared" si="2"/>
        <v>1713.00000124611</v>
      </c>
      <c r="E21" s="109">
        <f t="shared" si="0"/>
        <v>0.0198263889033115</v>
      </c>
      <c r="F21" s="116">
        <f t="shared" si="1"/>
        <v>0.00493055555555556</v>
      </c>
    </row>
    <row r="22" spans="1:6">
      <c r="A22" s="55">
        <v>45305.8720601852</v>
      </c>
      <c r="B22" s="56">
        <v>45305.8740277778</v>
      </c>
      <c r="C22" s="35">
        <v>110</v>
      </c>
      <c r="D22" s="113">
        <f t="shared" si="2"/>
        <v>170.000000763685</v>
      </c>
      <c r="E22" s="109">
        <f t="shared" si="0"/>
        <v>0.00196759260143153</v>
      </c>
      <c r="F22" s="116">
        <f t="shared" si="1"/>
        <v>0.00127314814814815</v>
      </c>
    </row>
    <row r="23" spans="1:6">
      <c r="A23" s="55">
        <v>45298.5239351852</v>
      </c>
      <c r="B23" s="56">
        <v>45298.5279513889</v>
      </c>
      <c r="C23" s="35">
        <v>442</v>
      </c>
      <c r="D23" s="113">
        <f t="shared" si="2"/>
        <v>347.000000020489</v>
      </c>
      <c r="E23" s="109">
        <f t="shared" si="0"/>
        <v>0.00401620370394085</v>
      </c>
      <c r="F23" s="116">
        <f t="shared" si="1"/>
        <v>0.00511574074074074</v>
      </c>
    </row>
    <row r="24" spans="1:6">
      <c r="A24" s="55">
        <v>45319.3775578704</v>
      </c>
      <c r="B24" s="56">
        <v>45319.3910648148</v>
      </c>
      <c r="C24" s="35">
        <v>25</v>
      </c>
      <c r="D24" s="113">
        <f t="shared" si="2"/>
        <v>1166.99999619741</v>
      </c>
      <c r="E24" s="109">
        <f t="shared" si="0"/>
        <v>0.013506944400433</v>
      </c>
      <c r="F24" s="116">
        <f t="shared" si="1"/>
        <v>0.000289351851851852</v>
      </c>
    </row>
    <row r="25" spans="1:6">
      <c r="A25" s="55">
        <v>45319.7896180556</v>
      </c>
      <c r="B25" s="56">
        <v>45319.794212963</v>
      </c>
      <c r="C25" s="35">
        <v>398</v>
      </c>
      <c r="D25" s="113">
        <f t="shared" si="2"/>
        <v>396.999999764375</v>
      </c>
      <c r="E25" s="109">
        <f t="shared" si="0"/>
        <v>0.00459490740468027</v>
      </c>
      <c r="F25" s="116">
        <f t="shared" si="1"/>
        <v>0.00460648148148148</v>
      </c>
    </row>
    <row r="26" spans="1:6">
      <c r="A26" s="55">
        <v>45305.8813888889</v>
      </c>
      <c r="B26" s="56">
        <v>45305.8891087963</v>
      </c>
      <c r="C26" s="35">
        <v>232</v>
      </c>
      <c r="D26" s="113">
        <f t="shared" si="2"/>
        <v>666.99999938719</v>
      </c>
      <c r="E26" s="109">
        <f t="shared" si="0"/>
        <v>0.0077199074003147</v>
      </c>
      <c r="F26" s="116">
        <f t="shared" si="1"/>
        <v>0.00268518518518518</v>
      </c>
    </row>
    <row r="27" spans="1:6">
      <c r="A27" s="55">
        <v>45307.9575694444</v>
      </c>
      <c r="B27" s="56">
        <v>45307.9708449074</v>
      </c>
      <c r="C27" s="35">
        <v>171</v>
      </c>
      <c r="D27" s="113">
        <f t="shared" si="2"/>
        <v>1147.00000346638</v>
      </c>
      <c r="E27" s="109">
        <f t="shared" si="0"/>
        <v>0.0132754630030831</v>
      </c>
      <c r="F27" s="116">
        <f t="shared" si="1"/>
        <v>0.00197916666666667</v>
      </c>
    </row>
    <row r="28" spans="1:6">
      <c r="A28" s="55">
        <v>45304.4143055556</v>
      </c>
      <c r="B28" s="56">
        <v>45304.4208333333</v>
      </c>
      <c r="C28" s="35">
        <v>50</v>
      </c>
      <c r="D28" s="113">
        <f t="shared" si="2"/>
        <v>563.999993540347</v>
      </c>
      <c r="E28" s="109">
        <f t="shared" si="0"/>
        <v>0.00652777770301327</v>
      </c>
      <c r="F28" s="116">
        <f t="shared" si="1"/>
        <v>0.000578703703703704</v>
      </c>
    </row>
    <row r="29" spans="1:6">
      <c r="A29" s="55">
        <v>45302.5928472222</v>
      </c>
      <c r="B29" s="56">
        <v>45302.6105092593</v>
      </c>
      <c r="C29" s="35">
        <v>331</v>
      </c>
      <c r="D29" s="113">
        <f t="shared" si="2"/>
        <v>1526.00000530947</v>
      </c>
      <c r="E29" s="109">
        <f t="shared" si="0"/>
        <v>0.0176620370984892</v>
      </c>
      <c r="F29" s="116">
        <f t="shared" si="1"/>
        <v>0.00383101851851852</v>
      </c>
    </row>
    <row r="30" spans="1:6">
      <c r="A30" s="55">
        <v>45316.3336689815</v>
      </c>
      <c r="B30" s="56">
        <v>45316.3490856482</v>
      </c>
      <c r="C30" s="35">
        <v>586</v>
      </c>
      <c r="D30" s="113">
        <f t="shared" si="2"/>
        <v>1332.000003336</v>
      </c>
      <c r="E30" s="109">
        <f t="shared" si="0"/>
        <v>0.0154166667052777</v>
      </c>
      <c r="F30" s="116">
        <f t="shared" si="1"/>
        <v>0.00678240740740741</v>
      </c>
    </row>
    <row r="31" spans="1:6">
      <c r="A31" s="55">
        <v>45294.5578472222</v>
      </c>
      <c r="B31" s="56">
        <v>45294.5622800926</v>
      </c>
      <c r="C31" s="35">
        <v>458</v>
      </c>
      <c r="D31" s="113">
        <f t="shared" si="2"/>
        <v>383.000002778135</v>
      </c>
      <c r="E31" s="109">
        <f t="shared" si="0"/>
        <v>0.00443287040252471</v>
      </c>
      <c r="F31" s="116">
        <f t="shared" si="1"/>
        <v>0.00530092592592593</v>
      </c>
    </row>
    <row r="32" spans="1:6">
      <c r="A32" s="55">
        <v>45292.6664583333</v>
      </c>
      <c r="B32" s="56">
        <v>45292.6696064815</v>
      </c>
      <c r="C32" s="35">
        <v>147</v>
      </c>
      <c r="D32" s="113">
        <f t="shared" si="2"/>
        <v>272.000004490837</v>
      </c>
      <c r="E32" s="109">
        <f t="shared" si="0"/>
        <v>0.00314814820012543</v>
      </c>
      <c r="F32" s="116">
        <f t="shared" si="1"/>
        <v>0.00170138888888889</v>
      </c>
    </row>
    <row r="33" spans="1:6">
      <c r="A33" s="55">
        <v>45301.5314930556</v>
      </c>
      <c r="B33" s="56">
        <v>45301.5370023148</v>
      </c>
      <c r="C33" s="35">
        <v>280</v>
      </c>
      <c r="D33" s="113">
        <f t="shared" si="2"/>
        <v>475.999994971789</v>
      </c>
      <c r="E33" s="109">
        <f t="shared" si="0"/>
        <v>0.00550925920106238</v>
      </c>
      <c r="F33" s="116">
        <f t="shared" si="1"/>
        <v>0.00324074074074074</v>
      </c>
    </row>
    <row r="34" spans="1:6">
      <c r="A34" s="55">
        <v>45312.8286689815</v>
      </c>
      <c r="B34" s="56">
        <v>45312.8304050926</v>
      </c>
      <c r="C34" s="35">
        <v>13</v>
      </c>
      <c r="D34" s="113">
        <f t="shared" si="2"/>
        <v>149.999999231659</v>
      </c>
      <c r="E34" s="109">
        <f t="shared" si="0"/>
        <v>0.00173611110221827</v>
      </c>
      <c r="F34" s="116">
        <f t="shared" si="1"/>
        <v>0.000150462962962963</v>
      </c>
    </row>
    <row r="35" spans="1:6">
      <c r="A35" s="55">
        <v>45306.8159722222</v>
      </c>
      <c r="B35" s="56">
        <v>45306.8193171296</v>
      </c>
      <c r="C35" s="35">
        <v>87</v>
      </c>
      <c r="D35" s="113">
        <f t="shared" si="2"/>
        <v>288.999999663793</v>
      </c>
      <c r="E35" s="109">
        <f t="shared" si="0"/>
        <v>0.00334490740351612</v>
      </c>
      <c r="F35" s="116">
        <f t="shared" si="1"/>
        <v>0.00100694444444444</v>
      </c>
    </row>
    <row r="36" spans="1:6">
      <c r="A36" s="55">
        <v>45296.3051273148</v>
      </c>
      <c r="B36" s="56">
        <v>45296.3246875</v>
      </c>
      <c r="C36" s="35">
        <v>50</v>
      </c>
      <c r="D36" s="113">
        <f t="shared" si="2"/>
        <v>1690.00000089873</v>
      </c>
      <c r="E36" s="109">
        <f t="shared" si="0"/>
        <v>0.0195601851955871</v>
      </c>
      <c r="F36" s="116">
        <f t="shared" si="1"/>
        <v>0.000578703703703704</v>
      </c>
    </row>
    <row r="37" spans="1:6">
      <c r="A37" s="55">
        <v>45319.8192939815</v>
      </c>
      <c r="B37" s="56">
        <v>45319.8236458333</v>
      </c>
      <c r="C37" s="35">
        <v>252</v>
      </c>
      <c r="D37" s="113">
        <f t="shared" si="2"/>
        <v>375.999995484017</v>
      </c>
      <c r="E37" s="109">
        <f t="shared" si="0"/>
        <v>0.00435185179958353</v>
      </c>
      <c r="F37" s="116">
        <f t="shared" si="1"/>
        <v>0.00291666666666667</v>
      </c>
    </row>
    <row r="38" spans="1:6">
      <c r="A38" s="55">
        <v>45305.553587963</v>
      </c>
      <c r="B38" s="56">
        <v>45305.5729398148</v>
      </c>
      <c r="C38" s="35">
        <v>120</v>
      </c>
      <c r="D38" s="113">
        <f t="shared" si="2"/>
        <v>1671.99999606237</v>
      </c>
      <c r="E38" s="109">
        <f t="shared" si="0"/>
        <v>0.0193518518062774</v>
      </c>
      <c r="F38" s="116">
        <f t="shared" si="1"/>
        <v>0.00138888888888889</v>
      </c>
    </row>
    <row r="39" spans="1:6">
      <c r="A39" s="55">
        <v>45317.551400463</v>
      </c>
      <c r="B39" s="56">
        <v>45317.5677314815</v>
      </c>
      <c r="C39" s="35">
        <v>207</v>
      </c>
      <c r="D39" s="113">
        <f t="shared" si="2"/>
        <v>1410.99999791477</v>
      </c>
      <c r="E39" s="109">
        <f t="shared" si="0"/>
        <v>0.0163310184943839</v>
      </c>
      <c r="F39" s="116">
        <f t="shared" si="1"/>
        <v>0.00239583333333333</v>
      </c>
    </row>
    <row r="40" spans="1:6">
      <c r="A40" s="55">
        <v>45312.934525463</v>
      </c>
      <c r="B40" s="56">
        <v>45312.9552083333</v>
      </c>
      <c r="C40" s="35">
        <v>559</v>
      </c>
      <c r="D40" s="113">
        <f t="shared" si="2"/>
        <v>1786.99999339879</v>
      </c>
      <c r="E40" s="109">
        <f t="shared" si="0"/>
        <v>0.0206828702939674</v>
      </c>
      <c r="F40" s="116">
        <f t="shared" si="1"/>
        <v>0.00646990740740741</v>
      </c>
    </row>
    <row r="41" spans="1:6">
      <c r="A41" s="55">
        <v>45310.5847916667</v>
      </c>
      <c r="B41" s="56">
        <v>45310.5996180556</v>
      </c>
      <c r="C41" s="35">
        <v>454</v>
      </c>
      <c r="D41" s="113">
        <f t="shared" si="2"/>
        <v>1281.00000147242</v>
      </c>
      <c r="E41" s="109">
        <f t="shared" si="0"/>
        <v>0.0148263889059308</v>
      </c>
      <c r="F41" s="116">
        <f t="shared" si="1"/>
        <v>0.00525462962962963</v>
      </c>
    </row>
    <row r="42" spans="1:6">
      <c r="A42" s="55">
        <v>45304.5111342593</v>
      </c>
      <c r="B42" s="56">
        <v>45304.5286226852</v>
      </c>
      <c r="C42" s="35">
        <v>456</v>
      </c>
      <c r="D42" s="113">
        <f t="shared" si="2"/>
        <v>1510.99999740254</v>
      </c>
      <c r="E42" s="109">
        <f t="shared" si="0"/>
        <v>0.0174884258958627</v>
      </c>
      <c r="F42" s="116">
        <f t="shared" si="1"/>
        <v>0.00527777777777778</v>
      </c>
    </row>
    <row r="43" spans="1:6">
      <c r="A43" s="55">
        <v>45302.6964583333</v>
      </c>
      <c r="B43" s="56">
        <v>45302.7001041667</v>
      </c>
      <c r="C43" s="35">
        <v>317</v>
      </c>
      <c r="D43" s="113">
        <f t="shared" si="2"/>
        <v>315.000005741604</v>
      </c>
      <c r="E43" s="109">
        <f t="shared" si="0"/>
        <v>0.00364583339978708</v>
      </c>
      <c r="F43" s="116">
        <f t="shared" si="1"/>
        <v>0.00366898148148148</v>
      </c>
    </row>
    <row r="44" spans="1:6">
      <c r="A44" s="55">
        <v>45301.4253009259</v>
      </c>
      <c r="B44" s="56">
        <v>45301.4417476852</v>
      </c>
      <c r="C44" s="35">
        <v>398</v>
      </c>
      <c r="D44" s="113">
        <f t="shared" si="2"/>
        <v>1421.00000402424</v>
      </c>
      <c r="E44" s="109">
        <f t="shared" si="0"/>
        <v>0.0164467593058362</v>
      </c>
      <c r="F44" s="116">
        <f t="shared" si="1"/>
        <v>0.00460648148148148</v>
      </c>
    </row>
    <row r="45" spans="1:6">
      <c r="A45" s="55">
        <v>45301.5193287037</v>
      </c>
      <c r="B45" s="56">
        <v>45301.5337615741</v>
      </c>
      <c r="C45" s="35">
        <v>339</v>
      </c>
      <c r="D45" s="113">
        <f t="shared" si="2"/>
        <v>1247.00000295416</v>
      </c>
      <c r="E45" s="109">
        <f t="shared" si="0"/>
        <v>0.014432870404562</v>
      </c>
      <c r="F45" s="116">
        <f t="shared" si="1"/>
        <v>0.00392361111111111</v>
      </c>
    </row>
    <row r="46" spans="1:6">
      <c r="A46" s="55">
        <v>45317.4875578704</v>
      </c>
      <c r="B46" s="56">
        <v>45317.4949768518</v>
      </c>
      <c r="C46" s="35">
        <v>537</v>
      </c>
      <c r="D46" s="113">
        <f t="shared" si="2"/>
        <v>640.999992680736</v>
      </c>
      <c r="E46" s="109">
        <f t="shared" si="0"/>
        <v>0.00741898139676778</v>
      </c>
      <c r="F46" s="116">
        <f t="shared" si="1"/>
        <v>0.00621527777777778</v>
      </c>
    </row>
    <row r="47" spans="1:6">
      <c r="A47" s="55">
        <v>45301.5772222222</v>
      </c>
      <c r="B47" s="56">
        <v>45301.581400463</v>
      </c>
      <c r="C47" s="35">
        <v>35</v>
      </c>
      <c r="D47" s="113">
        <f t="shared" si="2"/>
        <v>361.000005179085</v>
      </c>
      <c r="E47" s="109">
        <f t="shared" si="0"/>
        <v>0.00417824080068385</v>
      </c>
      <c r="F47" s="116">
        <f t="shared" si="1"/>
        <v>0.000405092592592593</v>
      </c>
    </row>
    <row r="48" spans="1:6">
      <c r="A48" s="55">
        <v>45305.5317592593</v>
      </c>
      <c r="B48" s="56">
        <v>45305.5415509259</v>
      </c>
      <c r="C48" s="35">
        <v>516</v>
      </c>
      <c r="D48" s="113">
        <f t="shared" si="2"/>
        <v>845.999994082376</v>
      </c>
      <c r="E48" s="109">
        <f t="shared" si="0"/>
        <v>0.00979166659817565</v>
      </c>
      <c r="F48" s="116">
        <f t="shared" si="1"/>
        <v>0.00597222222222222</v>
      </c>
    </row>
    <row r="49" spans="1:6">
      <c r="A49" s="55">
        <v>45316.4093402778</v>
      </c>
      <c r="B49" s="56">
        <v>45316.4152199074</v>
      </c>
      <c r="C49" s="35">
        <v>190</v>
      </c>
      <c r="D49" s="113">
        <f t="shared" si="2"/>
        <v>507.99999742303</v>
      </c>
      <c r="E49" s="109">
        <f t="shared" si="0"/>
        <v>0.00587962959980359</v>
      </c>
      <c r="F49" s="116">
        <f t="shared" si="1"/>
        <v>0.00219907407407407</v>
      </c>
    </row>
    <row r="50" spans="1:6">
      <c r="A50" s="55">
        <v>45296.8628819444</v>
      </c>
      <c r="B50" s="56">
        <v>45296.8768171296</v>
      </c>
      <c r="C50" s="35">
        <v>334</v>
      </c>
      <c r="D50" s="113">
        <f t="shared" si="2"/>
        <v>1204.00000170339</v>
      </c>
      <c r="E50" s="109">
        <f t="shared" si="0"/>
        <v>0.0139351852049003</v>
      </c>
      <c r="F50" s="116">
        <f t="shared" si="1"/>
        <v>0.00386574074074074</v>
      </c>
    </row>
    <row r="51" spans="1:6">
      <c r="A51" s="55">
        <v>45319.8946296296</v>
      </c>
      <c r="B51" s="56">
        <v>45319.9131365741</v>
      </c>
      <c r="C51" s="35">
        <v>263</v>
      </c>
      <c r="D51" s="113">
        <f t="shared" si="2"/>
        <v>1599.0000047721</v>
      </c>
      <c r="E51" s="109">
        <f t="shared" si="0"/>
        <v>0.018506944499677</v>
      </c>
      <c r="F51" s="116">
        <f t="shared" si="1"/>
        <v>0.00304398148148148</v>
      </c>
    </row>
    <row r="52" spans="1:6">
      <c r="A52" s="55">
        <v>45299.5981481482</v>
      </c>
      <c r="B52" s="56">
        <v>45299.6116435185</v>
      </c>
      <c r="C52" s="35">
        <v>92</v>
      </c>
      <c r="D52" s="113">
        <f t="shared" si="2"/>
        <v>1165.99999407772</v>
      </c>
      <c r="E52" s="109">
        <f t="shared" si="0"/>
        <v>0.0134953703018255</v>
      </c>
      <c r="F52" s="116">
        <f t="shared" si="1"/>
        <v>0.00106481481481481</v>
      </c>
    </row>
    <row r="53" spans="1:6">
      <c r="A53" s="55">
        <v>45298.3516898148</v>
      </c>
      <c r="B53" s="56">
        <v>45298.3602199074</v>
      </c>
      <c r="C53" s="35">
        <v>565</v>
      </c>
      <c r="D53" s="113">
        <f t="shared" si="2"/>
        <v>737.000000663102</v>
      </c>
      <c r="E53" s="109">
        <f t="shared" si="0"/>
        <v>0.00853009260026738</v>
      </c>
      <c r="F53" s="116">
        <f t="shared" si="1"/>
        <v>0.00653935185185185</v>
      </c>
    </row>
    <row r="54" spans="1:6">
      <c r="A54" s="55">
        <v>45310.2881481481</v>
      </c>
      <c r="B54" s="56">
        <v>45310.3069791667</v>
      </c>
      <c r="C54" s="35">
        <v>599</v>
      </c>
      <c r="D54" s="113">
        <f t="shared" si="2"/>
        <v>1627.00000691693</v>
      </c>
      <c r="E54" s="109">
        <f t="shared" si="0"/>
        <v>0.0188310185985756</v>
      </c>
      <c r="F54" s="116">
        <f t="shared" si="1"/>
        <v>0.00693287037037037</v>
      </c>
    </row>
    <row r="55" spans="1:6">
      <c r="A55" s="55">
        <v>45304.8158217593</v>
      </c>
      <c r="B55" s="56">
        <v>45304.8339236111</v>
      </c>
      <c r="C55" s="35">
        <v>569</v>
      </c>
      <c r="D55" s="113">
        <f t="shared" si="2"/>
        <v>1563.99999533314</v>
      </c>
      <c r="E55" s="109">
        <f t="shared" si="0"/>
        <v>0.0181018517978373</v>
      </c>
      <c r="F55" s="116">
        <f t="shared" si="1"/>
        <v>0.00658564814814815</v>
      </c>
    </row>
    <row r="56" spans="1:6">
      <c r="A56" s="55">
        <v>45302.7820601852</v>
      </c>
      <c r="B56" s="56">
        <v>45302.8026736111</v>
      </c>
      <c r="C56" s="35">
        <v>488</v>
      </c>
      <c r="D56" s="113">
        <f t="shared" si="2"/>
        <v>1780.999997654</v>
      </c>
      <c r="E56" s="109">
        <f t="shared" si="0"/>
        <v>0.0206134258987731</v>
      </c>
      <c r="F56" s="116">
        <f t="shared" si="1"/>
        <v>0.00564814814814815</v>
      </c>
    </row>
    <row r="57" spans="1:6">
      <c r="A57" s="55">
        <v>45294.7978587963</v>
      </c>
      <c r="B57" s="56">
        <v>45294.8094907407</v>
      </c>
      <c r="C57" s="35">
        <v>196</v>
      </c>
      <c r="D57" s="113">
        <f t="shared" si="2"/>
        <v>1004.99999604654</v>
      </c>
      <c r="E57" s="109">
        <f t="shared" si="0"/>
        <v>0.0116319443986868</v>
      </c>
      <c r="F57" s="116">
        <f t="shared" si="1"/>
        <v>0.00226851851851852</v>
      </c>
    </row>
    <row r="58" spans="1:6">
      <c r="A58" s="55">
        <v>45302.7623611111</v>
      </c>
      <c r="B58" s="56">
        <v>45302.7827662037</v>
      </c>
      <c r="C58" s="35">
        <v>441</v>
      </c>
      <c r="D58" s="113">
        <f t="shared" si="2"/>
        <v>1763.00000099</v>
      </c>
      <c r="E58" s="109">
        <f t="shared" si="0"/>
        <v>0.0204050926040509</v>
      </c>
      <c r="F58" s="116">
        <f t="shared" si="1"/>
        <v>0.00510416666666667</v>
      </c>
    </row>
    <row r="59" spans="1:6">
      <c r="A59" s="55">
        <v>45299.3678356481</v>
      </c>
      <c r="B59" s="56">
        <v>45299.3694791667</v>
      </c>
      <c r="C59" s="35">
        <v>41</v>
      </c>
      <c r="D59" s="113">
        <f t="shared" si="2"/>
        <v>142.000006791204</v>
      </c>
      <c r="E59" s="109">
        <f t="shared" si="0"/>
        <v>0.00164351859712042</v>
      </c>
      <c r="F59" s="116">
        <f t="shared" si="1"/>
        <v>0.000474537037037037</v>
      </c>
    </row>
    <row r="60" spans="1:6">
      <c r="A60" s="55">
        <v>45307.400150463</v>
      </c>
      <c r="B60" s="56">
        <v>45307.4118634259</v>
      </c>
      <c r="C60" s="35">
        <v>272</v>
      </c>
      <c r="D60" s="113">
        <f t="shared" si="2"/>
        <v>1011.99999453966</v>
      </c>
      <c r="E60" s="109">
        <f t="shared" si="0"/>
        <v>0.0117129628997645</v>
      </c>
      <c r="F60" s="116">
        <f t="shared" si="1"/>
        <v>0.00314814814814815</v>
      </c>
    </row>
    <row r="61" spans="1:6">
      <c r="A61" s="55">
        <v>45295.4715972222</v>
      </c>
      <c r="B61" s="56">
        <v>45295.4860069444</v>
      </c>
      <c r="C61" s="35">
        <v>36</v>
      </c>
      <c r="D61" s="113">
        <f t="shared" si="2"/>
        <v>1244.99999808613</v>
      </c>
      <c r="E61" s="109">
        <f t="shared" si="0"/>
        <v>0.014409722200071</v>
      </c>
      <c r="F61" s="116">
        <f t="shared" si="1"/>
        <v>0.000416666666666667</v>
      </c>
    </row>
    <row r="62" spans="1:6">
      <c r="A62" s="55">
        <v>45310.5463425926</v>
      </c>
      <c r="B62" s="56">
        <v>45310.5653472222</v>
      </c>
      <c r="C62" s="35">
        <v>318</v>
      </c>
      <c r="D62" s="113">
        <f t="shared" si="2"/>
        <v>1641.99999722186</v>
      </c>
      <c r="E62" s="109">
        <f t="shared" si="0"/>
        <v>0.0190046295974753</v>
      </c>
      <c r="F62" s="116">
        <f t="shared" si="1"/>
        <v>0.00368055555555556</v>
      </c>
    </row>
    <row r="63" spans="1:6">
      <c r="A63" s="55">
        <v>45305.7114814815</v>
      </c>
      <c r="B63" s="56">
        <v>45305.7275231481</v>
      </c>
      <c r="C63" s="35">
        <v>359</v>
      </c>
      <c r="D63" s="113">
        <f t="shared" si="2"/>
        <v>1385.99999458529</v>
      </c>
      <c r="E63" s="109">
        <f t="shared" si="0"/>
        <v>0.0160416666039964</v>
      </c>
      <c r="F63" s="116">
        <f t="shared" si="1"/>
        <v>0.00415509259259259</v>
      </c>
    </row>
    <row r="64" spans="1:6">
      <c r="A64" s="55">
        <v>45306.4355439815</v>
      </c>
      <c r="B64" s="56">
        <v>45306.4536226852</v>
      </c>
      <c r="C64" s="35">
        <v>544</v>
      </c>
      <c r="D64" s="113">
        <f t="shared" si="2"/>
        <v>1561.99999989476</v>
      </c>
      <c r="E64" s="109">
        <f t="shared" si="0"/>
        <v>0.0180787037024857</v>
      </c>
      <c r="F64" s="116">
        <f t="shared" si="1"/>
        <v>0.0062962962962963</v>
      </c>
    </row>
    <row r="65" spans="1:6">
      <c r="A65" s="55">
        <v>45300.7043402778</v>
      </c>
      <c r="B65" s="56">
        <v>45300.7247222222</v>
      </c>
      <c r="C65" s="35">
        <v>98</v>
      </c>
      <c r="D65" s="113">
        <f t="shared" si="2"/>
        <v>1760.99999612197</v>
      </c>
      <c r="E65" s="109">
        <f t="shared" si="0"/>
        <v>0.0203819443995599</v>
      </c>
      <c r="F65" s="116">
        <f t="shared" si="1"/>
        <v>0.00113425925925926</v>
      </c>
    </row>
    <row r="66" spans="1:6">
      <c r="A66" s="55">
        <v>45313.7645949074</v>
      </c>
      <c r="B66" s="56">
        <v>45313.7770023148</v>
      </c>
      <c r="C66" s="35">
        <v>342</v>
      </c>
      <c r="D66" s="113">
        <f t="shared" si="2"/>
        <v>1071.99999913573</v>
      </c>
      <c r="E66" s="109">
        <f t="shared" si="0"/>
        <v>0.0124074073974043</v>
      </c>
      <c r="F66" s="116">
        <f t="shared" si="1"/>
        <v>0.00395833333333333</v>
      </c>
    </row>
    <row r="67" spans="1:6">
      <c r="A67" s="55">
        <v>45300.6076388889</v>
      </c>
      <c r="B67" s="56">
        <v>45300.6205787037</v>
      </c>
      <c r="C67" s="35">
        <v>205</v>
      </c>
      <c r="D67" s="113">
        <f t="shared" si="2"/>
        <v>1117.99999920186</v>
      </c>
      <c r="E67" s="109">
        <f t="shared" ref="E67:E130" si="3">B67-A67</f>
        <v>0.012939814805577</v>
      </c>
      <c r="F67" s="116">
        <f t="shared" ref="F67:F130" si="4">C67/86400</f>
        <v>0.00237268518518519</v>
      </c>
    </row>
    <row r="68" spans="1:6">
      <c r="A68" s="55">
        <v>45299.9039930556</v>
      </c>
      <c r="B68" s="56">
        <v>45299.9163194444</v>
      </c>
      <c r="C68" s="35">
        <v>468</v>
      </c>
      <c r="D68" s="113">
        <f t="shared" si="2"/>
        <v>1064.99999184161</v>
      </c>
      <c r="E68" s="109">
        <f t="shared" si="3"/>
        <v>0.0123263887944631</v>
      </c>
      <c r="F68" s="116">
        <f t="shared" si="4"/>
        <v>0.00541666666666667</v>
      </c>
    </row>
    <row r="69" spans="1:6">
      <c r="A69" s="55">
        <v>45310.7295717593</v>
      </c>
      <c r="B69" s="56">
        <v>45310.7428472222</v>
      </c>
      <c r="C69" s="35">
        <v>362</v>
      </c>
      <c r="D69" s="113">
        <f t="shared" si="2"/>
        <v>1146.99999466538</v>
      </c>
      <c r="E69" s="109">
        <f t="shared" si="3"/>
        <v>0.0132754629012197</v>
      </c>
      <c r="F69" s="116">
        <f t="shared" si="4"/>
        <v>0.00418981481481481</v>
      </c>
    </row>
    <row r="70" spans="1:6">
      <c r="A70" s="55">
        <v>45300.5470601852</v>
      </c>
      <c r="B70" s="56">
        <v>45300.5523148148</v>
      </c>
      <c r="C70" s="35">
        <v>333</v>
      </c>
      <c r="D70" s="113">
        <f t="shared" ref="D70:D133" si="5">(B70-A70)*86400</f>
        <v>453.999997372739</v>
      </c>
      <c r="E70" s="109">
        <f t="shared" si="3"/>
        <v>0.00525462959922152</v>
      </c>
      <c r="F70" s="116">
        <f t="shared" si="4"/>
        <v>0.00385416666666667</v>
      </c>
    </row>
    <row r="71" spans="1:6">
      <c r="A71" s="55">
        <v>45316.9432638889</v>
      </c>
      <c r="B71" s="56">
        <v>45316.9463310185</v>
      </c>
      <c r="C71" s="35">
        <v>208</v>
      </c>
      <c r="D71" s="113">
        <f t="shared" si="5"/>
        <v>264.999997825362</v>
      </c>
      <c r="E71" s="109">
        <f t="shared" si="3"/>
        <v>0.00306712960446021</v>
      </c>
      <c r="F71" s="116">
        <f t="shared" si="4"/>
        <v>0.00240740740740741</v>
      </c>
    </row>
    <row r="72" spans="1:6">
      <c r="A72" s="55">
        <v>45300.2941550926</v>
      </c>
      <c r="B72" s="56">
        <v>45300.3017708333</v>
      </c>
      <c r="C72" s="35">
        <v>139</v>
      </c>
      <c r="D72" s="113">
        <f t="shared" si="5"/>
        <v>657.999996654689</v>
      </c>
      <c r="E72" s="109">
        <f t="shared" si="3"/>
        <v>0.00761574070202187</v>
      </c>
      <c r="F72" s="116">
        <f t="shared" si="4"/>
        <v>0.0016087962962963</v>
      </c>
    </row>
    <row r="73" spans="1:6">
      <c r="A73" s="55">
        <v>45306.6743402778</v>
      </c>
      <c r="B73" s="56">
        <v>45306.6810185185</v>
      </c>
      <c r="C73" s="35">
        <v>499</v>
      </c>
      <c r="D73" s="113">
        <f t="shared" si="5"/>
        <v>576.999996579252</v>
      </c>
      <c r="E73" s="109">
        <f t="shared" si="3"/>
        <v>0.00667824070114875</v>
      </c>
      <c r="F73" s="116">
        <f t="shared" si="4"/>
        <v>0.00577546296296296</v>
      </c>
    </row>
    <row r="74" spans="1:6">
      <c r="A74" s="55">
        <v>45313.2980208333</v>
      </c>
      <c r="B74" s="56">
        <v>45313.3179398148</v>
      </c>
      <c r="C74" s="35">
        <v>586</v>
      </c>
      <c r="D74" s="113">
        <f t="shared" si="5"/>
        <v>1721.00000123028</v>
      </c>
      <c r="E74" s="109">
        <f t="shared" si="3"/>
        <v>0.0199189814957208</v>
      </c>
      <c r="F74" s="116">
        <f t="shared" si="4"/>
        <v>0.00678240740740741</v>
      </c>
    </row>
    <row r="75" spans="1:6">
      <c r="A75" s="55">
        <v>45311.5760763889</v>
      </c>
      <c r="B75" s="56">
        <v>45311.585787037</v>
      </c>
      <c r="C75" s="35">
        <v>471</v>
      </c>
      <c r="D75" s="113">
        <f t="shared" si="5"/>
        <v>838.999996217899</v>
      </c>
      <c r="E75" s="109">
        <f t="shared" si="3"/>
        <v>0.00971064810437383</v>
      </c>
      <c r="F75" s="116">
        <f t="shared" si="4"/>
        <v>0.00545138888888889</v>
      </c>
    </row>
    <row r="76" spans="1:6">
      <c r="A76" s="55">
        <v>45311.3192939815</v>
      </c>
      <c r="B76" s="56">
        <v>45311.322337963</v>
      </c>
      <c r="C76" s="35">
        <v>222</v>
      </c>
      <c r="D76" s="113">
        <f t="shared" si="5"/>
        <v>263.000001758337</v>
      </c>
      <c r="E76" s="109">
        <f t="shared" si="3"/>
        <v>0.0030439815018326</v>
      </c>
      <c r="F76" s="116">
        <f t="shared" si="4"/>
        <v>0.00256944444444444</v>
      </c>
    </row>
    <row r="77" spans="1:6">
      <c r="A77" s="55">
        <v>45297.2683796296</v>
      </c>
      <c r="B77" s="56">
        <v>45297.2854050926</v>
      </c>
      <c r="C77" s="35">
        <v>491</v>
      </c>
      <c r="D77" s="113">
        <f t="shared" si="5"/>
        <v>1471.00000376813</v>
      </c>
      <c r="E77" s="109">
        <f t="shared" si="3"/>
        <v>0.0170254630065756</v>
      </c>
      <c r="F77" s="116">
        <f t="shared" si="4"/>
        <v>0.00568287037037037</v>
      </c>
    </row>
    <row r="78" spans="1:6">
      <c r="A78" s="55">
        <v>45319.8366087963</v>
      </c>
      <c r="B78" s="56">
        <v>45319.8428356481</v>
      </c>
      <c r="C78" s="35">
        <v>280</v>
      </c>
      <c r="D78" s="113">
        <f t="shared" si="5"/>
        <v>537.999995634891</v>
      </c>
      <c r="E78" s="109">
        <f t="shared" si="3"/>
        <v>0.00622685180132976</v>
      </c>
      <c r="F78" s="116">
        <f t="shared" si="4"/>
        <v>0.00324074074074074</v>
      </c>
    </row>
    <row r="79" spans="1:6">
      <c r="A79" s="55">
        <v>45300.4194791667</v>
      </c>
      <c r="B79" s="56">
        <v>45300.4240972222</v>
      </c>
      <c r="C79" s="35">
        <v>324</v>
      </c>
      <c r="D79" s="113">
        <f t="shared" si="5"/>
        <v>398.999995202757</v>
      </c>
      <c r="E79" s="109">
        <f t="shared" si="3"/>
        <v>0.00461805550003191</v>
      </c>
      <c r="F79" s="116">
        <f t="shared" si="4"/>
        <v>0.00375</v>
      </c>
    </row>
    <row r="80" spans="1:6">
      <c r="A80" s="55">
        <v>45300.9406365741</v>
      </c>
      <c r="B80" s="56">
        <v>45300.9517013889</v>
      </c>
      <c r="C80" s="35">
        <v>92</v>
      </c>
      <c r="D80" s="113">
        <f t="shared" si="5"/>
        <v>955.99999842234</v>
      </c>
      <c r="E80" s="109">
        <f t="shared" si="3"/>
        <v>0.0110648147965549</v>
      </c>
      <c r="F80" s="116">
        <f t="shared" si="4"/>
        <v>0.00106481481481481</v>
      </c>
    </row>
    <row r="81" spans="1:6">
      <c r="A81" s="55">
        <v>45292.3435532407</v>
      </c>
      <c r="B81" s="56">
        <v>45292.3640625</v>
      </c>
      <c r="C81" s="35">
        <v>599</v>
      </c>
      <c r="D81" s="113">
        <f t="shared" si="5"/>
        <v>1772.00000309385</v>
      </c>
      <c r="E81" s="109">
        <f t="shared" si="3"/>
        <v>0.0205092592950677</v>
      </c>
      <c r="F81" s="116">
        <f t="shared" si="4"/>
        <v>0.00693287037037037</v>
      </c>
    </row>
    <row r="82" spans="1:6">
      <c r="A82" s="55">
        <v>45316.4795486111</v>
      </c>
      <c r="B82" s="56">
        <v>45316.4956828704</v>
      </c>
      <c r="C82" s="35">
        <v>462</v>
      </c>
      <c r="D82" s="113">
        <f t="shared" si="5"/>
        <v>1394.00000337046</v>
      </c>
      <c r="E82" s="109">
        <f t="shared" si="3"/>
        <v>0.0161342592982692</v>
      </c>
      <c r="F82" s="116">
        <f t="shared" si="4"/>
        <v>0.00534722222222222</v>
      </c>
    </row>
    <row r="83" spans="1:6">
      <c r="A83" s="55">
        <v>45307.7266319444</v>
      </c>
      <c r="B83" s="56">
        <v>45307.7349305556</v>
      </c>
      <c r="C83" s="35">
        <v>117</v>
      </c>
      <c r="D83" s="113">
        <f t="shared" si="5"/>
        <v>717.000007303432</v>
      </c>
      <c r="E83" s="109">
        <f t="shared" si="3"/>
        <v>0.00829861119564157</v>
      </c>
      <c r="F83" s="116">
        <f t="shared" si="4"/>
        <v>0.00135416666666667</v>
      </c>
    </row>
    <row r="84" spans="1:6">
      <c r="A84" s="55">
        <v>45304.3118634259</v>
      </c>
      <c r="B84" s="56">
        <v>45304.3200115741</v>
      </c>
      <c r="C84" s="35">
        <v>268</v>
      </c>
      <c r="D84" s="113">
        <f t="shared" si="5"/>
        <v>704.000004264526</v>
      </c>
      <c r="E84" s="109">
        <f t="shared" si="3"/>
        <v>0.00814814819750609</v>
      </c>
      <c r="F84" s="116">
        <f t="shared" si="4"/>
        <v>0.00310185185185185</v>
      </c>
    </row>
    <row r="85" spans="1:6">
      <c r="A85" s="55">
        <v>45319.8514236111</v>
      </c>
      <c r="B85" s="56">
        <v>45319.8565625</v>
      </c>
      <c r="C85" s="35">
        <v>540</v>
      </c>
      <c r="D85" s="113">
        <f t="shared" si="5"/>
        <v>444.000000692904</v>
      </c>
      <c r="E85" s="109">
        <f t="shared" si="3"/>
        <v>0.00513888889690861</v>
      </c>
      <c r="F85" s="116">
        <f t="shared" si="4"/>
        <v>0.00625</v>
      </c>
    </row>
    <row r="86" spans="1:6">
      <c r="A86" s="55">
        <v>45300.4578472222</v>
      </c>
      <c r="B86" s="56">
        <v>45300.4689236111</v>
      </c>
      <c r="C86" s="35">
        <v>506</v>
      </c>
      <c r="D86" s="113">
        <f t="shared" si="5"/>
        <v>957.000001170672</v>
      </c>
      <c r="E86" s="109">
        <f t="shared" si="3"/>
        <v>0.0110763889024383</v>
      </c>
      <c r="F86" s="116">
        <f t="shared" si="4"/>
        <v>0.00585648148148148</v>
      </c>
    </row>
    <row r="87" spans="1:6">
      <c r="A87" s="55">
        <v>45297.6493055556</v>
      </c>
      <c r="B87" s="56">
        <v>45297.6630902778</v>
      </c>
      <c r="C87" s="35">
        <v>427</v>
      </c>
      <c r="D87" s="113">
        <f t="shared" si="5"/>
        <v>1190.99999803584</v>
      </c>
      <c r="E87" s="109">
        <f t="shared" si="3"/>
        <v>0.0137847221994889</v>
      </c>
      <c r="F87" s="116">
        <f t="shared" si="4"/>
        <v>0.00494212962962963</v>
      </c>
    </row>
    <row r="88" spans="1:6">
      <c r="A88" s="55">
        <v>45318.4388773148</v>
      </c>
      <c r="B88" s="56">
        <v>45318.4565509259</v>
      </c>
      <c r="C88" s="35">
        <v>308</v>
      </c>
      <c r="D88" s="113">
        <f t="shared" si="5"/>
        <v>1526.99999862816</v>
      </c>
      <c r="E88" s="109">
        <f t="shared" si="3"/>
        <v>0.0176736110952334</v>
      </c>
      <c r="F88" s="116">
        <f t="shared" si="4"/>
        <v>0.00356481481481481</v>
      </c>
    </row>
    <row r="89" spans="1:6">
      <c r="A89" s="55">
        <v>45306.4334722222</v>
      </c>
      <c r="B89" s="56">
        <v>45306.4483680556</v>
      </c>
      <c r="C89" s="35">
        <v>530</v>
      </c>
      <c r="D89" s="113">
        <f t="shared" si="5"/>
        <v>1287.00000601821</v>
      </c>
      <c r="E89" s="109">
        <f t="shared" si="3"/>
        <v>0.0148958334029885</v>
      </c>
      <c r="F89" s="116">
        <f t="shared" si="4"/>
        <v>0.00613425925925926</v>
      </c>
    </row>
    <row r="90" spans="1:6">
      <c r="A90" s="55">
        <v>45317.9290740741</v>
      </c>
      <c r="B90" s="56">
        <v>45317.9298263889</v>
      </c>
      <c r="C90" s="35">
        <v>299</v>
      </c>
      <c r="D90" s="113">
        <f t="shared" si="5"/>
        <v>64.9999988498166</v>
      </c>
      <c r="E90" s="109">
        <f t="shared" si="3"/>
        <v>0.000752314801502507</v>
      </c>
      <c r="F90" s="116">
        <f t="shared" si="4"/>
        <v>0.00346064814814815</v>
      </c>
    </row>
    <row r="91" spans="1:6">
      <c r="A91" s="55">
        <v>45302.7708217593</v>
      </c>
      <c r="B91" s="56">
        <v>45302.7791435185</v>
      </c>
      <c r="C91" s="35">
        <v>203</v>
      </c>
      <c r="D91" s="113">
        <f t="shared" si="5"/>
        <v>718.999994569458</v>
      </c>
      <c r="E91" s="109">
        <f t="shared" si="3"/>
        <v>0.00832175919640576</v>
      </c>
      <c r="F91" s="116">
        <f t="shared" si="4"/>
        <v>0.00234953703703704</v>
      </c>
    </row>
    <row r="92" spans="1:6">
      <c r="A92" s="55">
        <v>45302.9069212963</v>
      </c>
      <c r="B92" s="56">
        <v>45302.9268402778</v>
      </c>
      <c r="C92" s="35">
        <v>400</v>
      </c>
      <c r="D92" s="113">
        <f t="shared" si="5"/>
        <v>1721.00000185892</v>
      </c>
      <c r="E92" s="109">
        <f t="shared" si="3"/>
        <v>0.0199189815029968</v>
      </c>
      <c r="F92" s="116">
        <f t="shared" si="4"/>
        <v>0.00462962962962963</v>
      </c>
    </row>
    <row r="93" spans="1:6">
      <c r="A93" s="55">
        <v>45310.7049305556</v>
      </c>
      <c r="B93" s="56">
        <v>45310.7256481481</v>
      </c>
      <c r="C93" s="35">
        <v>460</v>
      </c>
      <c r="D93" s="113">
        <f t="shared" si="5"/>
        <v>1789.99999221414</v>
      </c>
      <c r="E93" s="109">
        <f t="shared" si="3"/>
        <v>0.0207175925024785</v>
      </c>
      <c r="F93" s="116">
        <f t="shared" si="4"/>
        <v>0.00532407407407407</v>
      </c>
    </row>
    <row r="94" spans="1:6">
      <c r="A94" s="55">
        <v>45312.4197916667</v>
      </c>
      <c r="B94" s="56">
        <v>45312.4390046296</v>
      </c>
      <c r="C94" s="35">
        <v>281</v>
      </c>
      <c r="D94" s="113">
        <f t="shared" si="5"/>
        <v>1659.99999451451</v>
      </c>
      <c r="E94" s="109">
        <f t="shared" si="3"/>
        <v>0.0192129628994735</v>
      </c>
      <c r="F94" s="116">
        <f t="shared" si="4"/>
        <v>0.00325231481481481</v>
      </c>
    </row>
    <row r="95" spans="1:6">
      <c r="A95" s="55">
        <v>45309.7643518519</v>
      </c>
      <c r="B95" s="56">
        <v>45309.7820717593</v>
      </c>
      <c r="C95" s="35">
        <v>509</v>
      </c>
      <c r="D95" s="113">
        <f t="shared" si="5"/>
        <v>1530.99999893457</v>
      </c>
      <c r="E95" s="109">
        <f t="shared" si="3"/>
        <v>0.017719907395076</v>
      </c>
      <c r="F95" s="116">
        <f t="shared" si="4"/>
        <v>0.0058912037037037</v>
      </c>
    </row>
    <row r="96" spans="1:6">
      <c r="A96" s="55">
        <v>45299.3521527778</v>
      </c>
      <c r="B96" s="56">
        <v>45299.3708680556</v>
      </c>
      <c r="C96" s="35">
        <v>112</v>
      </c>
      <c r="D96" s="113">
        <f t="shared" si="5"/>
        <v>1617.00000206474</v>
      </c>
      <c r="E96" s="109">
        <f t="shared" si="3"/>
        <v>0.0187152778016753</v>
      </c>
      <c r="F96" s="116">
        <f t="shared" si="4"/>
        <v>0.0012962962962963</v>
      </c>
    </row>
    <row r="97" spans="1:6">
      <c r="A97" s="55">
        <v>45302.3044212963</v>
      </c>
      <c r="B97" s="56">
        <v>45302.3139930556</v>
      </c>
      <c r="C97" s="35">
        <v>451</v>
      </c>
      <c r="D97" s="113">
        <f t="shared" si="5"/>
        <v>827.000003471039</v>
      </c>
      <c r="E97" s="109">
        <f t="shared" si="3"/>
        <v>0.00957175929943332</v>
      </c>
      <c r="F97" s="116">
        <f t="shared" si="4"/>
        <v>0.00521990740740741</v>
      </c>
    </row>
    <row r="98" spans="1:6">
      <c r="A98" s="55">
        <v>45297.4660300926</v>
      </c>
      <c r="B98" s="56">
        <v>45297.4811689815</v>
      </c>
      <c r="C98" s="35">
        <v>401</v>
      </c>
      <c r="D98" s="113">
        <f t="shared" si="5"/>
        <v>1308.00000149757</v>
      </c>
      <c r="E98" s="109">
        <f t="shared" si="3"/>
        <v>0.0151388889062218</v>
      </c>
      <c r="F98" s="116">
        <f t="shared" si="4"/>
        <v>0.0046412037037037</v>
      </c>
    </row>
    <row r="99" spans="1:6">
      <c r="A99" s="55">
        <v>45306.6036574074</v>
      </c>
      <c r="B99" s="56">
        <v>45306.620150463</v>
      </c>
      <c r="C99" s="35">
        <v>19</v>
      </c>
      <c r="D99" s="113">
        <f t="shared" si="5"/>
        <v>1425.00000370201</v>
      </c>
      <c r="E99" s="109">
        <f t="shared" si="3"/>
        <v>0.0164930555984029</v>
      </c>
      <c r="F99" s="116">
        <f t="shared" si="4"/>
        <v>0.000219907407407407</v>
      </c>
    </row>
    <row r="100" spans="1:6">
      <c r="A100" s="55">
        <v>45303.6530902778</v>
      </c>
      <c r="B100" s="56">
        <v>45303.6701388889</v>
      </c>
      <c r="C100" s="35">
        <v>266</v>
      </c>
      <c r="D100" s="113">
        <f t="shared" si="5"/>
        <v>1472.99999857787</v>
      </c>
      <c r="E100" s="109">
        <f t="shared" si="3"/>
        <v>0.0170486110946513</v>
      </c>
      <c r="F100" s="116">
        <f t="shared" si="4"/>
        <v>0.0030787037037037</v>
      </c>
    </row>
    <row r="101" spans="1:6">
      <c r="A101" s="55">
        <v>45299.7752546296</v>
      </c>
      <c r="B101" s="56">
        <v>45299.7895717593</v>
      </c>
      <c r="C101" s="35">
        <v>312</v>
      </c>
      <c r="D101" s="113">
        <f t="shared" si="5"/>
        <v>1237.00000564568</v>
      </c>
      <c r="E101" s="109">
        <f t="shared" si="3"/>
        <v>0.0143171296949731</v>
      </c>
      <c r="F101" s="116">
        <f t="shared" si="4"/>
        <v>0.00361111111111111</v>
      </c>
    </row>
    <row r="102" spans="1:6">
      <c r="A102" s="55">
        <v>45319.3323842593</v>
      </c>
      <c r="B102" s="56">
        <v>45319.3507407407</v>
      </c>
      <c r="C102" s="35">
        <v>518</v>
      </c>
      <c r="D102" s="113">
        <f t="shared" si="5"/>
        <v>1585.99999293219</v>
      </c>
      <c r="E102" s="109">
        <f t="shared" si="3"/>
        <v>0.0183564813996782</v>
      </c>
      <c r="F102" s="116">
        <f t="shared" si="4"/>
        <v>0.00599537037037037</v>
      </c>
    </row>
    <row r="103" spans="1:6">
      <c r="A103" s="55">
        <v>45298.61375</v>
      </c>
      <c r="B103" s="56">
        <v>45298.6315277778</v>
      </c>
      <c r="C103" s="35">
        <v>150</v>
      </c>
      <c r="D103" s="113">
        <f t="shared" si="5"/>
        <v>1536.00000198931</v>
      </c>
      <c r="E103" s="109">
        <f t="shared" si="3"/>
        <v>0.0177777778008021</v>
      </c>
      <c r="F103" s="116">
        <f t="shared" si="4"/>
        <v>0.00173611111111111</v>
      </c>
    </row>
    <row r="104" spans="1:6">
      <c r="A104" s="55">
        <v>45303.4208101852</v>
      </c>
      <c r="B104" s="56">
        <v>45303.4284953704</v>
      </c>
      <c r="C104" s="35">
        <v>344</v>
      </c>
      <c r="D104" s="113">
        <f t="shared" si="5"/>
        <v>664.000001200475</v>
      </c>
      <c r="E104" s="109">
        <f t="shared" si="3"/>
        <v>0.00768518519907957</v>
      </c>
      <c r="F104" s="116">
        <f t="shared" si="4"/>
        <v>0.00398148148148148</v>
      </c>
    </row>
    <row r="105" spans="1:6">
      <c r="A105" s="55">
        <v>45308.9571412037</v>
      </c>
      <c r="B105" s="56">
        <v>45308.9775115741</v>
      </c>
      <c r="C105" s="35">
        <v>178</v>
      </c>
      <c r="D105" s="113">
        <f t="shared" si="5"/>
        <v>1760.00000280328</v>
      </c>
      <c r="E105" s="109">
        <f t="shared" si="3"/>
        <v>0.0203703704028158</v>
      </c>
      <c r="F105" s="116">
        <f t="shared" si="4"/>
        <v>0.00206018518518519</v>
      </c>
    </row>
    <row r="106" spans="1:6">
      <c r="A106" s="55">
        <v>45295.8362152778</v>
      </c>
      <c r="B106" s="56">
        <v>45295.8547800926</v>
      </c>
      <c r="C106" s="35">
        <v>241</v>
      </c>
      <c r="D106" s="113">
        <f t="shared" si="5"/>
        <v>1603.99999902584</v>
      </c>
      <c r="E106" s="109">
        <f t="shared" si="3"/>
        <v>0.0185648148035398</v>
      </c>
      <c r="F106" s="116">
        <f t="shared" si="4"/>
        <v>0.00278935185185185</v>
      </c>
    </row>
    <row r="107" spans="1:6">
      <c r="A107" s="55">
        <v>45309.3954050926</v>
      </c>
      <c r="B107" s="56">
        <v>45309.412037037</v>
      </c>
      <c r="C107" s="35">
        <v>278</v>
      </c>
      <c r="D107" s="113">
        <f t="shared" si="5"/>
        <v>1436.99999644887</v>
      </c>
      <c r="E107" s="109">
        <f t="shared" si="3"/>
        <v>0.0166319444033434</v>
      </c>
      <c r="F107" s="116">
        <f t="shared" si="4"/>
        <v>0.00321759259259259</v>
      </c>
    </row>
    <row r="108" spans="1:6">
      <c r="A108" s="55">
        <v>45299.8761458333</v>
      </c>
      <c r="B108" s="56">
        <v>45299.8901388889</v>
      </c>
      <c r="C108" s="35">
        <v>345</v>
      </c>
      <c r="D108" s="113">
        <f t="shared" si="5"/>
        <v>1209.00000350084</v>
      </c>
      <c r="E108" s="109">
        <f t="shared" si="3"/>
        <v>0.0139930555960746</v>
      </c>
      <c r="F108" s="116">
        <f t="shared" si="4"/>
        <v>0.00399305555555556</v>
      </c>
    </row>
    <row r="109" spans="1:6">
      <c r="A109" s="55">
        <v>45312.7966203704</v>
      </c>
      <c r="B109" s="56">
        <v>45312.7983796296</v>
      </c>
      <c r="C109" s="35">
        <v>48</v>
      </c>
      <c r="D109" s="113">
        <f t="shared" si="5"/>
        <v>151.999995298684</v>
      </c>
      <c r="E109" s="109">
        <f t="shared" si="3"/>
        <v>0.00175925920484588</v>
      </c>
      <c r="F109" s="116">
        <f t="shared" si="4"/>
        <v>0.000555555555555556</v>
      </c>
    </row>
    <row r="110" spans="1:6">
      <c r="A110" s="55">
        <v>45303.8179050926</v>
      </c>
      <c r="B110" s="56">
        <v>45303.8358217593</v>
      </c>
      <c r="C110" s="35">
        <v>168</v>
      </c>
      <c r="D110" s="113">
        <f t="shared" si="5"/>
        <v>1548.00000290852</v>
      </c>
      <c r="E110" s="109">
        <f t="shared" si="3"/>
        <v>0.0179166667003301</v>
      </c>
      <c r="F110" s="116">
        <f t="shared" si="4"/>
        <v>0.00194444444444444</v>
      </c>
    </row>
    <row r="111" spans="1:6">
      <c r="A111" s="55">
        <v>45314.7176851852</v>
      </c>
      <c r="B111" s="56">
        <v>45314.728912037</v>
      </c>
      <c r="C111" s="35">
        <v>251</v>
      </c>
      <c r="D111" s="113">
        <f t="shared" si="5"/>
        <v>969.99999540858</v>
      </c>
      <c r="E111" s="109">
        <f t="shared" si="3"/>
        <v>0.0112268517987104</v>
      </c>
      <c r="F111" s="116">
        <f t="shared" si="4"/>
        <v>0.00290509259259259</v>
      </c>
    </row>
    <row r="112" spans="1:6">
      <c r="A112" s="55">
        <v>45293.7619444444</v>
      </c>
      <c r="B112" s="56">
        <v>45293.7655324074</v>
      </c>
      <c r="C112" s="35">
        <v>475</v>
      </c>
      <c r="D112" s="113">
        <f t="shared" si="5"/>
        <v>310.000003315508</v>
      </c>
      <c r="E112" s="109">
        <f t="shared" si="3"/>
        <v>0.0035879630013369</v>
      </c>
      <c r="F112" s="116">
        <f t="shared" si="4"/>
        <v>0.00549768518518519</v>
      </c>
    </row>
    <row r="113" spans="1:6">
      <c r="A113" s="55">
        <v>45317.6771759259</v>
      </c>
      <c r="B113" s="56">
        <v>45317.6965162037</v>
      </c>
      <c r="C113" s="35">
        <v>588</v>
      </c>
      <c r="D113" s="113">
        <f t="shared" si="5"/>
        <v>1671.00000211503</v>
      </c>
      <c r="E113" s="109">
        <f t="shared" si="3"/>
        <v>0.0193402778022573</v>
      </c>
      <c r="F113" s="116">
        <f t="shared" si="4"/>
        <v>0.00680555555555556</v>
      </c>
    </row>
    <row r="114" spans="1:6">
      <c r="A114" s="55">
        <v>45302.4520486111</v>
      </c>
      <c r="B114" s="56">
        <v>45302.4668634259</v>
      </c>
      <c r="C114" s="35">
        <v>12</v>
      </c>
      <c r="D114" s="113">
        <f t="shared" si="5"/>
        <v>1279.99999872409</v>
      </c>
      <c r="E114" s="109">
        <f t="shared" si="3"/>
        <v>0.0148148148000473</v>
      </c>
      <c r="F114" s="116">
        <f t="shared" si="4"/>
        <v>0.000138888888888889</v>
      </c>
    </row>
    <row r="115" spans="1:6">
      <c r="A115" s="55">
        <v>45313.2555555556</v>
      </c>
      <c r="B115" s="56">
        <v>45313.2647337963</v>
      </c>
      <c r="C115" s="35">
        <v>253</v>
      </c>
      <c r="D115" s="113">
        <f t="shared" si="5"/>
        <v>792.999996151775</v>
      </c>
      <c r="E115" s="109">
        <f t="shared" si="3"/>
        <v>0.0091782406962011</v>
      </c>
      <c r="F115" s="116">
        <f t="shared" si="4"/>
        <v>0.00292824074074074</v>
      </c>
    </row>
    <row r="116" spans="1:6">
      <c r="A116" s="55">
        <v>45308.4076851852</v>
      </c>
      <c r="B116" s="56">
        <v>45308.4196643519</v>
      </c>
      <c r="C116" s="35">
        <v>469</v>
      </c>
      <c r="D116" s="113">
        <f t="shared" si="5"/>
        <v>1035.00000305939</v>
      </c>
      <c r="E116" s="109">
        <f t="shared" si="3"/>
        <v>0.0119791667020763</v>
      </c>
      <c r="F116" s="116">
        <f t="shared" si="4"/>
        <v>0.00542824074074074</v>
      </c>
    </row>
    <row r="117" spans="1:6">
      <c r="A117" s="55">
        <v>45315.9301967593</v>
      </c>
      <c r="B117" s="56">
        <v>45315.9461342593</v>
      </c>
      <c r="C117" s="35">
        <v>41</v>
      </c>
      <c r="D117" s="113">
        <f t="shared" si="5"/>
        <v>1377.00000002515</v>
      </c>
      <c r="E117" s="109">
        <f t="shared" si="3"/>
        <v>0.015937500000291</v>
      </c>
      <c r="F117" s="116">
        <f t="shared" si="4"/>
        <v>0.000474537037037037</v>
      </c>
    </row>
    <row r="118" spans="1:6">
      <c r="A118" s="55">
        <v>45314.8367708333</v>
      </c>
      <c r="B118" s="56">
        <v>45314.839375</v>
      </c>
      <c r="C118" s="35">
        <v>339</v>
      </c>
      <c r="D118" s="113">
        <f t="shared" si="5"/>
        <v>225.000002933666</v>
      </c>
      <c r="E118" s="109">
        <f t="shared" si="3"/>
        <v>0.00260416670062114</v>
      </c>
      <c r="F118" s="116">
        <f t="shared" si="4"/>
        <v>0.00392361111111111</v>
      </c>
    </row>
    <row r="119" spans="1:6">
      <c r="A119" s="55">
        <v>45314.6837731482</v>
      </c>
      <c r="B119" s="56">
        <v>45314.697037037</v>
      </c>
      <c r="C119" s="35">
        <v>311</v>
      </c>
      <c r="D119" s="113">
        <f t="shared" si="5"/>
        <v>1145.99999254569</v>
      </c>
      <c r="E119" s="109">
        <f t="shared" si="3"/>
        <v>0.0132638888026122</v>
      </c>
      <c r="F119" s="116">
        <f t="shared" si="4"/>
        <v>0.00359953703703704</v>
      </c>
    </row>
    <row r="120" spans="1:6">
      <c r="A120" s="55">
        <v>45312.5190740741</v>
      </c>
      <c r="B120" s="56">
        <v>45312.5251736111</v>
      </c>
      <c r="C120" s="35">
        <v>433</v>
      </c>
      <c r="D120" s="113">
        <f t="shared" si="5"/>
        <v>526.999996835366</v>
      </c>
      <c r="E120" s="109">
        <f t="shared" si="3"/>
        <v>0.00609953700040933</v>
      </c>
      <c r="F120" s="116">
        <f t="shared" si="4"/>
        <v>0.00501157407407407</v>
      </c>
    </row>
    <row r="121" spans="1:6">
      <c r="A121" s="55">
        <v>45305.6960185185</v>
      </c>
      <c r="B121" s="56">
        <v>45305.7055787037</v>
      </c>
      <c r="C121" s="35">
        <v>166</v>
      </c>
      <c r="D121" s="113">
        <f t="shared" si="5"/>
        <v>826.000001351349</v>
      </c>
      <c r="E121" s="109">
        <f t="shared" si="3"/>
        <v>0.0095601852008258</v>
      </c>
      <c r="F121" s="116">
        <f t="shared" si="4"/>
        <v>0.0019212962962963</v>
      </c>
    </row>
    <row r="122" spans="1:6">
      <c r="A122" s="55">
        <v>45295.7438425926</v>
      </c>
      <c r="B122" s="56">
        <v>45295.7577199074</v>
      </c>
      <c r="C122" s="35">
        <v>71</v>
      </c>
      <c r="D122" s="113">
        <f t="shared" si="5"/>
        <v>1198.99999864865</v>
      </c>
      <c r="E122" s="109">
        <f t="shared" si="3"/>
        <v>0.0138773147991742</v>
      </c>
      <c r="F122" s="116">
        <f t="shared" si="4"/>
        <v>0.000821759259259259</v>
      </c>
    </row>
    <row r="123" spans="1:6">
      <c r="A123" s="55">
        <v>45305.3046064815</v>
      </c>
      <c r="B123" s="56">
        <v>45305.3126967593</v>
      </c>
      <c r="C123" s="35">
        <v>370</v>
      </c>
      <c r="D123" s="113">
        <f t="shared" si="5"/>
        <v>699.000001838431</v>
      </c>
      <c r="E123" s="109">
        <f t="shared" si="3"/>
        <v>0.00809027779905591</v>
      </c>
      <c r="F123" s="116">
        <f t="shared" si="4"/>
        <v>0.00428240740740741</v>
      </c>
    </row>
    <row r="124" spans="1:6">
      <c r="A124" s="55">
        <v>45295.7462384259</v>
      </c>
      <c r="B124" s="56">
        <v>45295.7556365741</v>
      </c>
      <c r="C124" s="35">
        <v>127</v>
      </c>
      <c r="D124" s="113">
        <f t="shared" si="5"/>
        <v>812.000004365109</v>
      </c>
      <c r="E124" s="109">
        <f t="shared" si="3"/>
        <v>0.00939814819867024</v>
      </c>
      <c r="F124" s="116">
        <f t="shared" si="4"/>
        <v>0.00146990740740741</v>
      </c>
    </row>
    <row r="125" spans="1:6">
      <c r="A125" s="55">
        <v>45313.2770717593</v>
      </c>
      <c r="B125" s="56">
        <v>45313.2933564815</v>
      </c>
      <c r="C125" s="35">
        <v>283</v>
      </c>
      <c r="D125" s="113">
        <f t="shared" si="5"/>
        <v>1406.99999823701</v>
      </c>
      <c r="E125" s="109">
        <f t="shared" si="3"/>
        <v>0.0162847222018172</v>
      </c>
      <c r="F125" s="116">
        <f t="shared" si="4"/>
        <v>0.00327546296296296</v>
      </c>
    </row>
    <row r="126" spans="1:6">
      <c r="A126" s="55">
        <v>45302.7084606482</v>
      </c>
      <c r="B126" s="56">
        <v>45302.7125462963</v>
      </c>
      <c r="C126" s="35">
        <v>589</v>
      </c>
      <c r="D126" s="113">
        <f t="shared" si="5"/>
        <v>352.999995765276</v>
      </c>
      <c r="E126" s="109">
        <f t="shared" si="3"/>
        <v>0.00408564809913514</v>
      </c>
      <c r="F126" s="116">
        <f t="shared" si="4"/>
        <v>0.00681712962962963</v>
      </c>
    </row>
    <row r="127" spans="1:6">
      <c r="A127" s="55">
        <v>45315.9259722222</v>
      </c>
      <c r="B127" s="56">
        <v>45315.9366087963</v>
      </c>
      <c r="C127" s="35">
        <v>474</v>
      </c>
      <c r="D127" s="113">
        <f t="shared" si="5"/>
        <v>919.000002346002</v>
      </c>
      <c r="E127" s="109">
        <f t="shared" si="3"/>
        <v>0.0106365741012269</v>
      </c>
      <c r="F127" s="116">
        <f t="shared" si="4"/>
        <v>0.00548611111111111</v>
      </c>
    </row>
    <row r="128" spans="1:6">
      <c r="A128" s="55">
        <v>45310.3722569444</v>
      </c>
      <c r="B128" s="56">
        <v>45310.3766319444</v>
      </c>
      <c r="C128" s="35">
        <v>171</v>
      </c>
      <c r="D128" s="113">
        <f t="shared" si="5"/>
        <v>377.999999723397</v>
      </c>
      <c r="E128" s="109">
        <f t="shared" si="3"/>
        <v>0.00437499999679858</v>
      </c>
      <c r="F128" s="116">
        <f t="shared" si="4"/>
        <v>0.00197916666666667</v>
      </c>
    </row>
    <row r="129" spans="1:6">
      <c r="A129" s="55">
        <v>45311.8515856481</v>
      </c>
      <c r="B129" s="56">
        <v>45311.8573842593</v>
      </c>
      <c r="C129" s="35">
        <v>534</v>
      </c>
      <c r="D129" s="113">
        <f t="shared" si="5"/>
        <v>501.000007730909</v>
      </c>
      <c r="E129" s="109">
        <f t="shared" si="3"/>
        <v>0.00579861120058922</v>
      </c>
      <c r="F129" s="116">
        <f t="shared" si="4"/>
        <v>0.00618055555555556</v>
      </c>
    </row>
    <row r="130" spans="1:6">
      <c r="A130" s="55">
        <v>45308.6265509259</v>
      </c>
      <c r="B130" s="56">
        <v>45308.6366087963</v>
      </c>
      <c r="C130" s="35">
        <v>66</v>
      </c>
      <c r="D130" s="113">
        <f t="shared" si="5"/>
        <v>869.000002602115</v>
      </c>
      <c r="E130" s="109">
        <f t="shared" si="3"/>
        <v>0.0100578704004874</v>
      </c>
      <c r="F130" s="116">
        <f t="shared" si="4"/>
        <v>0.000763888888888889</v>
      </c>
    </row>
    <row r="131" spans="1:6">
      <c r="A131" s="55">
        <v>45300.6389699074</v>
      </c>
      <c r="B131" s="56">
        <v>45300.639837963</v>
      </c>
      <c r="C131" s="35">
        <v>519</v>
      </c>
      <c r="D131" s="113">
        <f t="shared" si="5"/>
        <v>75.0000037020072</v>
      </c>
      <c r="E131" s="109">
        <f t="shared" ref="E131:E194" si="6">B131-A131</f>
        <v>0.000868055598402862</v>
      </c>
      <c r="F131" s="116">
        <f t="shared" ref="F131:F194" si="7">C131/86400</f>
        <v>0.00600694444444444</v>
      </c>
    </row>
    <row r="132" spans="1:6">
      <c r="A132" s="55">
        <v>45308.711400463</v>
      </c>
      <c r="B132" s="56">
        <v>45308.7296759259</v>
      </c>
      <c r="C132" s="35">
        <v>53</v>
      </c>
      <c r="D132" s="113">
        <f t="shared" si="5"/>
        <v>1578.99999443907</v>
      </c>
      <c r="E132" s="109">
        <f t="shared" si="6"/>
        <v>0.0182754628986004</v>
      </c>
      <c r="F132" s="116">
        <f t="shared" si="7"/>
        <v>0.000613425925925926</v>
      </c>
    </row>
    <row r="133" spans="1:6">
      <c r="A133" s="55">
        <v>45305.781712963</v>
      </c>
      <c r="B133" s="56">
        <v>45305.7923032407</v>
      </c>
      <c r="C133" s="35">
        <v>306</v>
      </c>
      <c r="D133" s="113">
        <f t="shared" si="5"/>
        <v>914.999993238598</v>
      </c>
      <c r="E133" s="109">
        <f t="shared" si="6"/>
        <v>0.0105902776995208</v>
      </c>
      <c r="F133" s="116">
        <f t="shared" si="7"/>
        <v>0.00354166666666667</v>
      </c>
    </row>
    <row r="134" spans="1:6">
      <c r="A134" s="55">
        <v>45311.8706481481</v>
      </c>
      <c r="B134" s="56">
        <v>45311.8799189815</v>
      </c>
      <c r="C134" s="35">
        <v>100</v>
      </c>
      <c r="D134" s="113">
        <f t="shared" ref="D134:D197" si="8">(B134-A134)*86400</f>
        <v>801.000006194226</v>
      </c>
      <c r="E134" s="109">
        <f t="shared" si="6"/>
        <v>0.00927083340502577</v>
      </c>
      <c r="F134" s="116">
        <f t="shared" si="7"/>
        <v>0.00115740740740741</v>
      </c>
    </row>
    <row r="135" spans="1:6">
      <c r="A135" s="55">
        <v>45294.7884143519</v>
      </c>
      <c r="B135" s="56">
        <v>45294.8067824074</v>
      </c>
      <c r="C135" s="35">
        <v>357</v>
      </c>
      <c r="D135" s="113">
        <f t="shared" si="8"/>
        <v>1586.99999568053</v>
      </c>
      <c r="E135" s="109">
        <f t="shared" si="6"/>
        <v>0.0183680555055616</v>
      </c>
      <c r="F135" s="116">
        <f t="shared" si="7"/>
        <v>0.00413194444444444</v>
      </c>
    </row>
    <row r="136" spans="1:6">
      <c r="A136" s="55">
        <v>45298.7241435185</v>
      </c>
      <c r="B136" s="56">
        <v>45298.7442476852</v>
      </c>
      <c r="C136" s="35">
        <v>161</v>
      </c>
      <c r="D136" s="113">
        <f t="shared" si="8"/>
        <v>1737.00000308454</v>
      </c>
      <c r="E136" s="109">
        <f t="shared" si="6"/>
        <v>0.0201041667023674</v>
      </c>
      <c r="F136" s="116">
        <f t="shared" si="7"/>
        <v>0.00186342592592593</v>
      </c>
    </row>
    <row r="137" spans="1:6">
      <c r="A137" s="55">
        <v>45296.3415393519</v>
      </c>
      <c r="B137" s="56">
        <v>45296.3571180556</v>
      </c>
      <c r="C137" s="35">
        <v>515</v>
      </c>
      <c r="D137" s="113">
        <f t="shared" si="8"/>
        <v>1345.99999969359</v>
      </c>
      <c r="E137" s="109">
        <f t="shared" si="6"/>
        <v>0.0155787037001573</v>
      </c>
      <c r="F137" s="116">
        <f t="shared" si="7"/>
        <v>0.00596064814814815</v>
      </c>
    </row>
    <row r="138" spans="1:6">
      <c r="A138" s="55">
        <v>45312.7053240741</v>
      </c>
      <c r="B138" s="56">
        <v>45312.7135069444</v>
      </c>
      <c r="C138" s="35">
        <v>164</v>
      </c>
      <c r="D138" s="113">
        <f t="shared" si="8"/>
        <v>706.999993650243</v>
      </c>
      <c r="E138" s="109">
        <f t="shared" si="6"/>
        <v>0.00818287029687781</v>
      </c>
      <c r="F138" s="116">
        <f t="shared" si="7"/>
        <v>0.00189814814814815</v>
      </c>
    </row>
    <row r="139" spans="1:6">
      <c r="A139" s="55">
        <v>45300.3073148148</v>
      </c>
      <c r="B139" s="56">
        <v>45300.3097569444</v>
      </c>
      <c r="C139" s="35">
        <v>327</v>
      </c>
      <c r="D139" s="113">
        <f t="shared" si="8"/>
        <v>210.999997146428</v>
      </c>
      <c r="E139" s="109">
        <f t="shared" si="6"/>
        <v>0.00244212959660217</v>
      </c>
      <c r="F139" s="116">
        <f t="shared" si="7"/>
        <v>0.00378472222222222</v>
      </c>
    </row>
    <row r="140" spans="1:6">
      <c r="A140" s="55">
        <v>45319.3608564815</v>
      </c>
      <c r="B140" s="56">
        <v>45319.3735648148</v>
      </c>
      <c r="C140" s="35">
        <v>403</v>
      </c>
      <c r="D140" s="113">
        <f t="shared" si="8"/>
        <v>1097.99999704119</v>
      </c>
      <c r="E140" s="109">
        <f t="shared" si="6"/>
        <v>0.0127083332990878</v>
      </c>
      <c r="F140" s="116">
        <f t="shared" si="7"/>
        <v>0.00466435185185185</v>
      </c>
    </row>
    <row r="141" spans="1:6">
      <c r="A141" s="55">
        <v>45298.6934027778</v>
      </c>
      <c r="B141" s="56">
        <v>45298.7059722222</v>
      </c>
      <c r="C141" s="35">
        <v>164</v>
      </c>
      <c r="D141" s="113">
        <f t="shared" si="8"/>
        <v>1085.99999612197</v>
      </c>
      <c r="E141" s="109">
        <f t="shared" si="6"/>
        <v>0.0125694443995599</v>
      </c>
      <c r="F141" s="116">
        <f t="shared" si="7"/>
        <v>0.00189814814814815</v>
      </c>
    </row>
    <row r="142" spans="1:6">
      <c r="A142" s="55">
        <v>45294.9452662037</v>
      </c>
      <c r="B142" s="56">
        <v>45294.9468865741</v>
      </c>
      <c r="C142" s="35">
        <v>263</v>
      </c>
      <c r="D142" s="113">
        <f t="shared" si="8"/>
        <v>140.000002551824</v>
      </c>
      <c r="E142" s="109">
        <f t="shared" si="6"/>
        <v>0.00162037039990537</v>
      </c>
      <c r="F142" s="116">
        <f t="shared" si="7"/>
        <v>0.00304398148148148</v>
      </c>
    </row>
    <row r="143" spans="1:6">
      <c r="A143" s="55">
        <v>45303.6419675926</v>
      </c>
      <c r="B143" s="56">
        <v>45303.6610185185</v>
      </c>
      <c r="C143" s="35">
        <v>356</v>
      </c>
      <c r="D143" s="113">
        <f t="shared" si="8"/>
        <v>1645.99999752827</v>
      </c>
      <c r="E143" s="109">
        <f t="shared" si="6"/>
        <v>0.0190509258973179</v>
      </c>
      <c r="F143" s="116">
        <f t="shared" si="7"/>
        <v>0.00412037037037037</v>
      </c>
    </row>
    <row r="144" spans="1:6">
      <c r="A144" s="55">
        <v>45295.7626851852</v>
      </c>
      <c r="B144" s="56">
        <v>45295.7805324074</v>
      </c>
      <c r="C144" s="35">
        <v>163</v>
      </c>
      <c r="D144" s="113">
        <f t="shared" si="8"/>
        <v>1541.99999836273</v>
      </c>
      <c r="E144" s="109">
        <f t="shared" si="6"/>
        <v>0.0178472222032724</v>
      </c>
      <c r="F144" s="116">
        <f t="shared" si="7"/>
        <v>0.00188657407407407</v>
      </c>
    </row>
    <row r="145" spans="1:6">
      <c r="A145" s="55">
        <v>45312.7559953704</v>
      </c>
      <c r="B145" s="56">
        <v>45312.7734837963</v>
      </c>
      <c r="C145" s="35">
        <v>96</v>
      </c>
      <c r="D145" s="113">
        <f t="shared" si="8"/>
        <v>1510.99999803118</v>
      </c>
      <c r="E145" s="109">
        <f t="shared" si="6"/>
        <v>0.0174884259031387</v>
      </c>
      <c r="F145" s="116">
        <f t="shared" si="7"/>
        <v>0.00111111111111111</v>
      </c>
    </row>
    <row r="146" spans="1:6">
      <c r="A146" s="55">
        <v>45314.9206134259</v>
      </c>
      <c r="B146" s="56">
        <v>45314.9371990741</v>
      </c>
      <c r="C146" s="35">
        <v>443</v>
      </c>
      <c r="D146" s="113">
        <f t="shared" si="8"/>
        <v>1433.00000431482</v>
      </c>
      <c r="E146" s="109">
        <f t="shared" si="6"/>
        <v>0.0165856481980882</v>
      </c>
      <c r="F146" s="116">
        <f t="shared" si="7"/>
        <v>0.00512731481481481</v>
      </c>
    </row>
    <row r="147" spans="1:6">
      <c r="A147" s="55">
        <v>45302.8834953704</v>
      </c>
      <c r="B147" s="56">
        <v>45302.8874421296</v>
      </c>
      <c r="C147" s="35">
        <v>168</v>
      </c>
      <c r="D147" s="113">
        <f t="shared" si="8"/>
        <v>340.999994846061</v>
      </c>
      <c r="E147" s="109">
        <f t="shared" si="6"/>
        <v>0.00394675919960719</v>
      </c>
      <c r="F147" s="116">
        <f t="shared" si="7"/>
        <v>0.00194444444444444</v>
      </c>
    </row>
    <row r="148" spans="1:6">
      <c r="A148" s="55">
        <v>45315.9185416667</v>
      </c>
      <c r="B148" s="56">
        <v>45315.9272106482</v>
      </c>
      <c r="C148" s="35">
        <v>144</v>
      </c>
      <c r="D148" s="113">
        <f t="shared" si="8"/>
        <v>749.000001582317</v>
      </c>
      <c r="E148" s="109">
        <f t="shared" si="6"/>
        <v>0.00866898149979534</v>
      </c>
      <c r="F148" s="116">
        <f t="shared" si="7"/>
        <v>0.00166666666666667</v>
      </c>
    </row>
    <row r="149" spans="1:6">
      <c r="A149" s="55">
        <v>45297.8350231481</v>
      </c>
      <c r="B149" s="56">
        <v>45297.8443518519</v>
      </c>
      <c r="C149" s="35">
        <v>253</v>
      </c>
      <c r="D149" s="113">
        <f t="shared" si="8"/>
        <v>806.000007991679</v>
      </c>
      <c r="E149" s="109">
        <f t="shared" si="6"/>
        <v>0.00932870379619999</v>
      </c>
      <c r="F149" s="116">
        <f t="shared" si="7"/>
        <v>0.00292824074074074</v>
      </c>
    </row>
    <row r="150" spans="1:6">
      <c r="A150" s="55">
        <v>45299.6609953704</v>
      </c>
      <c r="B150" s="56">
        <v>45299.6728009259</v>
      </c>
      <c r="C150" s="35">
        <v>208</v>
      </c>
      <c r="D150" s="113">
        <f t="shared" si="8"/>
        <v>1019.99999515247</v>
      </c>
      <c r="E150" s="109">
        <f t="shared" si="6"/>
        <v>0.0118055554994498</v>
      </c>
      <c r="F150" s="116">
        <f t="shared" si="7"/>
        <v>0.00240740740740741</v>
      </c>
    </row>
    <row r="151" spans="1:6">
      <c r="A151" s="55">
        <v>45308.799212963</v>
      </c>
      <c r="B151" s="56">
        <v>45308.8046296296</v>
      </c>
      <c r="C151" s="35">
        <v>151</v>
      </c>
      <c r="D151" s="113">
        <f t="shared" si="8"/>
        <v>467.999994358979</v>
      </c>
      <c r="E151" s="109">
        <f t="shared" si="6"/>
        <v>0.00541666660137707</v>
      </c>
      <c r="F151" s="116">
        <f t="shared" si="7"/>
        <v>0.00174768518518519</v>
      </c>
    </row>
    <row r="152" spans="1:6">
      <c r="A152" s="55">
        <v>45295.9542476852</v>
      </c>
      <c r="B152" s="56">
        <v>45295.9616898148</v>
      </c>
      <c r="C152" s="35">
        <v>95</v>
      </c>
      <c r="D152" s="113">
        <f t="shared" si="8"/>
        <v>642.999997548759</v>
      </c>
      <c r="E152" s="109">
        <f t="shared" si="6"/>
        <v>0.00744212960125878</v>
      </c>
      <c r="F152" s="116">
        <f t="shared" si="7"/>
        <v>0.00109953703703704</v>
      </c>
    </row>
    <row r="153" spans="1:6">
      <c r="A153" s="55">
        <v>45305.3737731481</v>
      </c>
      <c r="B153" s="56">
        <v>45305.3938194444</v>
      </c>
      <c r="C153" s="35">
        <v>471</v>
      </c>
      <c r="D153" s="113">
        <f t="shared" si="8"/>
        <v>1732.0000000298</v>
      </c>
      <c r="E153" s="109">
        <f t="shared" si="6"/>
        <v>0.0200462962966412</v>
      </c>
      <c r="F153" s="116">
        <f t="shared" si="7"/>
        <v>0.00545138888888889</v>
      </c>
    </row>
    <row r="154" spans="1:6">
      <c r="A154" s="55">
        <v>45294.7180671296</v>
      </c>
      <c r="B154" s="56">
        <v>45294.7263078704</v>
      </c>
      <c r="C154" s="35">
        <v>111</v>
      </c>
      <c r="D154" s="113">
        <f t="shared" si="8"/>
        <v>712.000004877336</v>
      </c>
      <c r="E154" s="109">
        <f t="shared" si="6"/>
        <v>0.00824074079719139</v>
      </c>
      <c r="F154" s="116">
        <f t="shared" si="7"/>
        <v>0.00128472222222222</v>
      </c>
    </row>
    <row r="155" spans="1:6">
      <c r="A155" s="55">
        <v>45316.8948958333</v>
      </c>
      <c r="B155" s="56">
        <v>45316.8957060185</v>
      </c>
      <c r="C155" s="35">
        <v>91</v>
      </c>
      <c r="D155" s="113">
        <f t="shared" si="8"/>
        <v>70.0000012759119</v>
      </c>
      <c r="E155" s="109">
        <f t="shared" si="6"/>
        <v>0.000810185199952684</v>
      </c>
      <c r="F155" s="116">
        <f t="shared" si="7"/>
        <v>0.00105324074074074</v>
      </c>
    </row>
    <row r="156" spans="1:6">
      <c r="A156" s="55">
        <v>45311.9354976852</v>
      </c>
      <c r="B156" s="56">
        <v>45311.9545833333</v>
      </c>
      <c r="C156" s="35">
        <v>305</v>
      </c>
      <c r="D156" s="113">
        <f t="shared" si="8"/>
        <v>1648.99999634363</v>
      </c>
      <c r="E156" s="109">
        <f t="shared" si="6"/>
        <v>0.019085648105829</v>
      </c>
      <c r="F156" s="116">
        <f t="shared" si="7"/>
        <v>0.00353009259259259</v>
      </c>
    </row>
    <row r="157" spans="1:6">
      <c r="A157" s="55">
        <v>45306.3388078704</v>
      </c>
      <c r="B157" s="56">
        <v>45306.3513425926</v>
      </c>
      <c r="C157" s="35">
        <v>558</v>
      </c>
      <c r="D157" s="113">
        <f t="shared" si="8"/>
        <v>1082.99999793526</v>
      </c>
      <c r="E157" s="109">
        <f t="shared" si="6"/>
        <v>0.0125347221983247</v>
      </c>
      <c r="F157" s="116">
        <f t="shared" si="7"/>
        <v>0.00645833333333333</v>
      </c>
    </row>
    <row r="158" spans="1:6">
      <c r="A158" s="55">
        <v>45299.7997916667</v>
      </c>
      <c r="B158" s="56">
        <v>45299.8163194444</v>
      </c>
      <c r="C158" s="35">
        <v>97</v>
      </c>
      <c r="D158" s="113">
        <f t="shared" si="8"/>
        <v>1427.99999308772</v>
      </c>
      <c r="E158" s="109">
        <f t="shared" si="6"/>
        <v>0.0165277776977746</v>
      </c>
      <c r="F158" s="116">
        <f t="shared" si="7"/>
        <v>0.00112268518518519</v>
      </c>
    </row>
    <row r="159" spans="1:6">
      <c r="A159" s="55">
        <v>45317.9409837963</v>
      </c>
      <c r="B159" s="56">
        <v>45317.9509259259</v>
      </c>
      <c r="C159" s="35">
        <v>491</v>
      </c>
      <c r="D159" s="113">
        <f t="shared" si="8"/>
        <v>858.999997121282</v>
      </c>
      <c r="E159" s="109">
        <f t="shared" si="6"/>
        <v>0.00994212959631113</v>
      </c>
      <c r="F159" s="116">
        <f t="shared" si="7"/>
        <v>0.00568287037037037</v>
      </c>
    </row>
    <row r="160" spans="1:6">
      <c r="A160" s="55">
        <v>45317.3487847222</v>
      </c>
      <c r="B160" s="56">
        <v>45317.3668518519</v>
      </c>
      <c r="C160" s="35">
        <v>116</v>
      </c>
      <c r="D160" s="113">
        <f t="shared" si="8"/>
        <v>1561.00000594743</v>
      </c>
      <c r="E160" s="109">
        <f t="shared" si="6"/>
        <v>0.0180671296984656</v>
      </c>
      <c r="F160" s="116">
        <f t="shared" si="7"/>
        <v>0.00134259259259259</v>
      </c>
    </row>
    <row r="161" spans="1:6">
      <c r="A161" s="55">
        <v>45297.8642361111</v>
      </c>
      <c r="B161" s="56">
        <v>45297.8798958333</v>
      </c>
      <c r="C161" s="35">
        <v>196</v>
      </c>
      <c r="D161" s="113">
        <f t="shared" si="8"/>
        <v>1352.99999818671</v>
      </c>
      <c r="E161" s="109">
        <f t="shared" si="6"/>
        <v>0.0156597222012351</v>
      </c>
      <c r="F161" s="116">
        <f t="shared" si="7"/>
        <v>0.00226851851851852</v>
      </c>
    </row>
    <row r="162" spans="1:6">
      <c r="A162" s="55">
        <v>45301.5019675926</v>
      </c>
      <c r="B162" s="56">
        <v>45301.5073842593</v>
      </c>
      <c r="C162" s="35">
        <v>52</v>
      </c>
      <c r="D162" s="113">
        <f t="shared" si="8"/>
        <v>468.000002531335</v>
      </c>
      <c r="E162" s="109">
        <f t="shared" si="6"/>
        <v>0.00541666669596452</v>
      </c>
      <c r="F162" s="116">
        <f t="shared" si="7"/>
        <v>0.000601851851851852</v>
      </c>
    </row>
    <row r="163" spans="1:6">
      <c r="A163" s="55">
        <v>45300.325474537</v>
      </c>
      <c r="B163" s="56">
        <v>45300.3306944444</v>
      </c>
      <c r="C163" s="35">
        <v>302</v>
      </c>
      <c r="D163" s="113">
        <f t="shared" si="8"/>
        <v>450.999999186024</v>
      </c>
      <c r="E163" s="109">
        <f t="shared" si="6"/>
        <v>0.00521990739798639</v>
      </c>
      <c r="F163" s="116">
        <f t="shared" si="7"/>
        <v>0.00349537037037037</v>
      </c>
    </row>
    <row r="164" spans="1:6">
      <c r="A164" s="55">
        <v>45303.8308449074</v>
      </c>
      <c r="B164" s="56">
        <v>45303.8491550926</v>
      </c>
      <c r="C164" s="35">
        <v>460</v>
      </c>
      <c r="D164" s="113">
        <f t="shared" si="8"/>
        <v>1582.00000079814</v>
      </c>
      <c r="E164" s="109">
        <f t="shared" si="6"/>
        <v>0.018310185194423</v>
      </c>
      <c r="F164" s="116">
        <f t="shared" si="7"/>
        <v>0.00532407407407407</v>
      </c>
    </row>
    <row r="165" spans="1:6">
      <c r="A165" s="55">
        <v>45317.9290625</v>
      </c>
      <c r="B165" s="56">
        <v>45317.931712963</v>
      </c>
      <c r="C165" s="35">
        <v>444</v>
      </c>
      <c r="D165" s="113">
        <f t="shared" si="8"/>
        <v>229.000003240071</v>
      </c>
      <c r="E165" s="109">
        <f t="shared" si="6"/>
        <v>0.00265046300046379</v>
      </c>
      <c r="F165" s="116">
        <f t="shared" si="7"/>
        <v>0.00513888888888889</v>
      </c>
    </row>
    <row r="166" spans="1:6">
      <c r="A166" s="55">
        <v>45301.6708912037</v>
      </c>
      <c r="B166" s="56">
        <v>45301.6793518519</v>
      </c>
      <c r="C166" s="35">
        <v>312</v>
      </c>
      <c r="D166" s="113">
        <f t="shared" si="8"/>
        <v>731.000004289672</v>
      </c>
      <c r="E166" s="109">
        <f t="shared" si="6"/>
        <v>0.00846064819779713</v>
      </c>
      <c r="F166" s="116">
        <f t="shared" si="7"/>
        <v>0.00361111111111111</v>
      </c>
    </row>
    <row r="167" spans="1:6">
      <c r="A167" s="55">
        <v>45306.7278009259</v>
      </c>
      <c r="B167" s="56">
        <v>45306.7457175926</v>
      </c>
      <c r="C167" s="35">
        <v>371</v>
      </c>
      <c r="D167" s="113">
        <f t="shared" si="8"/>
        <v>1548.00000290852</v>
      </c>
      <c r="E167" s="109">
        <f t="shared" si="6"/>
        <v>0.0179166667003301</v>
      </c>
      <c r="F167" s="116">
        <f t="shared" si="7"/>
        <v>0.00429398148148148</v>
      </c>
    </row>
    <row r="168" spans="1:6">
      <c r="A168" s="55">
        <v>45313.7663425926</v>
      </c>
      <c r="B168" s="56">
        <v>45313.7860185185</v>
      </c>
      <c r="C168" s="35">
        <v>173</v>
      </c>
      <c r="D168" s="113">
        <f t="shared" si="8"/>
        <v>1699.99999757856</v>
      </c>
      <c r="E168" s="109">
        <f t="shared" si="6"/>
        <v>0.0196759258979</v>
      </c>
      <c r="F168" s="116">
        <f t="shared" si="7"/>
        <v>0.00200231481481481</v>
      </c>
    </row>
    <row r="169" spans="1:6">
      <c r="A169" s="55">
        <v>45296.3443171296</v>
      </c>
      <c r="B169" s="56">
        <v>45296.3603009259</v>
      </c>
      <c r="C169" s="35">
        <v>385</v>
      </c>
      <c r="D169" s="113">
        <f t="shared" si="8"/>
        <v>1381.00000033155</v>
      </c>
      <c r="E169" s="109">
        <f t="shared" si="6"/>
        <v>0.0159837963001337</v>
      </c>
      <c r="F169" s="116">
        <f t="shared" si="7"/>
        <v>0.00445601851851852</v>
      </c>
    </row>
    <row r="170" spans="1:6">
      <c r="A170" s="55">
        <v>45303.866712963</v>
      </c>
      <c r="B170" s="56">
        <v>45303.8810069444</v>
      </c>
      <c r="C170" s="35">
        <v>150</v>
      </c>
      <c r="D170" s="113">
        <f t="shared" si="8"/>
        <v>1234.99999323394</v>
      </c>
      <c r="E170" s="109">
        <f t="shared" si="6"/>
        <v>0.0142939814031706</v>
      </c>
      <c r="F170" s="116">
        <f t="shared" si="7"/>
        <v>0.00173611111111111</v>
      </c>
    </row>
    <row r="171" spans="1:6">
      <c r="A171" s="55">
        <v>45295.2827662037</v>
      </c>
      <c r="B171" s="56">
        <v>45295.2952893519</v>
      </c>
      <c r="C171" s="35">
        <v>540</v>
      </c>
      <c r="D171" s="113">
        <f t="shared" si="8"/>
        <v>1082.00000461657</v>
      </c>
      <c r="E171" s="109">
        <f t="shared" si="6"/>
        <v>0.0125231482015806</v>
      </c>
      <c r="F171" s="116">
        <f t="shared" si="7"/>
        <v>0.00625</v>
      </c>
    </row>
    <row r="172" spans="1:6">
      <c r="A172" s="55">
        <v>45298.6562268519</v>
      </c>
      <c r="B172" s="56">
        <v>45298.6685532407</v>
      </c>
      <c r="C172" s="35">
        <v>214</v>
      </c>
      <c r="D172" s="113">
        <f t="shared" si="8"/>
        <v>1064.99999247026</v>
      </c>
      <c r="E172" s="109">
        <f t="shared" si="6"/>
        <v>0.0123263888017391</v>
      </c>
      <c r="F172" s="116">
        <f t="shared" si="7"/>
        <v>0.00247685185185185</v>
      </c>
    </row>
    <row r="173" spans="1:6">
      <c r="A173" s="55">
        <v>45294.696087963</v>
      </c>
      <c r="B173" s="56">
        <v>45294.713599537</v>
      </c>
      <c r="C173" s="35">
        <v>76</v>
      </c>
      <c r="D173" s="113">
        <f t="shared" si="8"/>
        <v>1512.99999346957</v>
      </c>
      <c r="E173" s="109">
        <f t="shared" si="6"/>
        <v>0.0175115739984903</v>
      </c>
      <c r="F173" s="116">
        <f t="shared" si="7"/>
        <v>0.00087962962962963</v>
      </c>
    </row>
    <row r="174" spans="1:6">
      <c r="A174" s="55">
        <v>45314.4933217593</v>
      </c>
      <c r="B174" s="56">
        <v>45314.5060648148</v>
      </c>
      <c r="C174" s="35">
        <v>239</v>
      </c>
      <c r="D174" s="113">
        <f t="shared" si="8"/>
        <v>1100.9999952279</v>
      </c>
      <c r="E174" s="109">
        <f t="shared" si="6"/>
        <v>0.012743055500323</v>
      </c>
      <c r="F174" s="116">
        <f t="shared" si="7"/>
        <v>0.0027662037037037</v>
      </c>
    </row>
    <row r="175" spans="1:6">
      <c r="A175" s="55">
        <v>45310.7290625</v>
      </c>
      <c r="B175" s="56">
        <v>45310.7428240741</v>
      </c>
      <c r="C175" s="35">
        <v>142</v>
      </c>
      <c r="D175" s="113">
        <f t="shared" si="8"/>
        <v>1189.00000196882</v>
      </c>
      <c r="E175" s="109">
        <f t="shared" si="6"/>
        <v>0.0137615740968613</v>
      </c>
      <c r="F175" s="116">
        <f t="shared" si="7"/>
        <v>0.00164351851851852</v>
      </c>
    </row>
    <row r="176" spans="1:6">
      <c r="A176" s="55">
        <v>45307.9352893519</v>
      </c>
      <c r="B176" s="56">
        <v>45307.9456828704</v>
      </c>
      <c r="C176" s="35">
        <v>598</v>
      </c>
      <c r="D176" s="113">
        <f t="shared" si="8"/>
        <v>897.999998065643</v>
      </c>
      <c r="E176" s="109">
        <f t="shared" si="6"/>
        <v>0.0103935184961301</v>
      </c>
      <c r="F176" s="116">
        <f t="shared" si="7"/>
        <v>0.0069212962962963</v>
      </c>
    </row>
    <row r="177" spans="1:6">
      <c r="A177" s="55">
        <v>45313.932037037</v>
      </c>
      <c r="B177" s="56">
        <v>45313.9523726852</v>
      </c>
      <c r="C177" s="35">
        <v>574</v>
      </c>
      <c r="D177" s="113">
        <f t="shared" si="8"/>
        <v>1757.00000461657</v>
      </c>
      <c r="E177" s="109">
        <f t="shared" si="6"/>
        <v>0.0203356482015806</v>
      </c>
      <c r="F177" s="116">
        <f t="shared" si="7"/>
        <v>0.00664351851851852</v>
      </c>
    </row>
    <row r="178" spans="1:6">
      <c r="A178" s="55">
        <v>45295.9231365741</v>
      </c>
      <c r="B178" s="56">
        <v>45295.9277314815</v>
      </c>
      <c r="C178" s="35">
        <v>175</v>
      </c>
      <c r="D178" s="113">
        <f t="shared" si="8"/>
        <v>396.999999135733</v>
      </c>
      <c r="E178" s="109">
        <f t="shared" si="6"/>
        <v>0.00459490739740431</v>
      </c>
      <c r="F178" s="116">
        <f t="shared" si="7"/>
        <v>0.00202546296296296</v>
      </c>
    </row>
    <row r="179" spans="1:6">
      <c r="A179" s="55">
        <v>45301.3445833333</v>
      </c>
      <c r="B179" s="56">
        <v>45301.3603240741</v>
      </c>
      <c r="C179" s="35">
        <v>574</v>
      </c>
      <c r="D179" s="113">
        <f t="shared" si="8"/>
        <v>1360.00000485219</v>
      </c>
      <c r="E179" s="109">
        <f t="shared" si="6"/>
        <v>0.0157407407969004</v>
      </c>
      <c r="F179" s="116">
        <f t="shared" si="7"/>
        <v>0.00664351851851852</v>
      </c>
    </row>
    <row r="180" spans="1:6">
      <c r="A180" s="55">
        <v>45308.4844560185</v>
      </c>
      <c r="B180" s="56">
        <v>45308.4887962963</v>
      </c>
      <c r="C180" s="35">
        <v>185</v>
      </c>
      <c r="D180" s="113">
        <f t="shared" si="8"/>
        <v>375.000001536682</v>
      </c>
      <c r="E180" s="109">
        <f t="shared" si="6"/>
        <v>0.00434027779556345</v>
      </c>
      <c r="F180" s="116">
        <f t="shared" si="7"/>
        <v>0.0021412037037037</v>
      </c>
    </row>
    <row r="181" spans="1:6">
      <c r="A181" s="55">
        <v>45316.6119560185</v>
      </c>
      <c r="B181" s="56">
        <v>45316.6308217593</v>
      </c>
      <c r="C181" s="35">
        <v>595</v>
      </c>
      <c r="D181" s="113">
        <f t="shared" si="8"/>
        <v>1630.00000510365</v>
      </c>
      <c r="E181" s="109">
        <f t="shared" si="6"/>
        <v>0.0188657407998107</v>
      </c>
      <c r="F181" s="116">
        <f t="shared" si="7"/>
        <v>0.00688657407407407</v>
      </c>
    </row>
    <row r="182" spans="1:6">
      <c r="A182" s="55">
        <v>45312.6460069444</v>
      </c>
      <c r="B182" s="56">
        <v>45312.665775463</v>
      </c>
      <c r="C182" s="35">
        <v>425</v>
      </c>
      <c r="D182" s="113">
        <f t="shared" si="8"/>
        <v>1708.00000699237</v>
      </c>
      <c r="E182" s="109">
        <f t="shared" si="6"/>
        <v>0.0197685185994487</v>
      </c>
      <c r="F182" s="116">
        <f t="shared" si="7"/>
        <v>0.00491898148148148</v>
      </c>
    </row>
    <row r="183" spans="1:6">
      <c r="A183" s="55">
        <v>45305.8952893519</v>
      </c>
      <c r="B183" s="56">
        <v>45305.9040393519</v>
      </c>
      <c r="C183" s="35">
        <v>157</v>
      </c>
      <c r="D183" s="113">
        <f t="shared" si="8"/>
        <v>756.000000075437</v>
      </c>
      <c r="E183" s="109">
        <f t="shared" si="6"/>
        <v>0.00875000000087311</v>
      </c>
      <c r="F183" s="116">
        <f t="shared" si="7"/>
        <v>0.00181712962962963</v>
      </c>
    </row>
    <row r="184" spans="1:6">
      <c r="A184" s="55">
        <v>45296.7309606482</v>
      </c>
      <c r="B184" s="56">
        <v>45296.7341666667</v>
      </c>
      <c r="C184" s="35">
        <v>336</v>
      </c>
      <c r="D184" s="113">
        <f t="shared" si="8"/>
        <v>276.999998115934</v>
      </c>
      <c r="E184" s="109">
        <f t="shared" si="6"/>
        <v>0.0032060184967122</v>
      </c>
      <c r="F184" s="116">
        <f t="shared" si="7"/>
        <v>0.00388888888888889</v>
      </c>
    </row>
    <row r="185" spans="1:6">
      <c r="A185" s="55">
        <v>45295.3044444444</v>
      </c>
      <c r="B185" s="56">
        <v>45295.3197222222</v>
      </c>
      <c r="C185" s="35">
        <v>438</v>
      </c>
      <c r="D185" s="113">
        <f t="shared" si="8"/>
        <v>1320.00000178814</v>
      </c>
      <c r="E185" s="109">
        <f t="shared" si="6"/>
        <v>0.0152777777984738</v>
      </c>
      <c r="F185" s="116">
        <f t="shared" si="7"/>
        <v>0.00506944444444444</v>
      </c>
    </row>
    <row r="186" spans="1:6">
      <c r="A186" s="55">
        <v>45298.4802314815</v>
      </c>
      <c r="B186" s="56">
        <v>45298.4919907407</v>
      </c>
      <c r="C186" s="35">
        <v>520</v>
      </c>
      <c r="D186" s="113">
        <f t="shared" si="8"/>
        <v>1015.99999484606</v>
      </c>
      <c r="E186" s="109">
        <f t="shared" si="6"/>
        <v>0.0117592591996072</v>
      </c>
      <c r="F186" s="116">
        <f t="shared" si="7"/>
        <v>0.00601851851851852</v>
      </c>
    </row>
    <row r="187" spans="1:6">
      <c r="A187" s="55">
        <v>45298.7104513889</v>
      </c>
      <c r="B187" s="56">
        <v>45298.7178125</v>
      </c>
      <c r="C187" s="35">
        <v>516</v>
      </c>
      <c r="D187" s="113">
        <f t="shared" si="8"/>
        <v>635.999999055639</v>
      </c>
      <c r="E187" s="109">
        <f t="shared" si="6"/>
        <v>0.00736111110018101</v>
      </c>
      <c r="F187" s="116">
        <f t="shared" si="7"/>
        <v>0.00597222222222222</v>
      </c>
    </row>
    <row r="188" spans="1:6">
      <c r="A188" s="55">
        <v>45296.6155439815</v>
      </c>
      <c r="B188" s="56">
        <v>45296.6343402778</v>
      </c>
      <c r="C188" s="35">
        <v>422</v>
      </c>
      <c r="D188" s="113">
        <f t="shared" si="8"/>
        <v>1624.00000055786</v>
      </c>
      <c r="E188" s="109">
        <f t="shared" si="6"/>
        <v>0.018796296302753</v>
      </c>
      <c r="F188" s="116">
        <f t="shared" si="7"/>
        <v>0.00488425925925926</v>
      </c>
    </row>
    <row r="189" spans="1:6">
      <c r="A189" s="55">
        <v>45301.3503703704</v>
      </c>
      <c r="B189" s="56">
        <v>45301.3617361111</v>
      </c>
      <c r="C189" s="35">
        <v>573</v>
      </c>
      <c r="D189" s="113">
        <f t="shared" si="8"/>
        <v>981.999996956438</v>
      </c>
      <c r="E189" s="109">
        <f t="shared" si="6"/>
        <v>0.0113657407055143</v>
      </c>
      <c r="F189" s="116">
        <f t="shared" si="7"/>
        <v>0.00663194444444444</v>
      </c>
    </row>
    <row r="190" spans="1:6">
      <c r="A190" s="55">
        <v>45317.6912384259</v>
      </c>
      <c r="B190" s="56">
        <v>45317.7098263889</v>
      </c>
      <c r="C190" s="35">
        <v>157</v>
      </c>
      <c r="D190" s="113">
        <f t="shared" si="8"/>
        <v>1606.00000326522</v>
      </c>
      <c r="E190" s="109">
        <f t="shared" si="6"/>
        <v>0.0185879630007548</v>
      </c>
      <c r="F190" s="116">
        <f t="shared" si="7"/>
        <v>0.00181712962962963</v>
      </c>
    </row>
    <row r="191" spans="1:6">
      <c r="A191" s="55">
        <v>45317.8982523148</v>
      </c>
      <c r="B191" s="56">
        <v>45317.9024768519</v>
      </c>
      <c r="C191" s="35">
        <v>537</v>
      </c>
      <c r="D191" s="113">
        <f t="shared" si="8"/>
        <v>365.00000548549</v>
      </c>
      <c r="E191" s="109">
        <f t="shared" si="6"/>
        <v>0.0042245371005265</v>
      </c>
      <c r="F191" s="116">
        <f t="shared" si="7"/>
        <v>0.00621527777777778</v>
      </c>
    </row>
    <row r="192" spans="1:6">
      <c r="A192" s="55">
        <v>45315.6509375</v>
      </c>
      <c r="B192" s="56">
        <v>45315.6636458333</v>
      </c>
      <c r="C192" s="35">
        <v>531</v>
      </c>
      <c r="D192" s="113">
        <f t="shared" si="8"/>
        <v>1097.99999704119</v>
      </c>
      <c r="E192" s="109">
        <f t="shared" si="6"/>
        <v>0.0127083332990878</v>
      </c>
      <c r="F192" s="116">
        <f t="shared" si="7"/>
        <v>0.00614583333333333</v>
      </c>
    </row>
    <row r="193" spans="1:6">
      <c r="A193" s="55">
        <v>45292.7234143519</v>
      </c>
      <c r="B193" s="56">
        <v>45292.7267013889</v>
      </c>
      <c r="C193" s="35">
        <v>436</v>
      </c>
      <c r="D193" s="113">
        <f t="shared" si="8"/>
        <v>283.999996609055</v>
      </c>
      <c r="E193" s="109">
        <f t="shared" si="6"/>
        <v>0.00328703699778998</v>
      </c>
      <c r="F193" s="116">
        <f t="shared" si="7"/>
        <v>0.0050462962962963</v>
      </c>
    </row>
    <row r="194" spans="1:6">
      <c r="A194" s="55">
        <v>45311.8865856481</v>
      </c>
      <c r="B194" s="56">
        <v>45311.9058333333</v>
      </c>
      <c r="C194" s="35">
        <v>243</v>
      </c>
      <c r="D194" s="113">
        <f t="shared" si="8"/>
        <v>1663.00000150222</v>
      </c>
      <c r="E194" s="109">
        <f t="shared" si="6"/>
        <v>0.019247685202572</v>
      </c>
      <c r="F194" s="116">
        <f t="shared" si="7"/>
        <v>0.0028125</v>
      </c>
    </row>
    <row r="195" spans="1:6">
      <c r="A195" s="55">
        <v>45316.7568518519</v>
      </c>
      <c r="B195" s="56">
        <v>45316.7736805556</v>
      </c>
      <c r="C195" s="35">
        <v>258</v>
      </c>
      <c r="D195" s="113">
        <f t="shared" si="8"/>
        <v>1453.99999979418</v>
      </c>
      <c r="E195" s="109">
        <f t="shared" ref="E195:E258" si="9">B195-A195</f>
        <v>0.0168287037013215</v>
      </c>
      <c r="F195" s="116">
        <f t="shared" ref="F195:F258" si="10">C195/86400</f>
        <v>0.00298611111111111</v>
      </c>
    </row>
    <row r="196" spans="1:6">
      <c r="A196" s="55">
        <v>45314.5184259259</v>
      </c>
      <c r="B196" s="56">
        <v>45314.5374884259</v>
      </c>
      <c r="C196" s="35">
        <v>492</v>
      </c>
      <c r="D196" s="113">
        <f t="shared" si="8"/>
        <v>1647.0000002766</v>
      </c>
      <c r="E196" s="109">
        <f t="shared" si="9"/>
        <v>0.0190625000032014</v>
      </c>
      <c r="F196" s="116">
        <f t="shared" si="10"/>
        <v>0.00569444444444444</v>
      </c>
    </row>
    <row r="197" spans="1:6">
      <c r="A197" s="55">
        <v>45308.7640162037</v>
      </c>
      <c r="B197" s="56">
        <v>45308.7756018518</v>
      </c>
      <c r="C197" s="35">
        <v>555</v>
      </c>
      <c r="D197" s="113">
        <f t="shared" si="8"/>
        <v>1000.99999574013</v>
      </c>
      <c r="E197" s="109">
        <f t="shared" si="9"/>
        <v>0.0115856480988441</v>
      </c>
      <c r="F197" s="116">
        <f t="shared" si="10"/>
        <v>0.00642361111111111</v>
      </c>
    </row>
    <row r="198" spans="1:6">
      <c r="A198" s="55">
        <v>45312.6107638889</v>
      </c>
      <c r="B198" s="56">
        <v>45312.6160069444</v>
      </c>
      <c r="C198" s="35">
        <v>262</v>
      </c>
      <c r="D198" s="113">
        <f t="shared" ref="D198:D261" si="11">(B198-A198)*86400</f>
        <v>452.999995253049</v>
      </c>
      <c r="E198" s="109">
        <f t="shared" si="9"/>
        <v>0.00524305550061399</v>
      </c>
      <c r="F198" s="116">
        <f t="shared" si="10"/>
        <v>0.00303240740740741</v>
      </c>
    </row>
    <row r="199" spans="1:6">
      <c r="A199" s="55">
        <v>45301.5310763889</v>
      </c>
      <c r="B199" s="56">
        <v>45301.5433564815</v>
      </c>
      <c r="C199" s="35">
        <v>334</v>
      </c>
      <c r="D199" s="113">
        <f t="shared" si="11"/>
        <v>1061.00000096485</v>
      </c>
      <c r="E199" s="109">
        <f t="shared" si="9"/>
        <v>0.0122800926037598</v>
      </c>
      <c r="F199" s="116">
        <f t="shared" si="10"/>
        <v>0.00386574074074074</v>
      </c>
    </row>
    <row r="200" spans="1:6">
      <c r="A200" s="55">
        <v>45301.4004976852</v>
      </c>
      <c r="B200" s="56">
        <v>45301.4140625</v>
      </c>
      <c r="C200" s="35">
        <v>398</v>
      </c>
      <c r="D200" s="113">
        <f t="shared" si="11"/>
        <v>1171.99999862351</v>
      </c>
      <c r="E200" s="109">
        <f t="shared" si="9"/>
        <v>0.0135648147988832</v>
      </c>
      <c r="F200" s="116">
        <f t="shared" si="10"/>
        <v>0.00460648148148148</v>
      </c>
    </row>
    <row r="201" spans="1:6">
      <c r="A201" s="55">
        <v>45294.7496296296</v>
      </c>
      <c r="B201" s="56">
        <v>45294.7658680556</v>
      </c>
      <c r="C201" s="35">
        <v>272</v>
      </c>
      <c r="D201" s="113">
        <f t="shared" si="11"/>
        <v>1403.00000610296</v>
      </c>
      <c r="E201" s="109">
        <f t="shared" si="9"/>
        <v>0.016238425996562</v>
      </c>
      <c r="F201" s="116">
        <f t="shared" si="10"/>
        <v>0.00314814814814815</v>
      </c>
    </row>
    <row r="202" spans="1:6">
      <c r="A202" s="55">
        <v>45309.5889583333</v>
      </c>
      <c r="B202" s="56">
        <v>45309.6042361111</v>
      </c>
      <c r="C202" s="35">
        <v>255</v>
      </c>
      <c r="D202" s="113">
        <f t="shared" si="11"/>
        <v>1320.00000241678</v>
      </c>
      <c r="E202" s="109">
        <f t="shared" si="9"/>
        <v>0.0152777778057498</v>
      </c>
      <c r="F202" s="116">
        <f t="shared" si="10"/>
        <v>0.00295138888888889</v>
      </c>
    </row>
    <row r="203" spans="1:6">
      <c r="A203" s="55">
        <v>45299.2961342593</v>
      </c>
      <c r="B203" s="56">
        <v>45299.3046527778</v>
      </c>
      <c r="C203" s="35">
        <v>493</v>
      </c>
      <c r="D203" s="113">
        <f t="shared" si="11"/>
        <v>735.999998543411</v>
      </c>
      <c r="E203" s="109">
        <f t="shared" si="9"/>
        <v>0.00851851850165986</v>
      </c>
      <c r="F203" s="116">
        <f t="shared" si="10"/>
        <v>0.00570601851851852</v>
      </c>
    </row>
    <row r="204" spans="1:6">
      <c r="A204" s="55">
        <v>45312.8963078704</v>
      </c>
      <c r="B204" s="56">
        <v>45312.901724537</v>
      </c>
      <c r="C204" s="35">
        <v>304</v>
      </c>
      <c r="D204" s="113">
        <f t="shared" si="11"/>
        <v>467.999994358979</v>
      </c>
      <c r="E204" s="109">
        <f t="shared" si="9"/>
        <v>0.00541666660137707</v>
      </c>
      <c r="F204" s="116">
        <f t="shared" si="10"/>
        <v>0.00351851851851852</v>
      </c>
    </row>
    <row r="205" spans="1:6">
      <c r="A205" s="55">
        <v>45309.3326157407</v>
      </c>
      <c r="B205" s="56">
        <v>45309.3374537037</v>
      </c>
      <c r="C205" s="35">
        <v>437</v>
      </c>
      <c r="D205" s="113">
        <f t="shared" si="11"/>
        <v>418.000003416091</v>
      </c>
      <c r="E205" s="109">
        <f t="shared" si="9"/>
        <v>0.00483796300250106</v>
      </c>
      <c r="F205" s="116">
        <f t="shared" si="10"/>
        <v>0.00505787037037037</v>
      </c>
    </row>
    <row r="206" spans="1:6">
      <c r="A206" s="55">
        <v>45315.663912037</v>
      </c>
      <c r="B206" s="56">
        <v>45315.6648148148</v>
      </c>
      <c r="C206" s="35">
        <v>315</v>
      </c>
      <c r="D206" s="113">
        <f t="shared" si="11"/>
        <v>78.0000018887222</v>
      </c>
      <c r="E206" s="109">
        <f t="shared" si="9"/>
        <v>0.000902777799637988</v>
      </c>
      <c r="F206" s="116">
        <f t="shared" si="10"/>
        <v>0.00364583333333333</v>
      </c>
    </row>
    <row r="207" spans="1:6">
      <c r="A207" s="55">
        <v>45308.9139814815</v>
      </c>
      <c r="B207" s="56">
        <v>45308.9266203704</v>
      </c>
      <c r="C207" s="35">
        <v>489</v>
      </c>
      <c r="D207" s="113">
        <f t="shared" si="11"/>
        <v>1092.0000012964</v>
      </c>
      <c r="E207" s="109">
        <f t="shared" si="9"/>
        <v>0.0126388889038935</v>
      </c>
      <c r="F207" s="116">
        <f t="shared" si="10"/>
        <v>0.00565972222222222</v>
      </c>
    </row>
    <row r="208" spans="1:6">
      <c r="A208" s="55">
        <v>45312.6147106482</v>
      </c>
      <c r="B208" s="56">
        <v>45312.6157291667</v>
      </c>
      <c r="C208" s="35">
        <v>355</v>
      </c>
      <c r="D208" s="113">
        <f t="shared" si="11"/>
        <v>87.9999979399145</v>
      </c>
      <c r="E208" s="109">
        <f t="shared" si="9"/>
        <v>0.00101851849467494</v>
      </c>
      <c r="F208" s="116">
        <f t="shared" si="10"/>
        <v>0.0041087962962963</v>
      </c>
    </row>
    <row r="209" spans="1:6">
      <c r="A209" s="55">
        <v>45304.8141203704</v>
      </c>
      <c r="B209" s="56">
        <v>45304.8168634259</v>
      </c>
      <c r="C209" s="35">
        <v>420</v>
      </c>
      <c r="D209" s="113">
        <f t="shared" si="11"/>
        <v>236.999995051883</v>
      </c>
      <c r="E209" s="109">
        <f t="shared" si="9"/>
        <v>0.00274305549828568</v>
      </c>
      <c r="F209" s="116">
        <f t="shared" si="10"/>
        <v>0.00486111111111111</v>
      </c>
    </row>
    <row r="210" spans="1:6">
      <c r="A210" s="55">
        <v>45300.7607407407</v>
      </c>
      <c r="B210" s="56">
        <v>45300.7792939815</v>
      </c>
      <c r="C210" s="35">
        <v>283</v>
      </c>
      <c r="D210" s="113">
        <f t="shared" si="11"/>
        <v>1603.0000050785</v>
      </c>
      <c r="E210" s="109">
        <f t="shared" si="9"/>
        <v>0.0185532407995197</v>
      </c>
      <c r="F210" s="116">
        <f t="shared" si="10"/>
        <v>0.00327546296296296</v>
      </c>
    </row>
    <row r="211" spans="1:6">
      <c r="A211" s="55">
        <v>45312.7390625</v>
      </c>
      <c r="B211" s="56">
        <v>45312.7412268519</v>
      </c>
      <c r="C211" s="35">
        <v>131</v>
      </c>
      <c r="D211" s="113">
        <f t="shared" si="11"/>
        <v>187.000004108995</v>
      </c>
      <c r="E211" s="109">
        <f t="shared" si="9"/>
        <v>0.00216435189940967</v>
      </c>
      <c r="F211" s="116">
        <f t="shared" si="10"/>
        <v>0.0015162037037037</v>
      </c>
    </row>
    <row r="212" spans="1:6">
      <c r="A212" s="55">
        <v>45314.6556365741</v>
      </c>
      <c r="B212" s="56">
        <v>45314.6714699074</v>
      </c>
      <c r="C212" s="35">
        <v>312</v>
      </c>
      <c r="D212" s="113">
        <f t="shared" si="11"/>
        <v>1367.99999729265</v>
      </c>
      <c r="E212" s="109">
        <f t="shared" si="9"/>
        <v>0.0158333333019982</v>
      </c>
      <c r="F212" s="116">
        <f t="shared" si="10"/>
        <v>0.00361111111111111</v>
      </c>
    </row>
    <row r="213" spans="1:6">
      <c r="A213" s="55">
        <v>45306.7268981481</v>
      </c>
      <c r="B213" s="56">
        <v>45306.7406018519</v>
      </c>
      <c r="C213" s="35">
        <v>492</v>
      </c>
      <c r="D213" s="113">
        <f t="shared" si="11"/>
        <v>1184.00000834372</v>
      </c>
      <c r="E213" s="109">
        <f t="shared" si="9"/>
        <v>0.0137037038002745</v>
      </c>
      <c r="F213" s="116">
        <f t="shared" si="10"/>
        <v>0.00569444444444444</v>
      </c>
    </row>
    <row r="214" spans="1:6">
      <c r="A214" s="55">
        <v>45317.3565740741</v>
      </c>
      <c r="B214" s="56">
        <v>45317.3697800926</v>
      </c>
      <c r="C214" s="35">
        <v>380</v>
      </c>
      <c r="D214" s="113">
        <f t="shared" si="11"/>
        <v>1140.99999829195</v>
      </c>
      <c r="E214" s="109">
        <f t="shared" si="9"/>
        <v>0.0132060184987495</v>
      </c>
      <c r="F214" s="116">
        <f t="shared" si="10"/>
        <v>0.00439814814814815</v>
      </c>
    </row>
    <row r="215" spans="1:6">
      <c r="A215" s="55">
        <v>45310.4238425926</v>
      </c>
      <c r="B215" s="56">
        <v>45310.4368634259</v>
      </c>
      <c r="C215" s="35">
        <v>462</v>
      </c>
      <c r="D215" s="113">
        <f t="shared" si="11"/>
        <v>1124.99999706633</v>
      </c>
      <c r="E215" s="109">
        <f t="shared" si="9"/>
        <v>0.0130208332993789</v>
      </c>
      <c r="F215" s="116">
        <f t="shared" si="10"/>
        <v>0.00534722222222222</v>
      </c>
    </row>
    <row r="216" spans="1:6">
      <c r="A216" s="55">
        <v>45308.8687847222</v>
      </c>
      <c r="B216" s="56">
        <v>45308.8802199074</v>
      </c>
      <c r="C216" s="35">
        <v>145</v>
      </c>
      <c r="D216" s="113">
        <f t="shared" si="11"/>
        <v>988.000000873581</v>
      </c>
      <c r="E216" s="109">
        <f t="shared" si="9"/>
        <v>0.0114351851952961</v>
      </c>
      <c r="F216" s="116">
        <f t="shared" si="10"/>
        <v>0.00167824074074074</v>
      </c>
    </row>
    <row r="217" spans="1:6">
      <c r="A217" s="55">
        <v>45313.6569560185</v>
      </c>
      <c r="B217" s="56">
        <v>45313.667025463</v>
      </c>
      <c r="C217" s="35">
        <v>270</v>
      </c>
      <c r="D217" s="113">
        <f t="shared" si="11"/>
        <v>870.000004721805</v>
      </c>
      <c r="E217" s="109">
        <f t="shared" si="9"/>
        <v>0.010069444499095</v>
      </c>
      <c r="F217" s="116">
        <f t="shared" si="10"/>
        <v>0.003125</v>
      </c>
    </row>
    <row r="218" spans="1:6">
      <c r="A218" s="55">
        <v>45309.3332986111</v>
      </c>
      <c r="B218" s="56">
        <v>45309.335625</v>
      </c>
      <c r="C218" s="35">
        <v>493</v>
      </c>
      <c r="D218" s="113">
        <f t="shared" si="11"/>
        <v>201.000001095235</v>
      </c>
      <c r="E218" s="109">
        <f t="shared" si="9"/>
        <v>0.00232638890156522</v>
      </c>
      <c r="F218" s="116">
        <f t="shared" si="10"/>
        <v>0.00570601851851852</v>
      </c>
    </row>
    <row r="219" spans="1:6">
      <c r="A219" s="55">
        <v>45312.8082986111</v>
      </c>
      <c r="B219" s="56">
        <v>45312.8180555556</v>
      </c>
      <c r="C219" s="35">
        <v>469</v>
      </c>
      <c r="D219" s="113">
        <f t="shared" si="11"/>
        <v>843.000005325302</v>
      </c>
      <c r="E219" s="109">
        <f t="shared" si="9"/>
        <v>0.00975694450607989</v>
      </c>
      <c r="F219" s="116">
        <f t="shared" si="10"/>
        <v>0.00542824074074074</v>
      </c>
    </row>
    <row r="220" spans="1:6">
      <c r="A220" s="55">
        <v>45309.445775463</v>
      </c>
      <c r="B220" s="56">
        <v>45309.4547106481</v>
      </c>
      <c r="C220" s="35">
        <v>131</v>
      </c>
      <c r="D220" s="113">
        <f t="shared" si="11"/>
        <v>771.999992500059</v>
      </c>
      <c r="E220" s="109">
        <f t="shared" si="9"/>
        <v>0.00893518509838032</v>
      </c>
      <c r="F220" s="116">
        <f t="shared" si="10"/>
        <v>0.0015162037037037</v>
      </c>
    </row>
    <row r="221" spans="1:6">
      <c r="A221" s="55">
        <v>45292.6456365741</v>
      </c>
      <c r="B221" s="56">
        <v>45292.6633680556</v>
      </c>
      <c r="C221" s="35">
        <v>567</v>
      </c>
      <c r="D221" s="113">
        <f t="shared" si="11"/>
        <v>1532.00000105426</v>
      </c>
      <c r="E221" s="109">
        <f t="shared" si="9"/>
        <v>0.0177314814936835</v>
      </c>
      <c r="F221" s="116">
        <f t="shared" si="10"/>
        <v>0.0065625</v>
      </c>
    </row>
    <row r="222" spans="1:6">
      <c r="A222" s="55">
        <v>45315.3769791667</v>
      </c>
      <c r="B222" s="56">
        <v>45315.3933217593</v>
      </c>
      <c r="C222" s="35">
        <v>439</v>
      </c>
      <c r="D222" s="113">
        <f t="shared" si="11"/>
        <v>1412.0000006631</v>
      </c>
      <c r="E222" s="109">
        <f t="shared" si="9"/>
        <v>0.0163425926002674</v>
      </c>
      <c r="F222" s="116">
        <f t="shared" si="10"/>
        <v>0.00508101851851852</v>
      </c>
    </row>
    <row r="223" spans="1:6">
      <c r="A223" s="55">
        <v>45311.3026273148</v>
      </c>
      <c r="B223" s="56">
        <v>45311.3043634259</v>
      </c>
      <c r="C223" s="35">
        <v>421</v>
      </c>
      <c r="D223" s="113">
        <f t="shared" si="11"/>
        <v>149.999999231659</v>
      </c>
      <c r="E223" s="109">
        <f t="shared" si="9"/>
        <v>0.00173611110221827</v>
      </c>
      <c r="F223" s="116">
        <f t="shared" si="10"/>
        <v>0.00487268518518518</v>
      </c>
    </row>
    <row r="224" spans="1:6">
      <c r="A224" s="55">
        <v>45299.6921064815</v>
      </c>
      <c r="B224" s="56">
        <v>45299.7111111111</v>
      </c>
      <c r="C224" s="35">
        <v>338</v>
      </c>
      <c r="D224" s="113">
        <f t="shared" si="11"/>
        <v>1641.99999722186</v>
      </c>
      <c r="E224" s="109">
        <f t="shared" si="9"/>
        <v>0.0190046295974753</v>
      </c>
      <c r="F224" s="116">
        <f t="shared" si="10"/>
        <v>0.00391203703703704</v>
      </c>
    </row>
    <row r="225" spans="1:6">
      <c r="A225" s="55">
        <v>45305.6368402778</v>
      </c>
      <c r="B225" s="56">
        <v>45305.6507291667</v>
      </c>
      <c r="C225" s="35">
        <v>189</v>
      </c>
      <c r="D225" s="113">
        <f t="shared" si="11"/>
        <v>1200.00000076834</v>
      </c>
      <c r="E225" s="109">
        <f t="shared" si="9"/>
        <v>0.0138888888977817</v>
      </c>
      <c r="F225" s="116">
        <f t="shared" si="10"/>
        <v>0.0021875</v>
      </c>
    </row>
    <row r="226" spans="1:6">
      <c r="A226" s="55">
        <v>45304.9310648148</v>
      </c>
      <c r="B226" s="56">
        <v>45304.9416203704</v>
      </c>
      <c r="C226" s="35">
        <v>428</v>
      </c>
      <c r="D226" s="113">
        <f t="shared" si="11"/>
        <v>912.000003852881</v>
      </c>
      <c r="E226" s="109">
        <f t="shared" si="9"/>
        <v>0.0105555556001491</v>
      </c>
      <c r="F226" s="116">
        <f t="shared" si="10"/>
        <v>0.0049537037037037</v>
      </c>
    </row>
    <row r="227" spans="1:6">
      <c r="A227" s="55">
        <v>45299.6630208333</v>
      </c>
      <c r="B227" s="56">
        <v>45299.6671296296</v>
      </c>
      <c r="C227" s="35">
        <v>484</v>
      </c>
      <c r="D227" s="113">
        <f t="shared" si="11"/>
        <v>355.000000004657</v>
      </c>
      <c r="E227" s="109">
        <f t="shared" si="9"/>
        <v>0.00410879629635019</v>
      </c>
      <c r="F227" s="116">
        <f t="shared" si="10"/>
        <v>0.00560185185185185</v>
      </c>
    </row>
    <row r="228" spans="1:6">
      <c r="A228" s="55">
        <v>45299.5926041667</v>
      </c>
      <c r="B228" s="56">
        <v>45299.6086226852</v>
      </c>
      <c r="C228" s="35">
        <v>90</v>
      </c>
      <c r="D228" s="113">
        <f t="shared" si="11"/>
        <v>1383.99999851827</v>
      </c>
      <c r="E228" s="109">
        <f t="shared" si="9"/>
        <v>0.0160185185013688</v>
      </c>
      <c r="F228" s="116">
        <f t="shared" si="10"/>
        <v>0.00104166666666667</v>
      </c>
    </row>
    <row r="229" spans="1:6">
      <c r="A229" s="55">
        <v>45300.7803009259</v>
      </c>
      <c r="B229" s="56">
        <v>45300.7952777778</v>
      </c>
      <c r="C229" s="35">
        <v>50</v>
      </c>
      <c r="D229" s="113">
        <f t="shared" si="11"/>
        <v>1294.00000388268</v>
      </c>
      <c r="E229" s="109">
        <f t="shared" si="9"/>
        <v>0.0149768518967903</v>
      </c>
      <c r="F229" s="116">
        <f t="shared" si="10"/>
        <v>0.000578703703703704</v>
      </c>
    </row>
    <row r="230" spans="1:6">
      <c r="A230" s="55">
        <v>45307.5388657407</v>
      </c>
      <c r="B230" s="56">
        <v>45307.5474421296</v>
      </c>
      <c r="C230" s="35">
        <v>320</v>
      </c>
      <c r="D230" s="113">
        <f t="shared" si="11"/>
        <v>741.000000969507</v>
      </c>
      <c r="E230" s="109">
        <f t="shared" si="9"/>
        <v>0.00857638890011003</v>
      </c>
      <c r="F230" s="116">
        <f t="shared" si="10"/>
        <v>0.0037037037037037</v>
      </c>
    </row>
    <row r="231" spans="1:6">
      <c r="A231" s="55">
        <v>45316.9154513889</v>
      </c>
      <c r="B231" s="56">
        <v>45316.9326273148</v>
      </c>
      <c r="C231" s="35">
        <v>219</v>
      </c>
      <c r="D231" s="113">
        <f t="shared" si="11"/>
        <v>1483.99999800604</v>
      </c>
      <c r="E231" s="109">
        <f t="shared" si="9"/>
        <v>0.0171759259028477</v>
      </c>
      <c r="F231" s="116">
        <f t="shared" si="10"/>
        <v>0.00253472222222222</v>
      </c>
    </row>
    <row r="232" spans="1:6">
      <c r="A232" s="55">
        <v>45306.721712963</v>
      </c>
      <c r="B232" s="56">
        <v>45306.7309259259</v>
      </c>
      <c r="C232" s="35">
        <v>535</v>
      </c>
      <c r="D232" s="113">
        <f t="shared" si="11"/>
        <v>795.99999433849</v>
      </c>
      <c r="E232" s="109">
        <f t="shared" si="9"/>
        <v>0.00921296289743623</v>
      </c>
      <c r="F232" s="116">
        <f t="shared" si="10"/>
        <v>0.00619212962962963</v>
      </c>
    </row>
    <row r="233" spans="1:6">
      <c r="A233" s="55">
        <v>45316.7070949074</v>
      </c>
      <c r="B233" s="56">
        <v>45316.7165740741</v>
      </c>
      <c r="C233" s="35">
        <v>330</v>
      </c>
      <c r="D233" s="113">
        <f t="shared" si="11"/>
        <v>819.000002858229</v>
      </c>
      <c r="E233" s="109">
        <f t="shared" si="9"/>
        <v>0.00947916669974802</v>
      </c>
      <c r="F233" s="116">
        <f t="shared" si="10"/>
        <v>0.00381944444444444</v>
      </c>
    </row>
    <row r="234" spans="1:6">
      <c r="A234" s="55">
        <v>45292.6083217593</v>
      </c>
      <c r="B234" s="56">
        <v>45292.6228587963</v>
      </c>
      <c r="C234" s="35">
        <v>437</v>
      </c>
      <c r="D234" s="113">
        <f t="shared" si="11"/>
        <v>1255.99999688566</v>
      </c>
      <c r="E234" s="109">
        <f t="shared" si="9"/>
        <v>0.0145370370009914</v>
      </c>
      <c r="F234" s="116">
        <f t="shared" si="10"/>
        <v>0.00505787037037037</v>
      </c>
    </row>
    <row r="235" spans="1:6">
      <c r="A235" s="55">
        <v>45318.563599537</v>
      </c>
      <c r="B235" s="56">
        <v>45318.5798032407</v>
      </c>
      <c r="C235" s="35">
        <v>355</v>
      </c>
      <c r="D235" s="113">
        <f t="shared" si="11"/>
        <v>1399.99999911524</v>
      </c>
      <c r="E235" s="109">
        <f t="shared" si="9"/>
        <v>0.0162037036934635</v>
      </c>
      <c r="F235" s="116">
        <f t="shared" si="10"/>
        <v>0.0041087962962963</v>
      </c>
    </row>
    <row r="236" spans="1:6">
      <c r="A236" s="55">
        <v>45297.7153703704</v>
      </c>
      <c r="B236" s="56">
        <v>45297.7331365741</v>
      </c>
      <c r="C236" s="35">
        <v>569</v>
      </c>
      <c r="D236" s="113">
        <f t="shared" si="11"/>
        <v>1534.99999924097</v>
      </c>
      <c r="E236" s="109">
        <f t="shared" si="9"/>
        <v>0.0177662036949187</v>
      </c>
      <c r="F236" s="116">
        <f t="shared" si="10"/>
        <v>0.00658564814814815</v>
      </c>
    </row>
    <row r="237" spans="1:6">
      <c r="A237" s="55">
        <v>45293.3699305556</v>
      </c>
      <c r="B237" s="56">
        <v>45293.3717708333</v>
      </c>
      <c r="C237" s="35">
        <v>16</v>
      </c>
      <c r="D237" s="113">
        <f t="shared" si="11"/>
        <v>158.999993163161</v>
      </c>
      <c r="E237" s="109">
        <f t="shared" si="9"/>
        <v>0.0018402776986477</v>
      </c>
      <c r="F237" s="116">
        <f t="shared" si="10"/>
        <v>0.000185185185185185</v>
      </c>
    </row>
    <row r="238" spans="1:6">
      <c r="A238" s="55">
        <v>45308.8493402778</v>
      </c>
      <c r="B238" s="56">
        <v>45308.8646759259</v>
      </c>
      <c r="C238" s="35">
        <v>504</v>
      </c>
      <c r="D238" s="113">
        <f t="shared" si="11"/>
        <v>1324.99999604188</v>
      </c>
      <c r="E238" s="109">
        <f t="shared" si="9"/>
        <v>0.0153356481023366</v>
      </c>
      <c r="F238" s="116">
        <f t="shared" si="10"/>
        <v>0.00583333333333333</v>
      </c>
    </row>
    <row r="239" spans="1:6">
      <c r="A239" s="55">
        <v>45292.9488078704</v>
      </c>
      <c r="B239" s="56">
        <v>45292.9621990741</v>
      </c>
      <c r="C239" s="35">
        <v>303</v>
      </c>
      <c r="D239" s="113">
        <f t="shared" si="11"/>
        <v>1156.99999951757</v>
      </c>
      <c r="E239" s="109">
        <f t="shared" si="9"/>
        <v>0.0133912036981201</v>
      </c>
      <c r="F239" s="116">
        <f t="shared" si="10"/>
        <v>0.00350694444444444</v>
      </c>
    </row>
    <row r="240" spans="1:6">
      <c r="A240" s="55">
        <v>45298.9283796296</v>
      </c>
      <c r="B240" s="56">
        <v>45298.9374652778</v>
      </c>
      <c r="C240" s="35">
        <v>283</v>
      </c>
      <c r="D240" s="113">
        <f t="shared" si="11"/>
        <v>785.000004339963</v>
      </c>
      <c r="E240" s="109">
        <f t="shared" si="9"/>
        <v>0.0090856481983792</v>
      </c>
      <c r="F240" s="116">
        <f t="shared" si="10"/>
        <v>0.00327546296296296</v>
      </c>
    </row>
    <row r="241" spans="1:6">
      <c r="A241" s="55">
        <v>45299.5553587963</v>
      </c>
      <c r="B241" s="56">
        <v>45299.5756712963</v>
      </c>
      <c r="C241" s="35">
        <v>92</v>
      </c>
      <c r="D241" s="113">
        <f t="shared" si="11"/>
        <v>1754.99999974854</v>
      </c>
      <c r="E241" s="109">
        <f t="shared" si="9"/>
        <v>0.0203124999970896</v>
      </c>
      <c r="F241" s="116">
        <f t="shared" si="10"/>
        <v>0.00106481481481481</v>
      </c>
    </row>
    <row r="242" spans="1:6">
      <c r="A242" s="55">
        <v>45293.2806712963</v>
      </c>
      <c r="B242" s="56">
        <v>45293.2833217593</v>
      </c>
      <c r="C242" s="35">
        <v>521</v>
      </c>
      <c r="D242" s="113">
        <f t="shared" si="11"/>
        <v>229.000003240071</v>
      </c>
      <c r="E242" s="109">
        <f t="shared" si="9"/>
        <v>0.00265046300046379</v>
      </c>
      <c r="F242" s="116">
        <f t="shared" si="10"/>
        <v>0.00603009259259259</v>
      </c>
    </row>
    <row r="243" spans="1:6">
      <c r="A243" s="55">
        <v>45308.3015393519</v>
      </c>
      <c r="B243" s="56">
        <v>45308.3186342593</v>
      </c>
      <c r="C243" s="35">
        <v>590</v>
      </c>
      <c r="D243" s="113">
        <f t="shared" si="11"/>
        <v>1476.99999951292</v>
      </c>
      <c r="E243" s="109">
        <f t="shared" si="9"/>
        <v>0.0170949074017699</v>
      </c>
      <c r="F243" s="116">
        <f t="shared" si="10"/>
        <v>0.0068287037037037</v>
      </c>
    </row>
    <row r="244" spans="1:6">
      <c r="A244" s="55">
        <v>45300.2999884259</v>
      </c>
      <c r="B244" s="56">
        <v>45300.3081365741</v>
      </c>
      <c r="C244" s="35">
        <v>26</v>
      </c>
      <c r="D244" s="113">
        <f t="shared" si="11"/>
        <v>704.000004893169</v>
      </c>
      <c r="E244" s="109">
        <f t="shared" si="9"/>
        <v>0.00814814820478205</v>
      </c>
      <c r="F244" s="116">
        <f t="shared" si="10"/>
        <v>0.000300925925925926</v>
      </c>
    </row>
    <row r="245" spans="1:6">
      <c r="A245" s="55">
        <v>45297.5672800926</v>
      </c>
      <c r="B245" s="56">
        <v>45297.5881018518</v>
      </c>
      <c r="C245" s="35">
        <v>408</v>
      </c>
      <c r="D245" s="113">
        <f t="shared" si="11"/>
        <v>1798.99999494664</v>
      </c>
      <c r="E245" s="109">
        <f t="shared" si="9"/>
        <v>0.0208217592007713</v>
      </c>
      <c r="F245" s="116">
        <f t="shared" si="10"/>
        <v>0.00472222222222222</v>
      </c>
    </row>
    <row r="246" spans="1:6">
      <c r="A246" s="55">
        <v>45314.356099537</v>
      </c>
      <c r="B246" s="56">
        <v>45314.3649884259</v>
      </c>
      <c r="C246" s="35">
        <v>64</v>
      </c>
      <c r="D246" s="113">
        <f t="shared" si="11"/>
        <v>768.000000994653</v>
      </c>
      <c r="E246" s="109">
        <f t="shared" si="9"/>
        <v>0.00888888890040107</v>
      </c>
      <c r="F246" s="116">
        <f t="shared" si="10"/>
        <v>0.000740740740740741</v>
      </c>
    </row>
    <row r="247" spans="1:6">
      <c r="A247" s="55">
        <v>45316.7842592593</v>
      </c>
      <c r="B247" s="56">
        <v>45316.7856481482</v>
      </c>
      <c r="C247" s="35">
        <v>289</v>
      </c>
      <c r="D247" s="113">
        <f t="shared" si="11"/>
        <v>120.000001019798</v>
      </c>
      <c r="E247" s="109">
        <f t="shared" si="9"/>
        <v>0.00138888890069211</v>
      </c>
      <c r="F247" s="116">
        <f t="shared" si="10"/>
        <v>0.00334490740740741</v>
      </c>
    </row>
    <row r="248" spans="1:6">
      <c r="A248" s="55">
        <v>45297.7540393519</v>
      </c>
      <c r="B248" s="56">
        <v>45297.7693865741</v>
      </c>
      <c r="C248" s="35">
        <v>312</v>
      </c>
      <c r="D248" s="113">
        <f t="shared" si="11"/>
        <v>1325.99999816157</v>
      </c>
      <c r="E248" s="109">
        <f t="shared" si="9"/>
        <v>0.0153472222009441</v>
      </c>
      <c r="F248" s="116">
        <f t="shared" si="10"/>
        <v>0.00361111111111111</v>
      </c>
    </row>
    <row r="249" spans="1:6">
      <c r="A249" s="55">
        <v>45317.4495833333</v>
      </c>
      <c r="B249" s="56">
        <v>45317.4577777778</v>
      </c>
      <c r="C249" s="35">
        <v>379</v>
      </c>
      <c r="D249" s="113">
        <f t="shared" si="11"/>
        <v>708.000005199574</v>
      </c>
      <c r="E249" s="109">
        <f t="shared" si="9"/>
        <v>0.0081944445046247</v>
      </c>
      <c r="F249" s="116">
        <f t="shared" si="10"/>
        <v>0.00438657407407407</v>
      </c>
    </row>
    <row r="250" spans="1:6">
      <c r="A250" s="55">
        <v>45316.5875925926</v>
      </c>
      <c r="B250" s="56">
        <v>45316.5903472222</v>
      </c>
      <c r="C250" s="35">
        <v>201</v>
      </c>
      <c r="D250" s="113">
        <f t="shared" si="11"/>
        <v>237.999997171573</v>
      </c>
      <c r="E250" s="109">
        <f t="shared" si="9"/>
        <v>0.00275462959689321</v>
      </c>
      <c r="F250" s="116">
        <f t="shared" si="10"/>
        <v>0.00232638888888889</v>
      </c>
    </row>
    <row r="251" spans="1:6">
      <c r="A251" s="55">
        <v>45292.3490162037</v>
      </c>
      <c r="B251" s="56">
        <v>45292.3519097222</v>
      </c>
      <c r="C251" s="35">
        <v>342</v>
      </c>
      <c r="D251" s="113">
        <f t="shared" si="11"/>
        <v>249.999998719431</v>
      </c>
      <c r="E251" s="109">
        <f t="shared" si="9"/>
        <v>0.00289351850369712</v>
      </c>
      <c r="F251" s="116">
        <f t="shared" si="10"/>
        <v>0.00395833333333333</v>
      </c>
    </row>
    <row r="252" spans="1:6">
      <c r="A252" s="55">
        <v>45309.5670486111</v>
      </c>
      <c r="B252" s="56">
        <v>45309.5717592593</v>
      </c>
      <c r="C252" s="35">
        <v>399</v>
      </c>
      <c r="D252" s="113">
        <f t="shared" si="11"/>
        <v>407.000004616566</v>
      </c>
      <c r="E252" s="109">
        <f t="shared" si="9"/>
        <v>0.00471064820158063</v>
      </c>
      <c r="F252" s="116">
        <f t="shared" si="10"/>
        <v>0.00461805555555556</v>
      </c>
    </row>
    <row r="253" spans="1:6">
      <c r="A253" s="55">
        <v>45294.4772800926</v>
      </c>
      <c r="B253" s="56">
        <v>45294.4879513889</v>
      </c>
      <c r="C253" s="35">
        <v>316</v>
      </c>
      <c r="D253" s="113">
        <f t="shared" si="11"/>
        <v>922.000000532717</v>
      </c>
      <c r="E253" s="109">
        <f t="shared" si="9"/>
        <v>0.010671296302462</v>
      </c>
      <c r="F253" s="116">
        <f t="shared" si="10"/>
        <v>0.00365740740740741</v>
      </c>
    </row>
    <row r="254" spans="1:6">
      <c r="A254" s="55">
        <v>45312.9018402778</v>
      </c>
      <c r="B254" s="56">
        <v>45312.9071643519</v>
      </c>
      <c r="C254" s="35">
        <v>478</v>
      </c>
      <c r="D254" s="113">
        <f t="shared" si="11"/>
        <v>460.000001918525</v>
      </c>
      <c r="E254" s="109">
        <f t="shared" si="9"/>
        <v>0.00532407409627922</v>
      </c>
      <c r="F254" s="116">
        <f t="shared" si="10"/>
        <v>0.00553240740740741</v>
      </c>
    </row>
    <row r="255" spans="1:6">
      <c r="A255" s="55">
        <v>45304.6863541667</v>
      </c>
      <c r="B255" s="56">
        <v>45304.6972453704</v>
      </c>
      <c r="C255" s="35">
        <v>149</v>
      </c>
      <c r="D255" s="113">
        <f t="shared" si="11"/>
        <v>940.999999945052</v>
      </c>
      <c r="E255" s="109">
        <f t="shared" si="9"/>
        <v>0.0108912037030677</v>
      </c>
      <c r="F255" s="116">
        <f t="shared" si="10"/>
        <v>0.00172453703703704</v>
      </c>
    </row>
    <row r="256" spans="1:6">
      <c r="A256" s="55">
        <v>45302.4759259259</v>
      </c>
      <c r="B256" s="56">
        <v>45302.4835185185</v>
      </c>
      <c r="C256" s="35">
        <v>512</v>
      </c>
      <c r="D256" s="113">
        <f t="shared" si="11"/>
        <v>656.000000587665</v>
      </c>
      <c r="E256" s="109">
        <f t="shared" si="9"/>
        <v>0.00759259259939427</v>
      </c>
      <c r="F256" s="116">
        <f t="shared" si="10"/>
        <v>0.00592592592592593</v>
      </c>
    </row>
    <row r="257" spans="1:6">
      <c r="A257" s="55">
        <v>45295.526087963</v>
      </c>
      <c r="B257" s="56">
        <v>45295.5310416667</v>
      </c>
      <c r="C257" s="35">
        <v>573</v>
      </c>
      <c r="D257" s="113">
        <f t="shared" si="11"/>
        <v>427.999999467283</v>
      </c>
      <c r="E257" s="109">
        <f t="shared" si="9"/>
        <v>0.004953703697538</v>
      </c>
      <c r="F257" s="116">
        <f t="shared" si="10"/>
        <v>0.00663194444444444</v>
      </c>
    </row>
    <row r="258" spans="1:6">
      <c r="A258" s="55">
        <v>45318.8218865741</v>
      </c>
      <c r="B258" s="56">
        <v>45318.8258796296</v>
      </c>
      <c r="C258" s="35">
        <v>320</v>
      </c>
      <c r="D258" s="113">
        <f t="shared" si="11"/>
        <v>344.999995152466</v>
      </c>
      <c r="E258" s="109">
        <f t="shared" si="9"/>
        <v>0.00399305549944984</v>
      </c>
      <c r="F258" s="116">
        <f t="shared" si="10"/>
        <v>0.0037037037037037</v>
      </c>
    </row>
    <row r="259" spans="1:6">
      <c r="A259" s="55">
        <v>45306.9009837963</v>
      </c>
      <c r="B259" s="56">
        <v>45306.9143402778</v>
      </c>
      <c r="C259" s="35">
        <v>528</v>
      </c>
      <c r="D259" s="113">
        <f t="shared" si="11"/>
        <v>1154.00000133086</v>
      </c>
      <c r="E259" s="109">
        <f t="shared" ref="E259:E322" si="12">B259-A259</f>
        <v>0.013356481496885</v>
      </c>
      <c r="F259" s="116">
        <f t="shared" ref="F259:F322" si="13">C259/86400</f>
        <v>0.00611111111111111</v>
      </c>
    </row>
    <row r="260" spans="1:6">
      <c r="A260" s="55">
        <v>45312.3380671296</v>
      </c>
      <c r="B260" s="56">
        <v>45312.3446412037</v>
      </c>
      <c r="C260" s="35">
        <v>373</v>
      </c>
      <c r="D260" s="113">
        <f t="shared" si="11"/>
        <v>568.000002019107</v>
      </c>
      <c r="E260" s="109">
        <f t="shared" si="12"/>
        <v>0.00657407409744337</v>
      </c>
      <c r="F260" s="116">
        <f t="shared" si="13"/>
        <v>0.00431712962962963</v>
      </c>
    </row>
    <row r="261" spans="1:6">
      <c r="A261" s="55">
        <v>45304.7017013889</v>
      </c>
      <c r="B261" s="56">
        <v>45304.7048958333</v>
      </c>
      <c r="C261" s="35">
        <v>20</v>
      </c>
      <c r="D261" s="113">
        <f t="shared" si="11"/>
        <v>275.999996624887</v>
      </c>
      <c r="E261" s="109">
        <f t="shared" si="12"/>
        <v>0.00319444440538064</v>
      </c>
      <c r="F261" s="116">
        <f t="shared" si="13"/>
        <v>0.000231481481481481</v>
      </c>
    </row>
    <row r="262" spans="1:6">
      <c r="A262" s="55">
        <v>45310.5613773148</v>
      </c>
      <c r="B262" s="56">
        <v>45310.5713425926</v>
      </c>
      <c r="C262" s="35">
        <v>484</v>
      </c>
      <c r="D262" s="113">
        <f t="shared" ref="D262:D325" si="14">(B262-A262)*86400</f>
        <v>861.000001989305</v>
      </c>
      <c r="E262" s="109">
        <f t="shared" si="12"/>
        <v>0.00996527780080214</v>
      </c>
      <c r="F262" s="116">
        <f t="shared" si="13"/>
        <v>0.00560185185185185</v>
      </c>
    </row>
    <row r="263" spans="1:6">
      <c r="A263" s="55">
        <v>45301.8320023148</v>
      </c>
      <c r="B263" s="56">
        <v>45301.8354398148</v>
      </c>
      <c r="C263" s="35">
        <v>155</v>
      </c>
      <c r="D263" s="113">
        <f t="shared" si="14"/>
        <v>297.000000276603</v>
      </c>
      <c r="E263" s="109">
        <f t="shared" si="12"/>
        <v>0.00343750000320142</v>
      </c>
      <c r="F263" s="116">
        <f t="shared" si="13"/>
        <v>0.00179398148148148</v>
      </c>
    </row>
    <row r="264" spans="1:6">
      <c r="A264" s="55">
        <v>45307.7292361111</v>
      </c>
      <c r="B264" s="56">
        <v>45307.7403125</v>
      </c>
      <c r="C264" s="35">
        <v>473</v>
      </c>
      <c r="D264" s="113">
        <f t="shared" si="14"/>
        <v>957.00000054203</v>
      </c>
      <c r="E264" s="109">
        <f t="shared" si="12"/>
        <v>0.0110763888951624</v>
      </c>
      <c r="F264" s="116">
        <f t="shared" si="13"/>
        <v>0.00547453703703704</v>
      </c>
    </row>
    <row r="265" spans="1:6">
      <c r="A265" s="55">
        <v>45302.4054513889</v>
      </c>
      <c r="B265" s="56">
        <v>45302.4100347222</v>
      </c>
      <c r="C265" s="35">
        <v>259</v>
      </c>
      <c r="D265" s="113">
        <f t="shared" si="14"/>
        <v>395.999997016042</v>
      </c>
      <c r="E265" s="109">
        <f t="shared" si="12"/>
        <v>0.00458333329879679</v>
      </c>
      <c r="F265" s="116">
        <f t="shared" si="13"/>
        <v>0.00299768518518519</v>
      </c>
    </row>
    <row r="266" spans="1:6">
      <c r="A266" s="55">
        <v>45299.7779050926</v>
      </c>
      <c r="B266" s="56">
        <v>45299.7830092593</v>
      </c>
      <c r="C266" s="35">
        <v>452</v>
      </c>
      <c r="D266" s="113">
        <f t="shared" si="14"/>
        <v>441.000003134832</v>
      </c>
      <c r="E266" s="109">
        <f t="shared" si="12"/>
        <v>0.00510416670294944</v>
      </c>
      <c r="F266" s="116">
        <f t="shared" si="13"/>
        <v>0.00523148148148148</v>
      </c>
    </row>
    <row r="267" spans="1:6">
      <c r="A267" s="55">
        <v>45310.8083333333</v>
      </c>
      <c r="B267" s="56">
        <v>45310.8257291667</v>
      </c>
      <c r="C267" s="35">
        <v>229</v>
      </c>
      <c r="D267" s="113">
        <f t="shared" si="14"/>
        <v>1503.00000621937</v>
      </c>
      <c r="E267" s="109">
        <f t="shared" si="12"/>
        <v>0.0173958334053168</v>
      </c>
      <c r="F267" s="116">
        <f t="shared" si="13"/>
        <v>0.00265046296296296</v>
      </c>
    </row>
    <row r="268" spans="1:6">
      <c r="A268" s="55">
        <v>45295.474537037</v>
      </c>
      <c r="B268" s="56">
        <v>45295.4798958333</v>
      </c>
      <c r="C268" s="35">
        <v>478</v>
      </c>
      <c r="D268" s="113">
        <f t="shared" si="14"/>
        <v>463.000000105239</v>
      </c>
      <c r="E268" s="109">
        <f t="shared" si="12"/>
        <v>0.00535879629751435</v>
      </c>
      <c r="F268" s="116">
        <f t="shared" si="13"/>
        <v>0.00553240740740741</v>
      </c>
    </row>
    <row r="269" spans="1:6">
      <c r="A269" s="55">
        <v>45302.7773726852</v>
      </c>
      <c r="B269" s="56">
        <v>45302.7919791667</v>
      </c>
      <c r="C269" s="35">
        <v>126</v>
      </c>
      <c r="D269" s="113">
        <f t="shared" si="14"/>
        <v>1262.00000143144</v>
      </c>
      <c r="E269" s="109">
        <f t="shared" si="12"/>
        <v>0.0146064814980491</v>
      </c>
      <c r="F269" s="116">
        <f t="shared" si="13"/>
        <v>0.00145833333333333</v>
      </c>
    </row>
    <row r="270" spans="1:6">
      <c r="A270" s="55">
        <v>45317.6657291667</v>
      </c>
      <c r="B270" s="56">
        <v>45317.6804050926</v>
      </c>
      <c r="C270" s="35">
        <v>96</v>
      </c>
      <c r="D270" s="113">
        <f t="shared" si="14"/>
        <v>1267.99999780487</v>
      </c>
      <c r="E270" s="109">
        <f t="shared" si="12"/>
        <v>0.0146759259005194</v>
      </c>
      <c r="F270" s="116">
        <f t="shared" si="13"/>
        <v>0.00111111111111111</v>
      </c>
    </row>
    <row r="271" spans="1:6">
      <c r="A271" s="55">
        <v>45296.9336342593</v>
      </c>
      <c r="B271" s="56">
        <v>45296.9484606481</v>
      </c>
      <c r="C271" s="35">
        <v>151</v>
      </c>
      <c r="D271" s="113">
        <f t="shared" si="14"/>
        <v>1280.99999204278</v>
      </c>
      <c r="E271" s="109">
        <f t="shared" si="12"/>
        <v>0.0148263887967914</v>
      </c>
      <c r="F271" s="116">
        <f t="shared" si="13"/>
        <v>0.00174768518518519</v>
      </c>
    </row>
    <row r="272" spans="1:6">
      <c r="A272" s="55">
        <v>45312.4827546296</v>
      </c>
      <c r="B272" s="56">
        <v>45312.4950462963</v>
      </c>
      <c r="C272" s="35">
        <v>305</v>
      </c>
      <c r="D272" s="113">
        <f t="shared" si="14"/>
        <v>1062.00000308454</v>
      </c>
      <c r="E272" s="109">
        <f t="shared" si="12"/>
        <v>0.0122916667023674</v>
      </c>
      <c r="F272" s="116">
        <f t="shared" si="13"/>
        <v>0.00353009259259259</v>
      </c>
    </row>
    <row r="273" spans="1:6">
      <c r="A273" s="55">
        <v>45319.7086921296</v>
      </c>
      <c r="B273" s="56">
        <v>45319.7126157407</v>
      </c>
      <c r="C273" s="35">
        <v>209</v>
      </c>
      <c r="D273" s="113">
        <f t="shared" si="14"/>
        <v>338.999998779036</v>
      </c>
      <c r="E273" s="109">
        <f t="shared" si="12"/>
        <v>0.00392361109697958</v>
      </c>
      <c r="F273" s="116">
        <f t="shared" si="13"/>
        <v>0.00241898148148148</v>
      </c>
    </row>
    <row r="274" spans="1:6">
      <c r="A274" s="55">
        <v>45318.8549768518</v>
      </c>
      <c r="B274" s="56">
        <v>45318.8576273148</v>
      </c>
      <c r="C274" s="35">
        <v>588</v>
      </c>
      <c r="D274" s="113">
        <f t="shared" si="14"/>
        <v>229.000003240071</v>
      </c>
      <c r="E274" s="109">
        <f t="shared" si="12"/>
        <v>0.00265046300046379</v>
      </c>
      <c r="F274" s="116">
        <f t="shared" si="13"/>
        <v>0.00680555555555556</v>
      </c>
    </row>
    <row r="275" spans="1:6">
      <c r="A275" s="55">
        <v>45316.8588773148</v>
      </c>
      <c r="B275" s="56">
        <v>45316.8778819444</v>
      </c>
      <c r="C275" s="35">
        <v>517</v>
      </c>
      <c r="D275" s="113">
        <f t="shared" si="14"/>
        <v>1641.99999722186</v>
      </c>
      <c r="E275" s="109">
        <f t="shared" si="12"/>
        <v>0.0190046295974753</v>
      </c>
      <c r="F275" s="116">
        <f t="shared" si="13"/>
        <v>0.0059837962962963</v>
      </c>
    </row>
    <row r="276" spans="1:6">
      <c r="A276" s="55">
        <v>45309.3255324074</v>
      </c>
      <c r="B276" s="56">
        <v>45309.3366782407</v>
      </c>
      <c r="C276" s="35">
        <v>569</v>
      </c>
      <c r="D276" s="113">
        <f t="shared" si="14"/>
        <v>962.999997544102</v>
      </c>
      <c r="E276" s="109">
        <f t="shared" si="12"/>
        <v>0.0111458333049086</v>
      </c>
      <c r="F276" s="116">
        <f t="shared" si="13"/>
        <v>0.00658564814814815</v>
      </c>
    </row>
    <row r="277" spans="1:6">
      <c r="A277" s="55">
        <v>45299.6632175926</v>
      </c>
      <c r="B277" s="56">
        <v>45299.6745717593</v>
      </c>
      <c r="C277" s="35">
        <v>279</v>
      </c>
      <c r="D277" s="113">
        <f t="shared" si="14"/>
        <v>981.000003009103</v>
      </c>
      <c r="E277" s="109">
        <f t="shared" si="12"/>
        <v>0.0113541667014943</v>
      </c>
      <c r="F277" s="116">
        <f t="shared" si="13"/>
        <v>0.00322916666666667</v>
      </c>
    </row>
    <row r="278" spans="1:6">
      <c r="A278" s="55">
        <v>45317.5512847222</v>
      </c>
      <c r="B278" s="56">
        <v>45317.5694560185</v>
      </c>
      <c r="C278" s="35">
        <v>369</v>
      </c>
      <c r="D278" s="113">
        <f t="shared" si="14"/>
        <v>1570.00000050757</v>
      </c>
      <c r="E278" s="109">
        <f t="shared" si="12"/>
        <v>0.018171296302171</v>
      </c>
      <c r="F278" s="116">
        <f t="shared" si="13"/>
        <v>0.00427083333333333</v>
      </c>
    </row>
    <row r="279" spans="1:6">
      <c r="A279" s="55">
        <v>45298.3169212963</v>
      </c>
      <c r="B279" s="56">
        <v>45298.3302314815</v>
      </c>
      <c r="C279" s="35">
        <v>297</v>
      </c>
      <c r="D279" s="113">
        <f t="shared" si="14"/>
        <v>1150.0000016531</v>
      </c>
      <c r="E279" s="109">
        <f t="shared" si="12"/>
        <v>0.0133101852043183</v>
      </c>
      <c r="F279" s="116">
        <f t="shared" si="13"/>
        <v>0.0034375</v>
      </c>
    </row>
    <row r="280" spans="1:6">
      <c r="A280" s="55">
        <v>45310.6212037037</v>
      </c>
      <c r="B280" s="56">
        <v>45310.6379976852</v>
      </c>
      <c r="C280" s="35">
        <v>107</v>
      </c>
      <c r="D280" s="113">
        <f t="shared" si="14"/>
        <v>1451.00000160746</v>
      </c>
      <c r="E280" s="109">
        <f t="shared" si="12"/>
        <v>0.0167939815000864</v>
      </c>
      <c r="F280" s="116">
        <f t="shared" si="13"/>
        <v>0.00123842592592593</v>
      </c>
    </row>
    <row r="281" spans="1:6">
      <c r="A281" s="55">
        <v>45314.4271875</v>
      </c>
      <c r="B281" s="56">
        <v>45314.4447337963</v>
      </c>
      <c r="C281" s="35">
        <v>339</v>
      </c>
      <c r="D281" s="113">
        <f t="shared" si="14"/>
        <v>1516.00000045728</v>
      </c>
      <c r="E281" s="109">
        <f t="shared" si="12"/>
        <v>0.0175462963015889</v>
      </c>
      <c r="F281" s="116">
        <f t="shared" si="13"/>
        <v>0.00392361111111111</v>
      </c>
    </row>
    <row r="282" spans="1:6">
      <c r="A282" s="55">
        <v>45304.8365740741</v>
      </c>
      <c r="B282" s="56">
        <v>45304.856099537</v>
      </c>
      <c r="C282" s="35">
        <v>105</v>
      </c>
      <c r="D282" s="113">
        <f t="shared" si="14"/>
        <v>1686.99999453966</v>
      </c>
      <c r="E282" s="109">
        <f t="shared" si="12"/>
        <v>0.0195254628997645</v>
      </c>
      <c r="F282" s="116">
        <f t="shared" si="13"/>
        <v>0.00121527777777778</v>
      </c>
    </row>
    <row r="283" spans="1:6">
      <c r="A283" s="55">
        <v>45307.6923611111</v>
      </c>
      <c r="B283" s="56">
        <v>45307.711400463</v>
      </c>
      <c r="C283" s="35">
        <v>105</v>
      </c>
      <c r="D283" s="113">
        <f t="shared" si="14"/>
        <v>1645.00000420958</v>
      </c>
      <c r="E283" s="109">
        <f t="shared" si="12"/>
        <v>0.0190393519005738</v>
      </c>
      <c r="F283" s="116">
        <f t="shared" si="13"/>
        <v>0.00121527777777778</v>
      </c>
    </row>
    <row r="284" spans="1:6">
      <c r="A284" s="55">
        <v>45305.521724537</v>
      </c>
      <c r="B284" s="56">
        <v>45305.5300694444</v>
      </c>
      <c r="C284" s="35">
        <v>300</v>
      </c>
      <c r="D284" s="113">
        <f t="shared" si="14"/>
        <v>720.999999437481</v>
      </c>
      <c r="E284" s="109">
        <f t="shared" si="12"/>
        <v>0.00834490740089677</v>
      </c>
      <c r="F284" s="116">
        <f t="shared" si="13"/>
        <v>0.00347222222222222</v>
      </c>
    </row>
    <row r="285" spans="1:6">
      <c r="A285" s="55">
        <v>45313.293125</v>
      </c>
      <c r="B285" s="56">
        <v>45313.3086574074</v>
      </c>
      <c r="C285" s="35">
        <v>480</v>
      </c>
      <c r="D285" s="113">
        <f t="shared" si="14"/>
        <v>1341.99999938719</v>
      </c>
      <c r="E285" s="109">
        <f t="shared" si="12"/>
        <v>0.0155324074003147</v>
      </c>
      <c r="F285" s="116">
        <f t="shared" si="13"/>
        <v>0.00555555555555556</v>
      </c>
    </row>
    <row r="286" spans="1:6">
      <c r="A286" s="55">
        <v>45298.4560300926</v>
      </c>
      <c r="B286" s="56">
        <v>45298.4638773148</v>
      </c>
      <c r="C286" s="35">
        <v>172</v>
      </c>
      <c r="D286" s="113">
        <f t="shared" si="14"/>
        <v>677.999998186715</v>
      </c>
      <c r="E286" s="109">
        <f t="shared" si="12"/>
        <v>0.00784722220123513</v>
      </c>
      <c r="F286" s="116">
        <f t="shared" si="13"/>
        <v>0.00199074074074074</v>
      </c>
    </row>
    <row r="287" spans="1:6">
      <c r="A287" s="55">
        <v>45313.4607060185</v>
      </c>
      <c r="B287" s="56">
        <v>45313.4762268519</v>
      </c>
      <c r="C287" s="35">
        <v>322</v>
      </c>
      <c r="D287" s="113">
        <f t="shared" si="14"/>
        <v>1341.00000543986</v>
      </c>
      <c r="E287" s="109">
        <f t="shared" si="12"/>
        <v>0.0155208333962946</v>
      </c>
      <c r="F287" s="116">
        <f t="shared" si="13"/>
        <v>0.00372685185185185</v>
      </c>
    </row>
    <row r="288" spans="1:6">
      <c r="A288" s="55">
        <v>45294.4425231482</v>
      </c>
      <c r="B288" s="56">
        <v>45294.4555208333</v>
      </c>
      <c r="C288" s="35">
        <v>465</v>
      </c>
      <c r="D288" s="113">
        <f t="shared" si="14"/>
        <v>1122.99999219831</v>
      </c>
      <c r="E288" s="109">
        <f t="shared" si="12"/>
        <v>0.0129976850948879</v>
      </c>
      <c r="F288" s="116">
        <f t="shared" si="13"/>
        <v>0.00538194444444444</v>
      </c>
    </row>
    <row r="289" spans="1:6">
      <c r="A289" s="55">
        <v>45305.4375462963</v>
      </c>
      <c r="B289" s="56">
        <v>45305.4436574074</v>
      </c>
      <c r="C289" s="35">
        <v>402</v>
      </c>
      <c r="D289" s="113">
        <f t="shared" si="14"/>
        <v>527.999998955056</v>
      </c>
      <c r="E289" s="109">
        <f t="shared" si="12"/>
        <v>0.00611111109901685</v>
      </c>
      <c r="F289" s="116">
        <f t="shared" si="13"/>
        <v>0.00465277777777778</v>
      </c>
    </row>
    <row r="290" spans="1:6">
      <c r="A290" s="55">
        <v>45304.4456365741</v>
      </c>
      <c r="B290" s="56">
        <v>45304.4497106482</v>
      </c>
      <c r="C290" s="35">
        <v>80</v>
      </c>
      <c r="D290" s="113">
        <f t="shared" si="14"/>
        <v>352.000002446584</v>
      </c>
      <c r="E290" s="109">
        <f t="shared" si="12"/>
        <v>0.00407407410239102</v>
      </c>
      <c r="F290" s="116">
        <f t="shared" si="13"/>
        <v>0.000925925925925926</v>
      </c>
    </row>
    <row r="291" spans="1:6">
      <c r="A291" s="55">
        <v>45315.5283217593</v>
      </c>
      <c r="B291" s="56">
        <v>45315.5326041667</v>
      </c>
      <c r="C291" s="35">
        <v>431</v>
      </c>
      <c r="D291" s="113">
        <f t="shared" si="14"/>
        <v>369.999999110587</v>
      </c>
      <c r="E291" s="109">
        <f t="shared" si="12"/>
        <v>0.00428240739711327</v>
      </c>
      <c r="F291" s="116">
        <f t="shared" si="13"/>
        <v>0.00498842592592593</v>
      </c>
    </row>
    <row r="292" spans="1:6">
      <c r="A292" s="55">
        <v>45310.7655902778</v>
      </c>
      <c r="B292" s="56">
        <v>45310.7737384259</v>
      </c>
      <c r="C292" s="35">
        <v>153</v>
      </c>
      <c r="D292" s="113">
        <f t="shared" si="14"/>
        <v>703.99999609217</v>
      </c>
      <c r="E292" s="109">
        <f t="shared" si="12"/>
        <v>0.00814814810291864</v>
      </c>
      <c r="F292" s="116">
        <f t="shared" si="13"/>
        <v>0.00177083333333333</v>
      </c>
    </row>
    <row r="293" spans="1:6">
      <c r="A293" s="55">
        <v>45311.659537037</v>
      </c>
      <c r="B293" s="56">
        <v>45311.6608564815</v>
      </c>
      <c r="C293" s="35">
        <v>318</v>
      </c>
      <c r="D293" s="113">
        <f t="shared" si="14"/>
        <v>114.000005275011</v>
      </c>
      <c r="E293" s="109">
        <f t="shared" si="12"/>
        <v>0.00131944450549781</v>
      </c>
      <c r="F293" s="116">
        <f t="shared" si="13"/>
        <v>0.00368055555555556</v>
      </c>
    </row>
    <row r="294" spans="1:6">
      <c r="A294" s="55">
        <v>45317.5634722222</v>
      </c>
      <c r="B294" s="56">
        <v>45317.5668287037</v>
      </c>
      <c r="C294" s="35">
        <v>256</v>
      </c>
      <c r="D294" s="113">
        <f t="shared" si="14"/>
        <v>290.00000115484</v>
      </c>
      <c r="E294" s="109">
        <f t="shared" si="12"/>
        <v>0.00335648149484769</v>
      </c>
      <c r="F294" s="116">
        <f t="shared" si="13"/>
        <v>0.00296296296296296</v>
      </c>
    </row>
    <row r="295" spans="1:6">
      <c r="A295" s="55">
        <v>45302.4339699074</v>
      </c>
      <c r="B295" s="56">
        <v>45302.4545486111</v>
      </c>
      <c r="C295" s="35">
        <v>592</v>
      </c>
      <c r="D295" s="113">
        <f t="shared" si="14"/>
        <v>1778.00000009593</v>
      </c>
      <c r="E295" s="109">
        <f t="shared" si="12"/>
        <v>0.020578703704814</v>
      </c>
      <c r="F295" s="116">
        <f t="shared" si="13"/>
        <v>0.00685185185185185</v>
      </c>
    </row>
    <row r="296" spans="1:6">
      <c r="A296" s="55">
        <v>45294.2757407407</v>
      </c>
      <c r="B296" s="56">
        <v>45294.2767592593</v>
      </c>
      <c r="C296" s="35">
        <v>278</v>
      </c>
      <c r="D296" s="113">
        <f t="shared" si="14"/>
        <v>88.0000073695555</v>
      </c>
      <c r="E296" s="109">
        <f t="shared" si="12"/>
        <v>0.0010185186038143</v>
      </c>
      <c r="F296" s="116">
        <f t="shared" si="13"/>
        <v>0.00321759259259259</v>
      </c>
    </row>
    <row r="297" spans="1:6">
      <c r="A297" s="55">
        <v>45301.9509953704</v>
      </c>
      <c r="B297" s="56">
        <v>45301.961724537</v>
      </c>
      <c r="C297" s="35">
        <v>421</v>
      </c>
      <c r="D297" s="113">
        <f t="shared" si="14"/>
        <v>926.999994786456</v>
      </c>
      <c r="E297" s="109">
        <f t="shared" si="12"/>
        <v>0.0107291666063247</v>
      </c>
      <c r="F297" s="116">
        <f t="shared" si="13"/>
        <v>0.00487268518518518</v>
      </c>
    </row>
    <row r="298" spans="1:6">
      <c r="A298" s="55">
        <v>45317.4405092593</v>
      </c>
      <c r="B298" s="56">
        <v>45317.450462963</v>
      </c>
      <c r="C298" s="35">
        <v>77</v>
      </c>
      <c r="D298" s="113">
        <f t="shared" si="14"/>
        <v>859.999999869615</v>
      </c>
      <c r="E298" s="109">
        <f t="shared" si="12"/>
        <v>0.00995370370219462</v>
      </c>
      <c r="F298" s="116">
        <f t="shared" si="13"/>
        <v>0.000891203703703704</v>
      </c>
    </row>
    <row r="299" spans="1:6">
      <c r="A299" s="55">
        <v>45299.3746180556</v>
      </c>
      <c r="B299" s="56">
        <v>45299.3780555556</v>
      </c>
      <c r="C299" s="35">
        <v>474</v>
      </c>
      <c r="D299" s="113">
        <f t="shared" si="14"/>
        <v>297.000000276603</v>
      </c>
      <c r="E299" s="109">
        <f t="shared" si="12"/>
        <v>0.00343750000320142</v>
      </c>
      <c r="F299" s="116">
        <f t="shared" si="13"/>
        <v>0.00548611111111111</v>
      </c>
    </row>
    <row r="300" spans="1:6">
      <c r="A300" s="55">
        <v>45297.3755208333</v>
      </c>
      <c r="B300" s="56">
        <v>45297.3794675926</v>
      </c>
      <c r="C300" s="35">
        <v>21</v>
      </c>
      <c r="D300" s="113">
        <f t="shared" si="14"/>
        <v>341.000003018416</v>
      </c>
      <c r="E300" s="109">
        <f t="shared" si="12"/>
        <v>0.00394675929419464</v>
      </c>
      <c r="F300" s="116">
        <f t="shared" si="13"/>
        <v>0.000243055555555556</v>
      </c>
    </row>
    <row r="301" spans="1:6">
      <c r="A301" s="55">
        <v>45297.7144328704</v>
      </c>
      <c r="B301" s="56">
        <v>45297.7336342593</v>
      </c>
      <c r="C301" s="35">
        <v>285</v>
      </c>
      <c r="D301" s="113">
        <f t="shared" si="14"/>
        <v>1659.00000056718</v>
      </c>
      <c r="E301" s="109">
        <f t="shared" si="12"/>
        <v>0.0192013888954534</v>
      </c>
      <c r="F301" s="116">
        <f t="shared" si="13"/>
        <v>0.00329861111111111</v>
      </c>
    </row>
    <row r="302" spans="1:6">
      <c r="A302" s="55">
        <v>45294.615</v>
      </c>
      <c r="B302" s="56">
        <v>45294.6305671296</v>
      </c>
      <c r="C302" s="35">
        <v>88</v>
      </c>
      <c r="D302" s="113">
        <f t="shared" si="14"/>
        <v>1344.9999975739</v>
      </c>
      <c r="E302" s="109">
        <f t="shared" si="12"/>
        <v>0.0155671296015498</v>
      </c>
      <c r="F302" s="116">
        <f t="shared" si="13"/>
        <v>0.00101851851851852</v>
      </c>
    </row>
    <row r="303" spans="1:6">
      <c r="A303" s="55">
        <v>45310.4744212963</v>
      </c>
      <c r="B303" s="56">
        <v>45310.4811574074</v>
      </c>
      <c r="C303" s="35">
        <v>115</v>
      </c>
      <c r="D303" s="113">
        <f t="shared" si="14"/>
        <v>581.999999005347</v>
      </c>
      <c r="E303" s="109">
        <f t="shared" si="12"/>
        <v>0.00673611109959893</v>
      </c>
      <c r="F303" s="116">
        <f t="shared" si="13"/>
        <v>0.00133101851851852</v>
      </c>
    </row>
    <row r="304" spans="1:6">
      <c r="A304" s="55">
        <v>45319.2604398148</v>
      </c>
      <c r="B304" s="56">
        <v>45319.2723148148</v>
      </c>
      <c r="C304" s="35">
        <v>382</v>
      </c>
      <c r="D304" s="113">
        <f t="shared" si="14"/>
        <v>1025.99999969825</v>
      </c>
      <c r="E304" s="109">
        <f t="shared" si="12"/>
        <v>0.0118749999965075</v>
      </c>
      <c r="F304" s="116">
        <f t="shared" si="13"/>
        <v>0.0044212962962963</v>
      </c>
    </row>
    <row r="305" spans="1:6">
      <c r="A305" s="55">
        <v>45317.8016203704</v>
      </c>
      <c r="B305" s="56">
        <v>45317.8081944444</v>
      </c>
      <c r="C305" s="35">
        <v>436</v>
      </c>
      <c r="D305" s="113">
        <f t="shared" si="14"/>
        <v>567.999993218109</v>
      </c>
      <c r="E305" s="109">
        <f t="shared" si="12"/>
        <v>0.00657407399557997</v>
      </c>
      <c r="F305" s="116">
        <f t="shared" si="13"/>
        <v>0.0050462962962963</v>
      </c>
    </row>
    <row r="306" spans="1:6">
      <c r="A306" s="55">
        <v>45313.2994675926</v>
      </c>
      <c r="B306" s="56">
        <v>45313.319224537</v>
      </c>
      <c r="C306" s="35">
        <v>538</v>
      </c>
      <c r="D306" s="113">
        <f t="shared" si="14"/>
        <v>1706.99999607168</v>
      </c>
      <c r="E306" s="109">
        <f t="shared" si="12"/>
        <v>0.0197569443989778</v>
      </c>
      <c r="F306" s="116">
        <f t="shared" si="13"/>
        <v>0.00622685185185185</v>
      </c>
    </row>
    <row r="307" spans="1:6">
      <c r="A307" s="55">
        <v>45319.6389467593</v>
      </c>
      <c r="B307" s="56">
        <v>45319.6527430556</v>
      </c>
      <c r="C307" s="35">
        <v>477</v>
      </c>
      <c r="D307" s="113">
        <f t="shared" si="14"/>
        <v>1192.00000015553</v>
      </c>
      <c r="E307" s="109">
        <f t="shared" si="12"/>
        <v>0.0137962962980964</v>
      </c>
      <c r="F307" s="116">
        <f t="shared" si="13"/>
        <v>0.00552083333333333</v>
      </c>
    </row>
    <row r="308" spans="1:6">
      <c r="A308" s="55">
        <v>45311.5620717593</v>
      </c>
      <c r="B308" s="56">
        <v>45311.5767824074</v>
      </c>
      <c r="C308" s="35">
        <v>515</v>
      </c>
      <c r="D308" s="113">
        <f t="shared" si="14"/>
        <v>1270.99999599159</v>
      </c>
      <c r="E308" s="109">
        <f t="shared" si="12"/>
        <v>0.0147106481017545</v>
      </c>
      <c r="F308" s="116">
        <f t="shared" si="13"/>
        <v>0.00596064814814815</v>
      </c>
    </row>
    <row r="309" spans="1:6">
      <c r="A309" s="55">
        <v>45303.2645833333</v>
      </c>
      <c r="B309" s="56">
        <v>45303.2832638889</v>
      </c>
      <c r="C309" s="35">
        <v>395</v>
      </c>
      <c r="D309" s="113">
        <f t="shared" si="14"/>
        <v>1614.00000387803</v>
      </c>
      <c r="E309" s="109">
        <f t="shared" si="12"/>
        <v>0.0186805556004401</v>
      </c>
      <c r="F309" s="116">
        <f t="shared" si="13"/>
        <v>0.00457175925925926</v>
      </c>
    </row>
    <row r="310" spans="1:6">
      <c r="A310" s="55">
        <v>45307.2984375</v>
      </c>
      <c r="B310" s="56">
        <v>45307.3057638889</v>
      </c>
      <c r="C310" s="35">
        <v>105</v>
      </c>
      <c r="D310" s="113">
        <f t="shared" si="14"/>
        <v>633.000000868924</v>
      </c>
      <c r="E310" s="109">
        <f t="shared" si="12"/>
        <v>0.00732638889894588</v>
      </c>
      <c r="F310" s="116">
        <f t="shared" si="13"/>
        <v>0.00121527777777778</v>
      </c>
    </row>
    <row r="311" spans="1:6">
      <c r="A311" s="55">
        <v>45315.3590972222</v>
      </c>
      <c r="B311" s="56">
        <v>45315.3717708333</v>
      </c>
      <c r="C311" s="35">
        <v>146</v>
      </c>
      <c r="D311" s="113">
        <f t="shared" si="14"/>
        <v>1094.99999885447</v>
      </c>
      <c r="E311" s="109">
        <f t="shared" si="12"/>
        <v>0.0126736110978527</v>
      </c>
      <c r="F311" s="116">
        <f t="shared" si="13"/>
        <v>0.00168981481481481</v>
      </c>
    </row>
    <row r="312" spans="1:6">
      <c r="A312" s="55">
        <v>45296.5543518519</v>
      </c>
      <c r="B312" s="56">
        <v>45296.5625115741</v>
      </c>
      <c r="C312" s="35">
        <v>412</v>
      </c>
      <c r="D312" s="113">
        <f t="shared" si="14"/>
        <v>704.999998211861</v>
      </c>
      <c r="E312" s="109">
        <f t="shared" si="12"/>
        <v>0.00815972220152616</v>
      </c>
      <c r="F312" s="116">
        <f t="shared" si="13"/>
        <v>0.00476851851851852</v>
      </c>
    </row>
    <row r="313" spans="1:6">
      <c r="A313" s="55">
        <v>45296.3813194444</v>
      </c>
      <c r="B313" s="56">
        <v>45296.3859027778</v>
      </c>
      <c r="C313" s="35">
        <v>470</v>
      </c>
      <c r="D313" s="113">
        <f t="shared" si="14"/>
        <v>396.000005817041</v>
      </c>
      <c r="E313" s="109">
        <f t="shared" si="12"/>
        <v>0.00458333340066019</v>
      </c>
      <c r="F313" s="116">
        <f t="shared" si="13"/>
        <v>0.00543981481481481</v>
      </c>
    </row>
    <row r="314" spans="1:6">
      <c r="A314" s="55">
        <v>45306.6453240741</v>
      </c>
      <c r="B314" s="56">
        <v>45306.6488541667</v>
      </c>
      <c r="C314" s="35">
        <v>102</v>
      </c>
      <c r="D314" s="113">
        <f t="shared" si="14"/>
        <v>305.00000026077</v>
      </c>
      <c r="E314" s="109">
        <f t="shared" si="12"/>
        <v>0.00353009259561077</v>
      </c>
      <c r="F314" s="116">
        <f t="shared" si="13"/>
        <v>0.00118055555555556</v>
      </c>
    </row>
    <row r="315" spans="1:6">
      <c r="A315" s="55">
        <v>45318.672974537</v>
      </c>
      <c r="B315" s="56">
        <v>45318.6905208333</v>
      </c>
      <c r="C315" s="35">
        <v>264</v>
      </c>
      <c r="D315" s="113">
        <f t="shared" si="14"/>
        <v>1515.99999982864</v>
      </c>
      <c r="E315" s="109">
        <f t="shared" si="12"/>
        <v>0.0175462962943129</v>
      </c>
      <c r="F315" s="116">
        <f t="shared" si="13"/>
        <v>0.00305555555555556</v>
      </c>
    </row>
    <row r="316" spans="1:6">
      <c r="A316" s="55">
        <v>45292.7878240741</v>
      </c>
      <c r="B316" s="56">
        <v>45292.8016898148</v>
      </c>
      <c r="C316" s="35">
        <v>573</v>
      </c>
      <c r="D316" s="113">
        <f t="shared" si="14"/>
        <v>1197.99999652896</v>
      </c>
      <c r="E316" s="109">
        <f t="shared" si="12"/>
        <v>0.0138657407005667</v>
      </c>
      <c r="F316" s="116">
        <f t="shared" si="13"/>
        <v>0.00663194444444444</v>
      </c>
    </row>
    <row r="317" spans="1:6">
      <c r="A317" s="55">
        <v>45318.5473611111</v>
      </c>
      <c r="B317" s="56">
        <v>45318.5675694444</v>
      </c>
      <c r="C317" s="35">
        <v>420</v>
      </c>
      <c r="D317" s="113">
        <f t="shared" si="14"/>
        <v>1745.99999701604</v>
      </c>
      <c r="E317" s="109">
        <f t="shared" si="12"/>
        <v>0.0202083332987968</v>
      </c>
      <c r="F317" s="116">
        <f t="shared" si="13"/>
        <v>0.00486111111111111</v>
      </c>
    </row>
    <row r="318" spans="1:6">
      <c r="A318" s="55">
        <v>45294.5400578704</v>
      </c>
      <c r="B318" s="56">
        <v>45294.5512615741</v>
      </c>
      <c r="C318" s="35">
        <v>141</v>
      </c>
      <c r="D318" s="113">
        <f t="shared" si="14"/>
        <v>967.999999970198</v>
      </c>
      <c r="E318" s="109">
        <f t="shared" si="12"/>
        <v>0.0112037037033588</v>
      </c>
      <c r="F318" s="116">
        <f t="shared" si="13"/>
        <v>0.00163194444444444</v>
      </c>
    </row>
    <row r="319" spans="1:6">
      <c r="A319" s="55">
        <v>45310.8283101852</v>
      </c>
      <c r="B319" s="56">
        <v>45310.8383564815</v>
      </c>
      <c r="C319" s="35">
        <v>518</v>
      </c>
      <c r="D319" s="113">
        <f t="shared" si="14"/>
        <v>868.000000482425</v>
      </c>
      <c r="E319" s="109">
        <f t="shared" si="12"/>
        <v>0.0100462963018799</v>
      </c>
      <c r="F319" s="116">
        <f t="shared" si="13"/>
        <v>0.00599537037037037</v>
      </c>
    </row>
    <row r="320" spans="1:6">
      <c r="A320" s="55">
        <v>45297.595462963</v>
      </c>
      <c r="B320" s="56">
        <v>45297.5996759259</v>
      </c>
      <c r="C320" s="35">
        <v>45</v>
      </c>
      <c r="D320" s="113">
        <f t="shared" si="14"/>
        <v>363.999994564801</v>
      </c>
      <c r="E320" s="109">
        <f t="shared" si="12"/>
        <v>0.00421296290005557</v>
      </c>
      <c r="F320" s="116">
        <f t="shared" si="13"/>
        <v>0.000520833333333333</v>
      </c>
    </row>
    <row r="321" spans="1:6">
      <c r="A321" s="55">
        <v>45309.8771412037</v>
      </c>
      <c r="B321" s="56">
        <v>45309.8844560185</v>
      </c>
      <c r="C321" s="35">
        <v>402</v>
      </c>
      <c r="D321" s="113">
        <f t="shared" si="14"/>
        <v>631.999998749234</v>
      </c>
      <c r="E321" s="109">
        <f t="shared" si="12"/>
        <v>0.00731481480033835</v>
      </c>
      <c r="F321" s="116">
        <f t="shared" si="13"/>
        <v>0.00465277777777778</v>
      </c>
    </row>
    <row r="322" spans="1:6">
      <c r="A322" s="55">
        <v>45312.2672453704</v>
      </c>
      <c r="B322" s="56">
        <v>45312.284837963</v>
      </c>
      <c r="C322" s="35">
        <v>377</v>
      </c>
      <c r="D322" s="113">
        <f t="shared" si="14"/>
        <v>1520.00000076368</v>
      </c>
      <c r="E322" s="109">
        <f t="shared" si="12"/>
        <v>0.0175925926014315</v>
      </c>
      <c r="F322" s="116">
        <f t="shared" si="13"/>
        <v>0.00436342592592593</v>
      </c>
    </row>
    <row r="323" spans="1:6">
      <c r="A323" s="55">
        <v>45304.5909837963</v>
      </c>
      <c r="B323" s="56">
        <v>45304.5992361111</v>
      </c>
      <c r="C323" s="35">
        <v>234</v>
      </c>
      <c r="D323" s="113">
        <f t="shared" si="14"/>
        <v>712.999998824671</v>
      </c>
      <c r="E323" s="109">
        <f t="shared" ref="E323:E386" si="15">B323-A323</f>
        <v>0.00825231480121147</v>
      </c>
      <c r="F323" s="116">
        <f t="shared" ref="F323:F386" si="16">C323/86400</f>
        <v>0.00270833333333333</v>
      </c>
    </row>
    <row r="324" spans="1:6">
      <c r="A324" s="55">
        <v>45303.5486805556</v>
      </c>
      <c r="B324" s="56">
        <v>45303.5552430556</v>
      </c>
      <c r="C324" s="35">
        <v>256</v>
      </c>
      <c r="D324" s="113">
        <f t="shared" si="14"/>
        <v>566.999999899417</v>
      </c>
      <c r="E324" s="109">
        <f t="shared" si="15"/>
        <v>0.00656249999883585</v>
      </c>
      <c r="F324" s="116">
        <f t="shared" si="16"/>
        <v>0.00296296296296296</v>
      </c>
    </row>
    <row r="325" spans="1:6">
      <c r="A325" s="55">
        <v>45318.4661458333</v>
      </c>
      <c r="B325" s="56">
        <v>45318.4808796296</v>
      </c>
      <c r="C325" s="35">
        <v>335</v>
      </c>
      <c r="D325" s="113">
        <f t="shared" si="14"/>
        <v>1273.00000023097</v>
      </c>
      <c r="E325" s="109">
        <f t="shared" si="15"/>
        <v>0.0147337962989695</v>
      </c>
      <c r="F325" s="116">
        <f t="shared" si="16"/>
        <v>0.00387731481481481</v>
      </c>
    </row>
    <row r="326" spans="1:6">
      <c r="A326" s="55">
        <v>45296.5373958333</v>
      </c>
      <c r="B326" s="56">
        <v>45296.5497569444</v>
      </c>
      <c r="C326" s="35">
        <v>565</v>
      </c>
      <c r="D326" s="113">
        <f t="shared" ref="D326:D389" si="17">(B326-A326)*86400</f>
        <v>1067.99999882933</v>
      </c>
      <c r="E326" s="109">
        <f t="shared" si="15"/>
        <v>0.0123611110975617</v>
      </c>
      <c r="F326" s="116">
        <f t="shared" si="16"/>
        <v>0.00653935185185185</v>
      </c>
    </row>
    <row r="327" spans="1:6">
      <c r="A327" s="55">
        <v>45292.9375</v>
      </c>
      <c r="B327" s="56">
        <v>45292.9460532407</v>
      </c>
      <c r="C327" s="35">
        <v>216</v>
      </c>
      <c r="D327" s="113">
        <f t="shared" si="17"/>
        <v>738.999996730126</v>
      </c>
      <c r="E327" s="109">
        <f t="shared" si="15"/>
        <v>0.00855324070289498</v>
      </c>
      <c r="F327" s="116">
        <f t="shared" si="16"/>
        <v>0.0025</v>
      </c>
    </row>
    <row r="328" spans="1:6">
      <c r="A328" s="55">
        <v>45310.450775463</v>
      </c>
      <c r="B328" s="56">
        <v>45310.4715277778</v>
      </c>
      <c r="C328" s="35">
        <v>548</v>
      </c>
      <c r="D328" s="113">
        <f t="shared" si="17"/>
        <v>1792.99999857321</v>
      </c>
      <c r="E328" s="109">
        <f t="shared" si="15"/>
        <v>0.0207523147983011</v>
      </c>
      <c r="F328" s="116">
        <f t="shared" si="16"/>
        <v>0.00634259259259259</v>
      </c>
    </row>
    <row r="329" spans="1:6">
      <c r="A329" s="55">
        <v>45310.3898032407</v>
      </c>
      <c r="B329" s="56">
        <v>45310.3981365741</v>
      </c>
      <c r="C329" s="35">
        <v>149</v>
      </c>
      <c r="D329" s="113">
        <f t="shared" si="17"/>
        <v>720.000005490147</v>
      </c>
      <c r="E329" s="109">
        <f t="shared" si="15"/>
        <v>0.0083333333968767</v>
      </c>
      <c r="F329" s="116">
        <f t="shared" si="16"/>
        <v>0.00172453703703704</v>
      </c>
    </row>
    <row r="330" spans="1:6">
      <c r="A330" s="55">
        <v>45297.7185416667</v>
      </c>
      <c r="B330" s="56">
        <v>45297.7331944444</v>
      </c>
      <c r="C330" s="35">
        <v>189</v>
      </c>
      <c r="D330" s="113">
        <f t="shared" si="17"/>
        <v>1265.99999356549</v>
      </c>
      <c r="E330" s="109">
        <f t="shared" si="15"/>
        <v>0.0146527777033043</v>
      </c>
      <c r="F330" s="116">
        <f t="shared" si="16"/>
        <v>0.0021875</v>
      </c>
    </row>
    <row r="331" spans="1:6">
      <c r="A331" s="55">
        <v>45315.2809722222</v>
      </c>
      <c r="B331" s="56">
        <v>45315.2909375</v>
      </c>
      <c r="C331" s="35">
        <v>591</v>
      </c>
      <c r="D331" s="113">
        <f t="shared" si="17"/>
        <v>861.000001989305</v>
      </c>
      <c r="E331" s="109">
        <f t="shared" si="15"/>
        <v>0.00996527780080214</v>
      </c>
      <c r="F331" s="116">
        <f t="shared" si="16"/>
        <v>0.00684027777777778</v>
      </c>
    </row>
    <row r="332" spans="1:6">
      <c r="A332" s="55">
        <v>45312.4163310185</v>
      </c>
      <c r="B332" s="56">
        <v>45312.4203587963</v>
      </c>
      <c r="C332" s="35">
        <v>349</v>
      </c>
      <c r="D332" s="113">
        <f t="shared" si="17"/>
        <v>348.000001511537</v>
      </c>
      <c r="E332" s="109">
        <f t="shared" si="15"/>
        <v>0.00402777779527241</v>
      </c>
      <c r="F332" s="116">
        <f t="shared" si="16"/>
        <v>0.00403935185185185</v>
      </c>
    </row>
    <row r="333" spans="1:6">
      <c r="A333" s="55">
        <v>45294.6861111111</v>
      </c>
      <c r="B333" s="56">
        <v>45294.6930902778</v>
      </c>
      <c r="C333" s="35">
        <v>224</v>
      </c>
      <c r="D333" s="113">
        <f t="shared" si="17"/>
        <v>603.000002657063</v>
      </c>
      <c r="E333" s="109">
        <f t="shared" si="15"/>
        <v>0.00697916669741971</v>
      </c>
      <c r="F333" s="116">
        <f t="shared" si="16"/>
        <v>0.00259259259259259</v>
      </c>
    </row>
    <row r="334" spans="1:6">
      <c r="A334" s="55">
        <v>45292.3086574074</v>
      </c>
      <c r="B334" s="56">
        <v>45292.326712963</v>
      </c>
      <c r="C334" s="35">
        <v>439</v>
      </c>
      <c r="D334" s="113">
        <f t="shared" si="17"/>
        <v>1560.00000382774</v>
      </c>
      <c r="E334" s="109">
        <f t="shared" si="15"/>
        <v>0.0180555555998581</v>
      </c>
      <c r="F334" s="116">
        <f t="shared" si="16"/>
        <v>0.00508101851851852</v>
      </c>
    </row>
    <row r="335" spans="1:6">
      <c r="A335" s="55">
        <v>45304.4121527778</v>
      </c>
      <c r="B335" s="56">
        <v>45304.4315393519</v>
      </c>
      <c r="C335" s="35">
        <v>240</v>
      </c>
      <c r="D335" s="113">
        <f t="shared" si="17"/>
        <v>1675.00000242144</v>
      </c>
      <c r="E335" s="109">
        <f t="shared" si="15"/>
        <v>0.0193865741021</v>
      </c>
      <c r="F335" s="116">
        <f t="shared" si="16"/>
        <v>0.00277777777777778</v>
      </c>
    </row>
    <row r="336" spans="1:6">
      <c r="A336" s="55">
        <v>45292.6778472222</v>
      </c>
      <c r="B336" s="56">
        <v>45292.6802893519</v>
      </c>
      <c r="C336" s="35">
        <v>360</v>
      </c>
      <c r="D336" s="113">
        <f t="shared" si="17"/>
        <v>211.000005947426</v>
      </c>
      <c r="E336" s="109">
        <f t="shared" si="15"/>
        <v>0.00244212969846558</v>
      </c>
      <c r="F336" s="116">
        <f t="shared" si="16"/>
        <v>0.00416666666666667</v>
      </c>
    </row>
    <row r="337" spans="1:6">
      <c r="A337" s="55">
        <v>45294.6935069444</v>
      </c>
      <c r="B337" s="56">
        <v>45294.7056365741</v>
      </c>
      <c r="C337" s="35">
        <v>41</v>
      </c>
      <c r="D337" s="113">
        <f t="shared" si="17"/>
        <v>1048.0000060983</v>
      </c>
      <c r="E337" s="109">
        <f t="shared" si="15"/>
        <v>0.0121296297002118</v>
      </c>
      <c r="F337" s="116">
        <f t="shared" si="16"/>
        <v>0.000474537037037037</v>
      </c>
    </row>
    <row r="338" spans="1:6">
      <c r="A338" s="55">
        <v>45295.6758333333</v>
      </c>
      <c r="B338" s="56">
        <v>45295.6862268519</v>
      </c>
      <c r="C338" s="35">
        <v>577</v>
      </c>
      <c r="D338" s="113">
        <f t="shared" si="17"/>
        <v>898.000007495284</v>
      </c>
      <c r="E338" s="109">
        <f t="shared" si="15"/>
        <v>0.0103935186052695</v>
      </c>
      <c r="F338" s="116">
        <f t="shared" si="16"/>
        <v>0.00667824074074074</v>
      </c>
    </row>
    <row r="339" spans="1:6">
      <c r="A339" s="55">
        <v>45293.7754050926</v>
      </c>
      <c r="B339" s="56">
        <v>45293.7960069444</v>
      </c>
      <c r="C339" s="35">
        <v>512</v>
      </c>
      <c r="D339" s="113">
        <f t="shared" si="17"/>
        <v>1779.99999553431</v>
      </c>
      <c r="E339" s="109">
        <f t="shared" si="15"/>
        <v>0.0206018518001656</v>
      </c>
      <c r="F339" s="116">
        <f t="shared" si="16"/>
        <v>0.00592592592592593</v>
      </c>
    </row>
    <row r="340" spans="1:6">
      <c r="A340" s="55">
        <v>45312.8834027778</v>
      </c>
      <c r="B340" s="56">
        <v>45312.8846990741</v>
      </c>
      <c r="C340" s="35">
        <v>221</v>
      </c>
      <c r="D340" s="113">
        <f t="shared" si="17"/>
        <v>112.000000406988</v>
      </c>
      <c r="E340" s="109">
        <f t="shared" si="15"/>
        <v>0.00129629630100681</v>
      </c>
      <c r="F340" s="116">
        <f t="shared" si="16"/>
        <v>0.00255787037037037</v>
      </c>
    </row>
    <row r="341" spans="1:6">
      <c r="A341" s="55">
        <v>45317.7711921296</v>
      </c>
      <c r="B341" s="56">
        <v>45317.7875462963</v>
      </c>
      <c r="C341" s="35">
        <v>281</v>
      </c>
      <c r="D341" s="113">
        <f t="shared" si="17"/>
        <v>1413.00000278279</v>
      </c>
      <c r="E341" s="109">
        <f t="shared" si="15"/>
        <v>0.0163541666988749</v>
      </c>
      <c r="F341" s="116">
        <f t="shared" si="16"/>
        <v>0.00325231481481481</v>
      </c>
    </row>
    <row r="342" spans="1:6">
      <c r="A342" s="55">
        <v>45297.8349074074</v>
      </c>
      <c r="B342" s="56">
        <v>45297.8460185185</v>
      </c>
      <c r="C342" s="35">
        <v>486</v>
      </c>
      <c r="D342" s="113">
        <f t="shared" si="17"/>
        <v>959.999999357387</v>
      </c>
      <c r="E342" s="109">
        <f t="shared" si="15"/>
        <v>0.0111111111036735</v>
      </c>
      <c r="F342" s="116">
        <f t="shared" si="16"/>
        <v>0.005625</v>
      </c>
    </row>
    <row r="343" spans="1:6">
      <c r="A343" s="55">
        <v>45314.3789583333</v>
      </c>
      <c r="B343" s="56">
        <v>45314.3878009259</v>
      </c>
      <c r="C343" s="35">
        <v>564</v>
      </c>
      <c r="D343" s="113">
        <f t="shared" si="17"/>
        <v>764.000000688247</v>
      </c>
      <c r="E343" s="109">
        <f t="shared" si="15"/>
        <v>0.00884259260055842</v>
      </c>
      <c r="F343" s="116">
        <f t="shared" si="16"/>
        <v>0.00652777777777778</v>
      </c>
    </row>
    <row r="344" spans="1:6">
      <c r="A344" s="55">
        <v>45309.9006481481</v>
      </c>
      <c r="B344" s="56">
        <v>45309.9069212963</v>
      </c>
      <c r="C344" s="35">
        <v>497</v>
      </c>
      <c r="D344" s="113">
        <f t="shared" si="17"/>
        <v>542.000004742295</v>
      </c>
      <c r="E344" s="109">
        <f t="shared" si="15"/>
        <v>0.00627314820303582</v>
      </c>
      <c r="F344" s="116">
        <f t="shared" si="16"/>
        <v>0.00575231481481482</v>
      </c>
    </row>
    <row r="345" spans="1:6">
      <c r="A345" s="55">
        <v>45308.9525</v>
      </c>
      <c r="B345" s="56">
        <v>45308.9692476852</v>
      </c>
      <c r="C345" s="35">
        <v>160</v>
      </c>
      <c r="D345" s="113">
        <f t="shared" si="17"/>
        <v>1447.00000130106</v>
      </c>
      <c r="E345" s="109">
        <f t="shared" si="15"/>
        <v>0.0167476852002437</v>
      </c>
      <c r="F345" s="116">
        <f t="shared" si="16"/>
        <v>0.00185185185185185</v>
      </c>
    </row>
    <row r="346" spans="1:6">
      <c r="A346" s="55">
        <v>45317.5055787037</v>
      </c>
      <c r="B346" s="56">
        <v>45317.5163078704</v>
      </c>
      <c r="C346" s="35">
        <v>90</v>
      </c>
      <c r="D346" s="113">
        <f t="shared" si="17"/>
        <v>927.000002958812</v>
      </c>
      <c r="E346" s="109">
        <f t="shared" si="15"/>
        <v>0.0107291667009122</v>
      </c>
      <c r="F346" s="116">
        <f t="shared" si="16"/>
        <v>0.00104166666666667</v>
      </c>
    </row>
    <row r="347" spans="1:6">
      <c r="A347" s="55">
        <v>45315.3370833333</v>
      </c>
      <c r="B347" s="56">
        <v>45315.3509606481</v>
      </c>
      <c r="C347" s="35">
        <v>416</v>
      </c>
      <c r="D347" s="113">
        <f t="shared" si="17"/>
        <v>1198.99999864865</v>
      </c>
      <c r="E347" s="109">
        <f t="shared" si="15"/>
        <v>0.0138773147991742</v>
      </c>
      <c r="F347" s="116">
        <f t="shared" si="16"/>
        <v>0.00481481481481482</v>
      </c>
    </row>
    <row r="348" spans="1:6">
      <c r="A348" s="55">
        <v>45314.9516898148</v>
      </c>
      <c r="B348" s="56">
        <v>45314.9550462963</v>
      </c>
      <c r="C348" s="35">
        <v>434</v>
      </c>
      <c r="D348" s="113">
        <f t="shared" si="17"/>
        <v>290.000001783483</v>
      </c>
      <c r="E348" s="109">
        <f t="shared" si="15"/>
        <v>0.00335648150212364</v>
      </c>
      <c r="F348" s="116">
        <f t="shared" si="16"/>
        <v>0.00502314814814815</v>
      </c>
    </row>
    <row r="349" spans="1:6">
      <c r="A349" s="55">
        <v>45295.4099305556</v>
      </c>
      <c r="B349" s="56">
        <v>45295.4233101852</v>
      </c>
      <c r="C349" s="35">
        <v>362</v>
      </c>
      <c r="D349" s="113">
        <f t="shared" si="17"/>
        <v>1155.99999739788</v>
      </c>
      <c r="E349" s="109">
        <f t="shared" si="15"/>
        <v>0.0133796295995126</v>
      </c>
      <c r="F349" s="116">
        <f t="shared" si="16"/>
        <v>0.00418981481481481</v>
      </c>
    </row>
    <row r="350" spans="1:6">
      <c r="A350" s="55">
        <v>45307.2995023148</v>
      </c>
      <c r="B350" s="56">
        <v>45307.3097453704</v>
      </c>
      <c r="C350" s="35">
        <v>157</v>
      </c>
      <c r="D350" s="113">
        <f t="shared" si="17"/>
        <v>885.000003827736</v>
      </c>
      <c r="E350" s="109">
        <f t="shared" si="15"/>
        <v>0.0102430555998581</v>
      </c>
      <c r="F350" s="116">
        <f t="shared" si="16"/>
        <v>0.00181712962962963</v>
      </c>
    </row>
    <row r="351" spans="1:6">
      <c r="A351" s="55">
        <v>45299.3246527778</v>
      </c>
      <c r="B351" s="56">
        <v>45299.331712963</v>
      </c>
      <c r="C351" s="35">
        <v>391</v>
      </c>
      <c r="D351" s="113">
        <f t="shared" si="17"/>
        <v>610.000001150183</v>
      </c>
      <c r="E351" s="109">
        <f t="shared" si="15"/>
        <v>0.00706018519849749</v>
      </c>
      <c r="F351" s="116">
        <f t="shared" si="16"/>
        <v>0.00452546296296296</v>
      </c>
    </row>
    <row r="352" spans="1:6">
      <c r="A352" s="55">
        <v>45314.4133564815</v>
      </c>
      <c r="B352" s="56">
        <v>45314.4172337963</v>
      </c>
      <c r="C352" s="35">
        <v>317</v>
      </c>
      <c r="D352" s="113">
        <f t="shared" si="17"/>
        <v>334.999999101274</v>
      </c>
      <c r="E352" s="109">
        <f t="shared" si="15"/>
        <v>0.00387731480441289</v>
      </c>
      <c r="F352" s="116">
        <f t="shared" si="16"/>
        <v>0.00366898148148148</v>
      </c>
    </row>
    <row r="353" spans="1:6">
      <c r="A353" s="55">
        <v>45294.5195949074</v>
      </c>
      <c r="B353" s="56">
        <v>45294.5398148148</v>
      </c>
      <c r="C353" s="35">
        <v>426</v>
      </c>
      <c r="D353" s="113">
        <f t="shared" si="17"/>
        <v>1746.99999976438</v>
      </c>
      <c r="E353" s="109">
        <f t="shared" si="15"/>
        <v>0.0202199074046803</v>
      </c>
      <c r="F353" s="116">
        <f t="shared" si="16"/>
        <v>0.00493055555555556</v>
      </c>
    </row>
    <row r="354" spans="1:6">
      <c r="A354" s="55">
        <v>45301.9341203704</v>
      </c>
      <c r="B354" s="56">
        <v>45301.9533101852</v>
      </c>
      <c r="C354" s="35">
        <v>546</v>
      </c>
      <c r="D354" s="113">
        <f t="shared" si="17"/>
        <v>1657.99999844749</v>
      </c>
      <c r="E354" s="109">
        <f t="shared" si="15"/>
        <v>0.0191898147968459</v>
      </c>
      <c r="F354" s="116">
        <f t="shared" si="16"/>
        <v>0.00631944444444444</v>
      </c>
    </row>
    <row r="355" spans="1:6">
      <c r="A355" s="55">
        <v>45293.836087963</v>
      </c>
      <c r="B355" s="56">
        <v>45293.8453240741</v>
      </c>
      <c r="C355" s="35">
        <v>213</v>
      </c>
      <c r="D355" s="113">
        <f t="shared" si="17"/>
        <v>797.999999206513</v>
      </c>
      <c r="E355" s="109">
        <f t="shared" si="15"/>
        <v>0.00923611110192724</v>
      </c>
      <c r="F355" s="116">
        <f t="shared" si="16"/>
        <v>0.00246527777777778</v>
      </c>
    </row>
    <row r="356" spans="1:6">
      <c r="A356" s="55">
        <v>45295.2606828704</v>
      </c>
      <c r="B356" s="56">
        <v>45295.272962963</v>
      </c>
      <c r="C356" s="35">
        <v>466</v>
      </c>
      <c r="D356" s="113">
        <f t="shared" si="17"/>
        <v>1061.00000033621</v>
      </c>
      <c r="E356" s="109">
        <f t="shared" si="15"/>
        <v>0.0122800925964839</v>
      </c>
      <c r="F356" s="116">
        <f t="shared" si="16"/>
        <v>0.00539351851851852</v>
      </c>
    </row>
    <row r="357" spans="1:6">
      <c r="A357" s="55">
        <v>45318.6165856481</v>
      </c>
      <c r="B357" s="56">
        <v>45318.633599537</v>
      </c>
      <c r="C357" s="35">
        <v>102</v>
      </c>
      <c r="D357" s="113">
        <f t="shared" si="17"/>
        <v>1470.0000010198</v>
      </c>
      <c r="E357" s="109">
        <f t="shared" si="15"/>
        <v>0.0170138889006921</v>
      </c>
      <c r="F357" s="116">
        <f t="shared" si="16"/>
        <v>0.00118055555555556</v>
      </c>
    </row>
    <row r="358" spans="1:6">
      <c r="A358" s="55">
        <v>45319.5703009259</v>
      </c>
      <c r="B358" s="56">
        <v>45319.5870486111</v>
      </c>
      <c r="C358" s="35">
        <v>221</v>
      </c>
      <c r="D358" s="113">
        <f t="shared" si="17"/>
        <v>1447.00000130106</v>
      </c>
      <c r="E358" s="109">
        <f t="shared" si="15"/>
        <v>0.0167476852002437</v>
      </c>
      <c r="F358" s="116">
        <f t="shared" si="16"/>
        <v>0.00255787037037037</v>
      </c>
    </row>
    <row r="359" spans="1:6">
      <c r="A359" s="55">
        <v>45296.4853125</v>
      </c>
      <c r="B359" s="56">
        <v>45296.4862037037</v>
      </c>
      <c r="C359" s="35">
        <v>239</v>
      </c>
      <c r="D359" s="113">
        <f t="shared" si="17"/>
        <v>76.999999769032</v>
      </c>
      <c r="E359" s="109">
        <f t="shared" si="15"/>
        <v>0.000891203701030463</v>
      </c>
      <c r="F359" s="116">
        <f t="shared" si="16"/>
        <v>0.0027662037037037</v>
      </c>
    </row>
    <row r="360" spans="1:6">
      <c r="A360" s="55">
        <v>45305.7877546296</v>
      </c>
      <c r="B360" s="56">
        <v>45305.7993287037</v>
      </c>
      <c r="C360" s="35">
        <v>268</v>
      </c>
      <c r="D360" s="113">
        <f t="shared" si="17"/>
        <v>1000.00000242144</v>
      </c>
      <c r="E360" s="109">
        <f t="shared" si="15"/>
        <v>0.0115740741021</v>
      </c>
      <c r="F360" s="116">
        <f t="shared" si="16"/>
        <v>0.00310185185185185</v>
      </c>
    </row>
    <row r="361" spans="1:6">
      <c r="A361" s="55">
        <v>45310.3753703704</v>
      </c>
      <c r="B361" s="56">
        <v>45310.3917592593</v>
      </c>
      <c r="C361" s="35">
        <v>393</v>
      </c>
      <c r="D361" s="113">
        <f t="shared" si="17"/>
        <v>1416.00000096951</v>
      </c>
      <c r="E361" s="109">
        <f t="shared" si="15"/>
        <v>0.01638888890011</v>
      </c>
      <c r="F361" s="116">
        <f t="shared" si="16"/>
        <v>0.00454861111111111</v>
      </c>
    </row>
    <row r="362" spans="1:6">
      <c r="A362" s="55">
        <v>45302.6113425926</v>
      </c>
      <c r="B362" s="56">
        <v>45302.618599537</v>
      </c>
      <c r="C362" s="35">
        <v>277</v>
      </c>
      <c r="D362" s="113">
        <f t="shared" si="17"/>
        <v>626.999996323138</v>
      </c>
      <c r="E362" s="109">
        <f t="shared" si="15"/>
        <v>0.00725694440188818</v>
      </c>
      <c r="F362" s="116">
        <f t="shared" si="16"/>
        <v>0.00320601851851852</v>
      </c>
    </row>
    <row r="363" spans="1:6">
      <c r="A363" s="55">
        <v>45293.7793981481</v>
      </c>
      <c r="B363" s="56">
        <v>45293.7962268519</v>
      </c>
      <c r="C363" s="35">
        <v>153</v>
      </c>
      <c r="D363" s="113">
        <f t="shared" si="17"/>
        <v>1454.00000796653</v>
      </c>
      <c r="E363" s="109">
        <f t="shared" si="15"/>
        <v>0.016828703795909</v>
      </c>
      <c r="F363" s="116">
        <f t="shared" si="16"/>
        <v>0.00177083333333333</v>
      </c>
    </row>
    <row r="364" spans="1:6">
      <c r="A364" s="55">
        <v>45304.3178819444</v>
      </c>
      <c r="B364" s="56">
        <v>45304.3321296296</v>
      </c>
      <c r="C364" s="35">
        <v>204</v>
      </c>
      <c r="D364" s="113">
        <f t="shared" si="17"/>
        <v>1231.00000109989</v>
      </c>
      <c r="E364" s="109">
        <f t="shared" si="15"/>
        <v>0.0142476851979154</v>
      </c>
      <c r="F364" s="116">
        <f t="shared" si="16"/>
        <v>0.00236111111111111</v>
      </c>
    </row>
    <row r="365" spans="1:6">
      <c r="A365" s="55">
        <v>45313.730775463</v>
      </c>
      <c r="B365" s="56">
        <v>45313.7515046296</v>
      </c>
      <c r="C365" s="35">
        <v>184</v>
      </c>
      <c r="D365" s="113">
        <f t="shared" si="17"/>
        <v>1790.99999433383</v>
      </c>
      <c r="E365" s="109">
        <f t="shared" si="15"/>
        <v>0.020729166601086</v>
      </c>
      <c r="F365" s="116">
        <f t="shared" si="16"/>
        <v>0.00212962962962963</v>
      </c>
    </row>
    <row r="366" spans="1:6">
      <c r="A366" s="55">
        <v>45317.4888541667</v>
      </c>
      <c r="B366" s="56">
        <v>45317.4975</v>
      </c>
      <c r="C366" s="35">
        <v>101</v>
      </c>
      <c r="D366" s="113">
        <f t="shared" si="17"/>
        <v>746.999996714294</v>
      </c>
      <c r="E366" s="109">
        <f t="shared" si="15"/>
        <v>0.00864583329530433</v>
      </c>
      <c r="F366" s="116">
        <f t="shared" si="16"/>
        <v>0.00116898148148148</v>
      </c>
    </row>
    <row r="367" spans="1:6">
      <c r="A367" s="55">
        <v>45317.6828240741</v>
      </c>
      <c r="B367" s="56">
        <v>45317.6973958333</v>
      </c>
      <c r="C367" s="35">
        <v>311</v>
      </c>
      <c r="D367" s="113">
        <f t="shared" si="17"/>
        <v>1258.99999444373</v>
      </c>
      <c r="E367" s="109">
        <f t="shared" si="15"/>
        <v>0.0145717591949506</v>
      </c>
      <c r="F367" s="116">
        <f t="shared" si="16"/>
        <v>0.00359953703703704</v>
      </c>
    </row>
    <row r="368" spans="1:6">
      <c r="A368" s="55">
        <v>45294.9140277778</v>
      </c>
      <c r="B368" s="56">
        <v>45294.9265740741</v>
      </c>
      <c r="C368" s="35">
        <v>132</v>
      </c>
      <c r="D368" s="113">
        <f t="shared" si="17"/>
        <v>1084.00000068359</v>
      </c>
      <c r="E368" s="109">
        <f t="shared" si="15"/>
        <v>0.0125462963042082</v>
      </c>
      <c r="F368" s="116">
        <f t="shared" si="16"/>
        <v>0.00152777777777778</v>
      </c>
    </row>
    <row r="369" spans="1:6">
      <c r="A369" s="55">
        <v>45302.8173263889</v>
      </c>
      <c r="B369" s="56">
        <v>45302.8288657407</v>
      </c>
      <c r="C369" s="35">
        <v>156</v>
      </c>
      <c r="D369" s="113">
        <f t="shared" si="17"/>
        <v>996.999996062368</v>
      </c>
      <c r="E369" s="109">
        <f t="shared" si="15"/>
        <v>0.0115393518062774</v>
      </c>
      <c r="F369" s="116">
        <f t="shared" si="16"/>
        <v>0.00180555555555556</v>
      </c>
    </row>
    <row r="370" spans="1:6">
      <c r="A370" s="55">
        <v>45302.2919907407</v>
      </c>
      <c r="B370" s="56">
        <v>45302.2991666667</v>
      </c>
      <c r="C370" s="35">
        <v>224</v>
      </c>
      <c r="D370" s="113">
        <f t="shared" si="17"/>
        <v>620.000006631017</v>
      </c>
      <c r="E370" s="109">
        <f t="shared" si="15"/>
        <v>0.0071759260026738</v>
      </c>
      <c r="F370" s="116">
        <f t="shared" si="16"/>
        <v>0.00259259259259259</v>
      </c>
    </row>
    <row r="371" spans="1:6">
      <c r="A371" s="55">
        <v>45311.8197569444</v>
      </c>
      <c r="B371" s="56">
        <v>45311.8300115741</v>
      </c>
      <c r="C371" s="35">
        <v>449</v>
      </c>
      <c r="D371" s="113">
        <f t="shared" si="17"/>
        <v>886.000005947426</v>
      </c>
      <c r="E371" s="109">
        <f t="shared" si="15"/>
        <v>0.0102546296984656</v>
      </c>
      <c r="F371" s="116">
        <f t="shared" si="16"/>
        <v>0.00519675925925926</v>
      </c>
    </row>
    <row r="372" spans="1:6">
      <c r="A372" s="55">
        <v>45302.9250115741</v>
      </c>
      <c r="B372" s="56">
        <v>45302.9417361111</v>
      </c>
      <c r="C372" s="35">
        <v>14</v>
      </c>
      <c r="D372" s="113">
        <f t="shared" si="17"/>
        <v>1444.99999643303</v>
      </c>
      <c r="E372" s="109">
        <f t="shared" si="15"/>
        <v>0.0167245369957527</v>
      </c>
      <c r="F372" s="116">
        <f t="shared" si="16"/>
        <v>0.000162037037037037</v>
      </c>
    </row>
    <row r="373" spans="1:6">
      <c r="A373" s="55">
        <v>45295.772650463</v>
      </c>
      <c r="B373" s="56">
        <v>45295.7805902778</v>
      </c>
      <c r="C373" s="35">
        <v>181</v>
      </c>
      <c r="D373" s="113">
        <f t="shared" si="17"/>
        <v>685.999998799525</v>
      </c>
      <c r="E373" s="109">
        <f t="shared" si="15"/>
        <v>0.00793981480092043</v>
      </c>
      <c r="F373" s="116">
        <f t="shared" si="16"/>
        <v>0.00209490740740741</v>
      </c>
    </row>
    <row r="374" spans="1:6">
      <c r="A374" s="55">
        <v>45308.9315625</v>
      </c>
      <c r="B374" s="56">
        <v>45308.9485300926</v>
      </c>
      <c r="C374" s="35">
        <v>147</v>
      </c>
      <c r="D374" s="113">
        <f t="shared" si="17"/>
        <v>1466.00000071339</v>
      </c>
      <c r="E374" s="109">
        <f t="shared" si="15"/>
        <v>0.0169675926008495</v>
      </c>
      <c r="F374" s="116">
        <f t="shared" si="16"/>
        <v>0.00170138888888889</v>
      </c>
    </row>
    <row r="375" spans="1:6">
      <c r="A375" s="55">
        <v>45317.7508564815</v>
      </c>
      <c r="B375" s="56">
        <v>45317.7568634259</v>
      </c>
      <c r="C375" s="35">
        <v>144</v>
      </c>
      <c r="D375" s="113">
        <f t="shared" si="17"/>
        <v>518.999996222556</v>
      </c>
      <c r="E375" s="109">
        <f t="shared" si="15"/>
        <v>0.00600694440072402</v>
      </c>
      <c r="F375" s="116">
        <f t="shared" si="16"/>
        <v>0.00166666666666667</v>
      </c>
    </row>
    <row r="376" spans="1:6">
      <c r="A376" s="55">
        <v>45314.3089814815</v>
      </c>
      <c r="B376" s="56">
        <v>45314.324849537</v>
      </c>
      <c r="C376" s="35">
        <v>271</v>
      </c>
      <c r="D376" s="113">
        <f t="shared" si="17"/>
        <v>1370.99999485072</v>
      </c>
      <c r="E376" s="109">
        <f t="shared" si="15"/>
        <v>0.0158680554959574</v>
      </c>
      <c r="F376" s="116">
        <f t="shared" si="16"/>
        <v>0.00313657407407407</v>
      </c>
    </row>
    <row r="377" spans="1:6">
      <c r="A377" s="55">
        <v>45312.2525925926</v>
      </c>
      <c r="B377" s="56">
        <v>45312.2560300926</v>
      </c>
      <c r="C377" s="35">
        <v>436</v>
      </c>
      <c r="D377" s="113">
        <f t="shared" si="17"/>
        <v>296.99999964796</v>
      </c>
      <c r="E377" s="109">
        <f t="shared" si="15"/>
        <v>0.00343749999592546</v>
      </c>
      <c r="F377" s="116">
        <f t="shared" si="16"/>
        <v>0.0050462962962963</v>
      </c>
    </row>
    <row r="378" spans="1:6">
      <c r="A378" s="55">
        <v>45296.5310532407</v>
      </c>
      <c r="B378" s="56">
        <v>45296.5466782407</v>
      </c>
      <c r="C378" s="35">
        <v>19</v>
      </c>
      <c r="D378" s="113">
        <f t="shared" si="17"/>
        <v>1350</v>
      </c>
      <c r="E378" s="109">
        <f t="shared" si="15"/>
        <v>0.015625</v>
      </c>
      <c r="F378" s="116">
        <f t="shared" si="16"/>
        <v>0.000219907407407407</v>
      </c>
    </row>
    <row r="379" spans="1:6">
      <c r="A379" s="55">
        <v>45314.4353356482</v>
      </c>
      <c r="B379" s="56">
        <v>45314.4385069444</v>
      </c>
      <c r="C379" s="35">
        <v>533</v>
      </c>
      <c r="D379" s="113">
        <f t="shared" si="17"/>
        <v>273.999991756864</v>
      </c>
      <c r="E379" s="109">
        <f t="shared" si="15"/>
        <v>0.00317129620088963</v>
      </c>
      <c r="F379" s="116">
        <f t="shared" si="16"/>
        <v>0.00616898148148148</v>
      </c>
    </row>
    <row r="380" spans="1:6">
      <c r="A380" s="55">
        <v>45298.6205208333</v>
      </c>
      <c r="B380" s="56">
        <v>45298.6259953704</v>
      </c>
      <c r="C380" s="35">
        <v>376</v>
      </c>
      <c r="D380" s="113">
        <f t="shared" si="17"/>
        <v>473.000005586073</v>
      </c>
      <c r="E380" s="109">
        <f t="shared" si="15"/>
        <v>0.00547453710169066</v>
      </c>
      <c r="F380" s="116">
        <f t="shared" si="16"/>
        <v>0.00435185185185185</v>
      </c>
    </row>
    <row r="381" spans="1:6">
      <c r="A381" s="55">
        <v>45307.6770833333</v>
      </c>
      <c r="B381" s="56">
        <v>45307.6780787037</v>
      </c>
      <c r="C381" s="35">
        <v>101</v>
      </c>
      <c r="D381" s="113">
        <f t="shared" si="17"/>
        <v>86.0000025015324</v>
      </c>
      <c r="E381" s="109">
        <f t="shared" si="15"/>
        <v>0.000995370399323292</v>
      </c>
      <c r="F381" s="116">
        <f t="shared" si="16"/>
        <v>0.00116898148148148</v>
      </c>
    </row>
    <row r="382" spans="1:6">
      <c r="A382" s="55">
        <v>45315.4147685185</v>
      </c>
      <c r="B382" s="56">
        <v>45315.4307291667</v>
      </c>
      <c r="C382" s="35">
        <v>246</v>
      </c>
      <c r="D382" s="113">
        <f t="shared" si="17"/>
        <v>1379.00000426453</v>
      </c>
      <c r="E382" s="109">
        <f t="shared" si="15"/>
        <v>0.0159606481975061</v>
      </c>
      <c r="F382" s="116">
        <f t="shared" si="16"/>
        <v>0.00284722222222222</v>
      </c>
    </row>
    <row r="383" spans="1:6">
      <c r="A383" s="55">
        <v>45297.329375</v>
      </c>
      <c r="B383" s="56">
        <v>45297.338599537</v>
      </c>
      <c r="C383" s="35">
        <v>330</v>
      </c>
      <c r="D383" s="113">
        <f t="shared" si="17"/>
        <v>796.99999645818</v>
      </c>
      <c r="E383" s="109">
        <f t="shared" si="15"/>
        <v>0.00922453699604375</v>
      </c>
      <c r="F383" s="116">
        <f t="shared" si="16"/>
        <v>0.00381944444444444</v>
      </c>
    </row>
    <row r="384" spans="1:6">
      <c r="A384" s="55">
        <v>45319.4463078704</v>
      </c>
      <c r="B384" s="56">
        <v>45319.4510416667</v>
      </c>
      <c r="C384" s="35">
        <v>346</v>
      </c>
      <c r="D384" s="113">
        <f t="shared" si="17"/>
        <v>409.000000683591</v>
      </c>
      <c r="E384" s="109">
        <f t="shared" si="15"/>
        <v>0.00473379630420823</v>
      </c>
      <c r="F384" s="116">
        <f t="shared" si="16"/>
        <v>0.00400462962962963</v>
      </c>
    </row>
    <row r="385" spans="1:6">
      <c r="A385" s="55">
        <v>45303.6743865741</v>
      </c>
      <c r="B385" s="56">
        <v>45303.6845717593</v>
      </c>
      <c r="C385" s="35">
        <v>419</v>
      </c>
      <c r="D385" s="113">
        <f t="shared" si="17"/>
        <v>880.00000140164</v>
      </c>
      <c r="E385" s="109">
        <f t="shared" si="15"/>
        <v>0.0101851852014079</v>
      </c>
      <c r="F385" s="116">
        <f t="shared" si="16"/>
        <v>0.00484953703703704</v>
      </c>
    </row>
    <row r="386" spans="1:6">
      <c r="A386" s="55">
        <v>45305.463287037</v>
      </c>
      <c r="B386" s="56">
        <v>45305.480474537</v>
      </c>
      <c r="C386" s="35">
        <v>70</v>
      </c>
      <c r="D386" s="113">
        <f t="shared" si="17"/>
        <v>1485.00000012573</v>
      </c>
      <c r="E386" s="109">
        <f t="shared" si="15"/>
        <v>0.0171875000014552</v>
      </c>
      <c r="F386" s="116">
        <f t="shared" si="16"/>
        <v>0.000810185185185185</v>
      </c>
    </row>
    <row r="387" spans="1:6">
      <c r="A387" s="55">
        <v>45310.8414236111</v>
      </c>
      <c r="B387" s="56">
        <v>45310.8511111111</v>
      </c>
      <c r="C387" s="35">
        <v>377</v>
      </c>
      <c r="D387" s="113">
        <f t="shared" si="17"/>
        <v>837.000000150874</v>
      </c>
      <c r="E387" s="109">
        <f t="shared" ref="E387:E450" si="18">B387-A387</f>
        <v>0.00968750000174623</v>
      </c>
      <c r="F387" s="116">
        <f t="shared" ref="F387:F450" si="19">C387/86400</f>
        <v>0.00436342592592593</v>
      </c>
    </row>
    <row r="388" spans="1:6">
      <c r="A388" s="55">
        <v>45296.9156365741</v>
      </c>
      <c r="B388" s="56">
        <v>45296.9190046296</v>
      </c>
      <c r="C388" s="35">
        <v>431</v>
      </c>
      <c r="D388" s="113">
        <f t="shared" si="17"/>
        <v>290.999995102175</v>
      </c>
      <c r="E388" s="109">
        <f t="shared" si="18"/>
        <v>0.00336805549886776</v>
      </c>
      <c r="F388" s="116">
        <f t="shared" si="19"/>
        <v>0.00498842592592593</v>
      </c>
    </row>
    <row r="389" spans="1:6">
      <c r="A389" s="55">
        <v>45314.9512384259</v>
      </c>
      <c r="B389" s="56">
        <v>45314.9655902778</v>
      </c>
      <c r="C389" s="35">
        <v>588</v>
      </c>
      <c r="D389" s="113">
        <f t="shared" si="17"/>
        <v>1240.00000446104</v>
      </c>
      <c r="E389" s="109">
        <f t="shared" si="18"/>
        <v>0.0143518519034842</v>
      </c>
      <c r="F389" s="116">
        <f t="shared" si="19"/>
        <v>0.00680555555555556</v>
      </c>
    </row>
    <row r="390" spans="1:6">
      <c r="A390" s="55">
        <v>45295.8213657407</v>
      </c>
      <c r="B390" s="56">
        <v>45295.8279513889</v>
      </c>
      <c r="C390" s="35">
        <v>503</v>
      </c>
      <c r="D390" s="113">
        <f t="shared" ref="D390:D453" si="20">(B390-A390)*86400</f>
        <v>569.000004138798</v>
      </c>
      <c r="E390" s="109">
        <f t="shared" si="18"/>
        <v>0.0065856481960509</v>
      </c>
      <c r="F390" s="116">
        <f t="shared" si="19"/>
        <v>0.00582175925925926</v>
      </c>
    </row>
    <row r="391" spans="1:6">
      <c r="A391" s="55">
        <v>45311.2921412037</v>
      </c>
      <c r="B391" s="56">
        <v>45311.2965509259</v>
      </c>
      <c r="C391" s="35">
        <v>527</v>
      </c>
      <c r="D391" s="113">
        <f t="shared" si="20"/>
        <v>380.999997910112</v>
      </c>
      <c r="E391" s="109">
        <f t="shared" si="18"/>
        <v>0.00440972219803371</v>
      </c>
      <c r="F391" s="116">
        <f t="shared" si="19"/>
        <v>0.00609953703703704</v>
      </c>
    </row>
    <row r="392" spans="1:6">
      <c r="A392" s="55">
        <v>45300.3140509259</v>
      </c>
      <c r="B392" s="56">
        <v>45300.3277893519</v>
      </c>
      <c r="C392" s="35">
        <v>397</v>
      </c>
      <c r="D392" s="113">
        <f t="shared" si="20"/>
        <v>1187.00000590179</v>
      </c>
      <c r="E392" s="109">
        <f t="shared" si="18"/>
        <v>0.0137384259942337</v>
      </c>
      <c r="F392" s="116">
        <f t="shared" si="19"/>
        <v>0.00459490740740741</v>
      </c>
    </row>
    <row r="393" spans="1:6">
      <c r="A393" s="55">
        <v>45294.8946759259</v>
      </c>
      <c r="B393" s="56">
        <v>45294.8981828704</v>
      </c>
      <c r="C393" s="35">
        <v>519</v>
      </c>
      <c r="D393" s="113">
        <f t="shared" si="20"/>
        <v>303.000004822388</v>
      </c>
      <c r="E393" s="109">
        <f t="shared" si="18"/>
        <v>0.00350694450025912</v>
      </c>
      <c r="F393" s="116">
        <f t="shared" si="19"/>
        <v>0.00600694444444444</v>
      </c>
    </row>
    <row r="394" spans="1:6">
      <c r="A394" s="55">
        <v>45292.3684953704</v>
      </c>
      <c r="B394" s="56">
        <v>45292.3838541667</v>
      </c>
      <c r="C394" s="35">
        <v>321</v>
      </c>
      <c r="D394" s="113">
        <f t="shared" si="20"/>
        <v>1327.00000028126</v>
      </c>
      <c r="E394" s="109">
        <f t="shared" si="18"/>
        <v>0.0153587962995516</v>
      </c>
      <c r="F394" s="116">
        <f t="shared" si="19"/>
        <v>0.00371527777777778</v>
      </c>
    </row>
    <row r="395" spans="1:6">
      <c r="A395" s="55">
        <v>45318.3279398148</v>
      </c>
      <c r="B395" s="56">
        <v>45318.3486458333</v>
      </c>
      <c r="C395" s="35">
        <v>475</v>
      </c>
      <c r="D395" s="113">
        <f t="shared" si="20"/>
        <v>1788.99999826681</v>
      </c>
      <c r="E395" s="109">
        <f t="shared" si="18"/>
        <v>0.0207060184984584</v>
      </c>
      <c r="F395" s="116">
        <f t="shared" si="19"/>
        <v>0.00549768518518519</v>
      </c>
    </row>
    <row r="396" spans="1:6">
      <c r="A396" s="55">
        <v>45295.4088194444</v>
      </c>
      <c r="B396" s="56">
        <v>45295.4147685185</v>
      </c>
      <c r="C396" s="35">
        <v>12</v>
      </c>
      <c r="D396" s="113">
        <f t="shared" si="20"/>
        <v>514.000002597459</v>
      </c>
      <c r="E396" s="109">
        <f t="shared" si="18"/>
        <v>0.00594907410413725</v>
      </c>
      <c r="F396" s="116">
        <f t="shared" si="19"/>
        <v>0.000138888888888889</v>
      </c>
    </row>
    <row r="397" spans="1:6">
      <c r="A397" s="55">
        <v>45308.7389583333</v>
      </c>
      <c r="B397" s="56">
        <v>45308.7407291667</v>
      </c>
      <c r="C397" s="35">
        <v>178</v>
      </c>
      <c r="D397" s="113">
        <f t="shared" si="20"/>
        <v>153.000005590729</v>
      </c>
      <c r="E397" s="109">
        <f t="shared" si="18"/>
        <v>0.00177083339804085</v>
      </c>
      <c r="F397" s="116">
        <f t="shared" si="19"/>
        <v>0.00206018518518519</v>
      </c>
    </row>
    <row r="398" spans="1:6">
      <c r="A398" s="55">
        <v>45300.5084143519</v>
      </c>
      <c r="B398" s="56">
        <v>45300.5184143518</v>
      </c>
      <c r="C398" s="35">
        <v>230</v>
      </c>
      <c r="D398" s="113">
        <f t="shared" si="20"/>
        <v>863.999991375022</v>
      </c>
      <c r="E398" s="109">
        <f t="shared" si="18"/>
        <v>0.00999999990017386</v>
      </c>
      <c r="F398" s="116">
        <f t="shared" si="19"/>
        <v>0.00266203703703704</v>
      </c>
    </row>
    <row r="399" spans="1:6">
      <c r="A399" s="55">
        <v>45312.4096875</v>
      </c>
      <c r="B399" s="56">
        <v>45312.4210532407</v>
      </c>
      <c r="C399" s="35">
        <v>478</v>
      </c>
      <c r="D399" s="113">
        <f t="shared" si="20"/>
        <v>981.999996327795</v>
      </c>
      <c r="E399" s="109">
        <f t="shared" si="18"/>
        <v>0.0113657406982384</v>
      </c>
      <c r="F399" s="116">
        <f t="shared" si="19"/>
        <v>0.00553240740740741</v>
      </c>
    </row>
    <row r="400" spans="1:6">
      <c r="A400" s="55">
        <v>45305.9163425926</v>
      </c>
      <c r="B400" s="56">
        <v>45305.9355439815</v>
      </c>
      <c r="C400" s="35">
        <v>191</v>
      </c>
      <c r="D400" s="113">
        <f t="shared" si="20"/>
        <v>1659.00000056718</v>
      </c>
      <c r="E400" s="109">
        <f t="shared" si="18"/>
        <v>0.0192013888954534</v>
      </c>
      <c r="F400" s="116">
        <f t="shared" si="19"/>
        <v>0.00221064814814815</v>
      </c>
    </row>
    <row r="401" spans="1:6">
      <c r="A401" s="55">
        <v>45313.689537037</v>
      </c>
      <c r="B401" s="56">
        <v>45313.6993402778</v>
      </c>
      <c r="C401" s="35">
        <v>438</v>
      </c>
      <c r="D401" s="113">
        <f t="shared" si="20"/>
        <v>847.000005631708</v>
      </c>
      <c r="E401" s="109">
        <f t="shared" si="18"/>
        <v>0.00980324080592254</v>
      </c>
      <c r="F401" s="116">
        <f t="shared" si="19"/>
        <v>0.00506944444444444</v>
      </c>
    </row>
    <row r="402" spans="1:6">
      <c r="A402" s="55">
        <v>45306.4225231481</v>
      </c>
      <c r="B402" s="56">
        <v>45306.4374884259</v>
      </c>
      <c r="C402" s="35">
        <v>534</v>
      </c>
      <c r="D402" s="113">
        <f t="shared" si="20"/>
        <v>1293.00000176299</v>
      </c>
      <c r="E402" s="109">
        <f t="shared" si="18"/>
        <v>0.0149652777981828</v>
      </c>
      <c r="F402" s="116">
        <f t="shared" si="19"/>
        <v>0.00618055555555556</v>
      </c>
    </row>
    <row r="403" spans="1:6">
      <c r="A403" s="55">
        <v>45298.5094791667</v>
      </c>
      <c r="B403" s="56">
        <v>45298.5271064815</v>
      </c>
      <c r="C403" s="35">
        <v>307</v>
      </c>
      <c r="D403" s="113">
        <f t="shared" si="20"/>
        <v>1522.9999989504</v>
      </c>
      <c r="E403" s="109">
        <f t="shared" si="18"/>
        <v>0.0176273148026667</v>
      </c>
      <c r="F403" s="116">
        <f t="shared" si="19"/>
        <v>0.00355324074074074</v>
      </c>
    </row>
    <row r="404" spans="1:6">
      <c r="A404" s="55">
        <v>45309.6979976852</v>
      </c>
      <c r="B404" s="56">
        <v>45309.716724537</v>
      </c>
      <c r="C404" s="35">
        <v>370</v>
      </c>
      <c r="D404" s="113">
        <f t="shared" si="20"/>
        <v>1617.99999538343</v>
      </c>
      <c r="E404" s="109">
        <f t="shared" si="18"/>
        <v>0.0187268517984194</v>
      </c>
      <c r="F404" s="116">
        <f t="shared" si="19"/>
        <v>0.00428240740740741</v>
      </c>
    </row>
    <row r="405" spans="1:6">
      <c r="A405" s="55">
        <v>45305.6645138889</v>
      </c>
      <c r="B405" s="56">
        <v>45305.6752199074</v>
      </c>
      <c r="C405" s="35">
        <v>23</v>
      </c>
      <c r="D405" s="113">
        <f t="shared" si="20"/>
        <v>924.999998719431</v>
      </c>
      <c r="E405" s="109">
        <f t="shared" si="18"/>
        <v>0.0107060185036971</v>
      </c>
      <c r="F405" s="116">
        <f t="shared" si="19"/>
        <v>0.000266203703703704</v>
      </c>
    </row>
    <row r="406" spans="1:6">
      <c r="A406" s="55">
        <v>45293.5123611111</v>
      </c>
      <c r="B406" s="56">
        <v>45293.5316666667</v>
      </c>
      <c r="C406" s="35">
        <v>174</v>
      </c>
      <c r="D406" s="113">
        <f t="shared" si="20"/>
        <v>1668.00000392832</v>
      </c>
      <c r="E406" s="109">
        <f t="shared" si="18"/>
        <v>0.0193055556010222</v>
      </c>
      <c r="F406" s="116">
        <f t="shared" si="19"/>
        <v>0.00201388888888889</v>
      </c>
    </row>
    <row r="407" spans="1:6">
      <c r="A407" s="55">
        <v>45301.5337268518</v>
      </c>
      <c r="B407" s="56">
        <v>45301.5351851852</v>
      </c>
      <c r="C407" s="35">
        <v>377</v>
      </c>
      <c r="D407" s="113">
        <f t="shared" si="20"/>
        <v>126.000006194226</v>
      </c>
      <c r="E407" s="109">
        <f t="shared" si="18"/>
        <v>0.00145833340502577</v>
      </c>
      <c r="F407" s="116">
        <f t="shared" si="19"/>
        <v>0.00436342592592593</v>
      </c>
    </row>
    <row r="408" spans="1:6">
      <c r="A408" s="55">
        <v>45319.5747800926</v>
      </c>
      <c r="B408" s="56">
        <v>45319.5887731481</v>
      </c>
      <c r="C408" s="35">
        <v>408</v>
      </c>
      <c r="D408" s="113">
        <f t="shared" si="20"/>
        <v>1208.99999532849</v>
      </c>
      <c r="E408" s="109">
        <f t="shared" si="18"/>
        <v>0.0139930555014871</v>
      </c>
      <c r="F408" s="116">
        <f t="shared" si="19"/>
        <v>0.00472222222222222</v>
      </c>
    </row>
    <row r="409" spans="1:6">
      <c r="A409" s="55">
        <v>45305.6910069444</v>
      </c>
      <c r="B409" s="56">
        <v>45305.6920023148</v>
      </c>
      <c r="C409" s="35">
        <v>267</v>
      </c>
      <c r="D409" s="113">
        <f t="shared" si="20"/>
        <v>86.0000025015324</v>
      </c>
      <c r="E409" s="109">
        <f t="shared" si="18"/>
        <v>0.000995370399323292</v>
      </c>
      <c r="F409" s="116">
        <f t="shared" si="19"/>
        <v>0.00309027777777778</v>
      </c>
    </row>
    <row r="410" spans="1:6">
      <c r="A410" s="55">
        <v>45312.7420949074</v>
      </c>
      <c r="B410" s="56">
        <v>45312.7557407407</v>
      </c>
      <c r="C410" s="35">
        <v>211</v>
      </c>
      <c r="D410" s="113">
        <f t="shared" si="20"/>
        <v>1178.99999711663</v>
      </c>
      <c r="E410" s="109">
        <f t="shared" si="18"/>
        <v>0.0136458332999609</v>
      </c>
      <c r="F410" s="116">
        <f t="shared" si="19"/>
        <v>0.00244212962962963</v>
      </c>
    </row>
    <row r="411" spans="1:6">
      <c r="A411" s="55">
        <v>45315.9218055556</v>
      </c>
      <c r="B411" s="56">
        <v>45315.9234606481</v>
      </c>
      <c r="C411" s="35">
        <v>448</v>
      </c>
      <c r="D411" s="113">
        <f t="shared" si="20"/>
        <v>142.99999193754</v>
      </c>
      <c r="E411" s="109">
        <f t="shared" si="18"/>
        <v>0.00165509249927709</v>
      </c>
      <c r="F411" s="116">
        <f t="shared" si="19"/>
        <v>0.00518518518518519</v>
      </c>
    </row>
    <row r="412" spans="1:6">
      <c r="A412" s="55">
        <v>45314.4181597222</v>
      </c>
      <c r="B412" s="56">
        <v>45314.4264930556</v>
      </c>
      <c r="C412" s="35">
        <v>62</v>
      </c>
      <c r="D412" s="113">
        <f t="shared" si="20"/>
        <v>720.000006118789</v>
      </c>
      <c r="E412" s="109">
        <f t="shared" si="18"/>
        <v>0.00833333340415265</v>
      </c>
      <c r="F412" s="116">
        <f t="shared" si="19"/>
        <v>0.000717592592592593</v>
      </c>
    </row>
    <row r="413" spans="1:6">
      <c r="A413" s="55">
        <v>45294.6897453704</v>
      </c>
      <c r="B413" s="56">
        <v>45294.6947916667</v>
      </c>
      <c r="C413" s="35">
        <v>543</v>
      </c>
      <c r="D413" s="113">
        <f t="shared" si="20"/>
        <v>436.000000080094</v>
      </c>
      <c r="E413" s="109">
        <f t="shared" si="18"/>
        <v>0.00504629629722331</v>
      </c>
      <c r="F413" s="116">
        <f t="shared" si="19"/>
        <v>0.00628472222222222</v>
      </c>
    </row>
    <row r="414" spans="1:6">
      <c r="A414" s="55">
        <v>45303.5807060185</v>
      </c>
      <c r="B414" s="56">
        <v>45303.5971180556</v>
      </c>
      <c r="C414" s="35">
        <v>349</v>
      </c>
      <c r="D414" s="113">
        <f t="shared" si="20"/>
        <v>1418.00000520889</v>
      </c>
      <c r="E414" s="109">
        <f t="shared" si="18"/>
        <v>0.0164120370973251</v>
      </c>
      <c r="F414" s="116">
        <f t="shared" si="19"/>
        <v>0.00403935185185185</v>
      </c>
    </row>
    <row r="415" spans="1:6">
      <c r="A415" s="55">
        <v>45318.2553472222</v>
      </c>
      <c r="B415" s="56">
        <v>45318.2642361111</v>
      </c>
      <c r="C415" s="35">
        <v>466</v>
      </c>
      <c r="D415" s="113">
        <f t="shared" si="20"/>
        <v>768.000000994653</v>
      </c>
      <c r="E415" s="109">
        <f t="shared" si="18"/>
        <v>0.00888888890040107</v>
      </c>
      <c r="F415" s="116">
        <f t="shared" si="19"/>
        <v>0.00539351851851852</v>
      </c>
    </row>
    <row r="416" spans="1:6">
      <c r="A416" s="55">
        <v>45317.3918518519</v>
      </c>
      <c r="B416" s="56">
        <v>45317.4053472222</v>
      </c>
      <c r="C416" s="35">
        <v>299</v>
      </c>
      <c r="D416" s="113">
        <f t="shared" si="20"/>
        <v>1165.99999407772</v>
      </c>
      <c r="E416" s="109">
        <f t="shared" si="18"/>
        <v>0.0134953703018255</v>
      </c>
      <c r="F416" s="116">
        <f t="shared" si="19"/>
        <v>0.00346064814814815</v>
      </c>
    </row>
    <row r="417" spans="1:6">
      <c r="A417" s="55">
        <v>45293.6650578704</v>
      </c>
      <c r="B417" s="56">
        <v>45293.6703125</v>
      </c>
      <c r="C417" s="35">
        <v>338</v>
      </c>
      <c r="D417" s="113">
        <f t="shared" si="20"/>
        <v>453.999997372739</v>
      </c>
      <c r="E417" s="109">
        <f t="shared" si="18"/>
        <v>0.00525462959922152</v>
      </c>
      <c r="F417" s="116">
        <f t="shared" si="19"/>
        <v>0.00391203703703704</v>
      </c>
    </row>
    <row r="418" spans="1:6">
      <c r="A418" s="55">
        <v>45294.5296296296</v>
      </c>
      <c r="B418" s="56">
        <v>45294.5486574074</v>
      </c>
      <c r="C418" s="35">
        <v>228</v>
      </c>
      <c r="D418" s="113">
        <f t="shared" si="20"/>
        <v>1644.00000208989</v>
      </c>
      <c r="E418" s="109">
        <f t="shared" si="18"/>
        <v>0.0190277778019663</v>
      </c>
      <c r="F418" s="116">
        <f t="shared" si="19"/>
        <v>0.00263888888888889</v>
      </c>
    </row>
    <row r="419" spans="1:6">
      <c r="A419" s="55">
        <v>45315.8207407407</v>
      </c>
      <c r="B419" s="56">
        <v>45315.8231365741</v>
      </c>
      <c r="C419" s="35">
        <v>167</v>
      </c>
      <c r="D419" s="113">
        <f t="shared" si="20"/>
        <v>207.000005641021</v>
      </c>
      <c r="E419" s="109">
        <f t="shared" si="18"/>
        <v>0.00239583339862293</v>
      </c>
      <c r="F419" s="116">
        <f t="shared" si="19"/>
        <v>0.00193287037037037</v>
      </c>
    </row>
    <row r="420" spans="1:6">
      <c r="A420" s="55">
        <v>45293.4932407407</v>
      </c>
      <c r="B420" s="56">
        <v>45293.5071527778</v>
      </c>
      <c r="C420" s="35">
        <v>82</v>
      </c>
      <c r="D420" s="113">
        <f t="shared" si="20"/>
        <v>1202.00000500772</v>
      </c>
      <c r="E420" s="109">
        <f t="shared" si="18"/>
        <v>0.0139120370949968</v>
      </c>
      <c r="F420" s="116">
        <f t="shared" si="19"/>
        <v>0.000949074074074074</v>
      </c>
    </row>
    <row r="421" spans="1:6">
      <c r="A421" s="55">
        <v>45304.8055671296</v>
      </c>
      <c r="B421" s="56">
        <v>45304.8154861111</v>
      </c>
      <c r="C421" s="35">
        <v>131</v>
      </c>
      <c r="D421" s="113">
        <f t="shared" si="20"/>
        <v>857.0000016829</v>
      </c>
      <c r="E421" s="109">
        <f t="shared" si="18"/>
        <v>0.00991898150095949</v>
      </c>
      <c r="F421" s="116">
        <f t="shared" si="19"/>
        <v>0.0015162037037037</v>
      </c>
    </row>
    <row r="422" spans="1:6">
      <c r="A422" s="55">
        <v>45315.3228472222</v>
      </c>
      <c r="B422" s="56">
        <v>45315.3252546296</v>
      </c>
      <c r="C422" s="35">
        <v>376</v>
      </c>
      <c r="D422" s="113">
        <f t="shared" si="20"/>
        <v>207.999998959713</v>
      </c>
      <c r="E422" s="109">
        <f t="shared" si="18"/>
        <v>0.00240740739536704</v>
      </c>
      <c r="F422" s="116">
        <f t="shared" si="19"/>
        <v>0.00435185185185185</v>
      </c>
    </row>
    <row r="423" spans="1:6">
      <c r="A423" s="55">
        <v>45294.6590162037</v>
      </c>
      <c r="B423" s="56">
        <v>45294.6700810185</v>
      </c>
      <c r="C423" s="35">
        <v>400</v>
      </c>
      <c r="D423" s="113">
        <f t="shared" si="20"/>
        <v>955.99999842234</v>
      </c>
      <c r="E423" s="109">
        <f t="shared" si="18"/>
        <v>0.0110648147965549</v>
      </c>
      <c r="F423" s="116">
        <f t="shared" si="19"/>
        <v>0.00462962962962963</v>
      </c>
    </row>
    <row r="424" spans="1:6">
      <c r="A424" s="55">
        <v>45317.6528819444</v>
      </c>
      <c r="B424" s="56">
        <v>45317.6606365741</v>
      </c>
      <c r="C424" s="35">
        <v>392</v>
      </c>
      <c r="D424" s="113">
        <f t="shared" si="20"/>
        <v>670.000006374903</v>
      </c>
      <c r="E424" s="109">
        <f t="shared" si="18"/>
        <v>0.00775462970341323</v>
      </c>
      <c r="F424" s="116">
        <f t="shared" si="19"/>
        <v>0.00453703703703704</v>
      </c>
    </row>
    <row r="425" spans="1:6">
      <c r="A425" s="55">
        <v>45309.3466782407</v>
      </c>
      <c r="B425" s="56">
        <v>45309.3651041667</v>
      </c>
      <c r="C425" s="35">
        <v>362</v>
      </c>
      <c r="D425" s="113">
        <f t="shared" si="20"/>
        <v>1592.00000690762</v>
      </c>
      <c r="E425" s="109">
        <f t="shared" si="18"/>
        <v>0.0184259260058752</v>
      </c>
      <c r="F425" s="116">
        <f t="shared" si="19"/>
        <v>0.00418981481481481</v>
      </c>
    </row>
    <row r="426" spans="1:6">
      <c r="A426" s="55">
        <v>45297.5693634259</v>
      </c>
      <c r="B426" s="56">
        <v>45297.5760416667</v>
      </c>
      <c r="C426" s="35">
        <v>208</v>
      </c>
      <c r="D426" s="113">
        <f t="shared" si="20"/>
        <v>577.000005380251</v>
      </c>
      <c r="E426" s="109">
        <f t="shared" si="18"/>
        <v>0.00667824080301216</v>
      </c>
      <c r="F426" s="116">
        <f t="shared" si="19"/>
        <v>0.00240740740740741</v>
      </c>
    </row>
    <row r="427" spans="1:6">
      <c r="A427" s="55">
        <v>45316.8622106481</v>
      </c>
      <c r="B427" s="56">
        <v>45316.8646296296</v>
      </c>
      <c r="C427" s="35">
        <v>307</v>
      </c>
      <c r="D427" s="113">
        <f t="shared" si="20"/>
        <v>209.000001708046</v>
      </c>
      <c r="E427" s="109">
        <f t="shared" si="18"/>
        <v>0.00241898150125053</v>
      </c>
      <c r="F427" s="116">
        <f t="shared" si="19"/>
        <v>0.00355324074074074</v>
      </c>
    </row>
    <row r="428" spans="1:6">
      <c r="A428" s="55">
        <v>45303.4463078704</v>
      </c>
      <c r="B428" s="56">
        <v>45303.4525578704</v>
      </c>
      <c r="C428" s="35">
        <v>112</v>
      </c>
      <c r="D428" s="113">
        <f t="shared" si="20"/>
        <v>539.999999874271</v>
      </c>
      <c r="E428" s="109">
        <f t="shared" si="18"/>
        <v>0.00624999999854481</v>
      </c>
      <c r="F428" s="116">
        <f t="shared" si="19"/>
        <v>0.0012962962962963</v>
      </c>
    </row>
    <row r="429" spans="1:6">
      <c r="A429" s="55">
        <v>45311.6559837963</v>
      </c>
      <c r="B429" s="56">
        <v>45311.6602893519</v>
      </c>
      <c r="C429" s="35">
        <v>589</v>
      </c>
      <c r="D429" s="113">
        <f t="shared" si="20"/>
        <v>372.00000397861</v>
      </c>
      <c r="E429" s="109">
        <f t="shared" si="18"/>
        <v>0.00430555560160428</v>
      </c>
      <c r="F429" s="116">
        <f t="shared" si="19"/>
        <v>0.00681712962962963</v>
      </c>
    </row>
    <row r="430" spans="1:6">
      <c r="A430" s="55">
        <v>45302.5765509259</v>
      </c>
      <c r="B430" s="56">
        <v>45302.5941203704</v>
      </c>
      <c r="C430" s="35">
        <v>456</v>
      </c>
      <c r="D430" s="113">
        <f t="shared" si="20"/>
        <v>1518.00000469666</v>
      </c>
      <c r="E430" s="109">
        <f t="shared" si="18"/>
        <v>0.0175694444988039</v>
      </c>
      <c r="F430" s="116">
        <f t="shared" si="19"/>
        <v>0.00527777777777778</v>
      </c>
    </row>
    <row r="431" spans="1:6">
      <c r="A431" s="55">
        <v>45307.8530324074</v>
      </c>
      <c r="B431" s="56">
        <v>45307.8720833333</v>
      </c>
      <c r="C431" s="35">
        <v>322</v>
      </c>
      <c r="D431" s="113">
        <f t="shared" si="20"/>
        <v>1645.99999752827</v>
      </c>
      <c r="E431" s="109">
        <f t="shared" si="18"/>
        <v>0.0190509258973179</v>
      </c>
      <c r="F431" s="116">
        <f t="shared" si="19"/>
        <v>0.00372685185185185</v>
      </c>
    </row>
    <row r="432" spans="1:6">
      <c r="A432" s="55">
        <v>45300.4566435185</v>
      </c>
      <c r="B432" s="56">
        <v>45300.4619907407</v>
      </c>
      <c r="C432" s="35">
        <v>279</v>
      </c>
      <c r="D432" s="113">
        <f t="shared" si="20"/>
        <v>461.999998614192</v>
      </c>
      <c r="E432" s="109">
        <f t="shared" si="18"/>
        <v>0.00534722220618278</v>
      </c>
      <c r="F432" s="116">
        <f t="shared" si="19"/>
        <v>0.00322916666666667</v>
      </c>
    </row>
    <row r="433" spans="1:6">
      <c r="A433" s="55">
        <v>45318.7844560185</v>
      </c>
      <c r="B433" s="56">
        <v>45318.7901851852</v>
      </c>
      <c r="C433" s="35">
        <v>47</v>
      </c>
      <c r="D433" s="113">
        <f t="shared" si="20"/>
        <v>495.000003185123</v>
      </c>
      <c r="E433" s="109">
        <f t="shared" si="18"/>
        <v>0.00572916670353152</v>
      </c>
      <c r="F433" s="116">
        <f t="shared" si="19"/>
        <v>0.000543981481481481</v>
      </c>
    </row>
    <row r="434" spans="1:6">
      <c r="A434" s="55">
        <v>45312.4329282407</v>
      </c>
      <c r="B434" s="56">
        <v>45312.438912037</v>
      </c>
      <c r="C434" s="35">
        <v>307</v>
      </c>
      <c r="D434" s="113">
        <f t="shared" si="20"/>
        <v>517.000000784174</v>
      </c>
      <c r="E434" s="109">
        <f t="shared" si="18"/>
        <v>0.00598379630537238</v>
      </c>
      <c r="F434" s="116">
        <f t="shared" si="19"/>
        <v>0.00355324074074074</v>
      </c>
    </row>
    <row r="435" spans="1:6">
      <c r="A435" s="55">
        <v>45308.2793402778</v>
      </c>
      <c r="B435" s="56">
        <v>45308.3001273148</v>
      </c>
      <c r="C435" s="35">
        <v>179</v>
      </c>
      <c r="D435" s="113">
        <f t="shared" si="20"/>
        <v>1795.99999675993</v>
      </c>
      <c r="E435" s="109">
        <f t="shared" si="18"/>
        <v>0.0207870369995362</v>
      </c>
      <c r="F435" s="116">
        <f t="shared" si="19"/>
        <v>0.00207175925925926</v>
      </c>
    </row>
    <row r="436" spans="1:6">
      <c r="A436" s="55">
        <v>45319.449837963</v>
      </c>
      <c r="B436" s="56">
        <v>45319.4619907407</v>
      </c>
      <c r="C436" s="35">
        <v>377</v>
      </c>
      <c r="D436" s="113">
        <f t="shared" si="20"/>
        <v>1049.99999336433</v>
      </c>
      <c r="E436" s="109">
        <f t="shared" si="18"/>
        <v>0.012152777700976</v>
      </c>
      <c r="F436" s="116">
        <f t="shared" si="19"/>
        <v>0.00436342592592593</v>
      </c>
    </row>
    <row r="437" spans="1:6">
      <c r="A437" s="55">
        <v>45313.523587963</v>
      </c>
      <c r="B437" s="56">
        <v>45313.5430324074</v>
      </c>
      <c r="C437" s="35">
        <v>379</v>
      </c>
      <c r="D437" s="113">
        <f t="shared" si="20"/>
        <v>1679.99999604654</v>
      </c>
      <c r="E437" s="109">
        <f t="shared" si="18"/>
        <v>0.0194444443986868</v>
      </c>
      <c r="F437" s="116">
        <f t="shared" si="19"/>
        <v>0.00438657407407407</v>
      </c>
    </row>
    <row r="438" spans="1:6">
      <c r="A438" s="55">
        <v>45302.4066319444</v>
      </c>
      <c r="B438" s="56">
        <v>45302.422337963</v>
      </c>
      <c r="C438" s="35">
        <v>290</v>
      </c>
      <c r="D438" s="113">
        <f t="shared" si="20"/>
        <v>1357.00000666548</v>
      </c>
      <c r="E438" s="109">
        <f t="shared" si="18"/>
        <v>0.0157060185956652</v>
      </c>
      <c r="F438" s="116">
        <f t="shared" si="19"/>
        <v>0.00335648148148148</v>
      </c>
    </row>
    <row r="439" spans="1:6">
      <c r="A439" s="55">
        <v>45312.3564351852</v>
      </c>
      <c r="B439" s="56">
        <v>45312.3660416667</v>
      </c>
      <c r="C439" s="35">
        <v>238</v>
      </c>
      <c r="D439" s="113">
        <f t="shared" si="20"/>
        <v>830.000001657754</v>
      </c>
      <c r="E439" s="109">
        <f t="shared" si="18"/>
        <v>0.00960648150066845</v>
      </c>
      <c r="F439" s="116">
        <f t="shared" si="19"/>
        <v>0.00275462962962963</v>
      </c>
    </row>
    <row r="440" spans="1:6">
      <c r="A440" s="55">
        <v>45317.9143287037</v>
      </c>
      <c r="B440" s="56">
        <v>45317.9151736111</v>
      </c>
      <c r="C440" s="35">
        <v>523</v>
      </c>
      <c r="D440" s="113">
        <f t="shared" si="20"/>
        <v>72.9999994626269</v>
      </c>
      <c r="E440" s="109">
        <f t="shared" si="18"/>
        <v>0.000844907401187811</v>
      </c>
      <c r="F440" s="116">
        <f t="shared" si="19"/>
        <v>0.00605324074074074</v>
      </c>
    </row>
    <row r="441" spans="1:6">
      <c r="A441" s="55">
        <v>45296.4655439815</v>
      </c>
      <c r="B441" s="56">
        <v>45296.4804976852</v>
      </c>
      <c r="C441" s="35">
        <v>131</v>
      </c>
      <c r="D441" s="113">
        <f t="shared" si="20"/>
        <v>1291.9999996433</v>
      </c>
      <c r="E441" s="109">
        <f t="shared" si="18"/>
        <v>0.0149537036995753</v>
      </c>
      <c r="F441" s="116">
        <f t="shared" si="19"/>
        <v>0.0015162037037037</v>
      </c>
    </row>
    <row r="442" spans="1:6">
      <c r="A442" s="55">
        <v>45307.8844560185</v>
      </c>
      <c r="B442" s="56">
        <v>45307.8889699074</v>
      </c>
      <c r="C442" s="35">
        <v>430</v>
      </c>
      <c r="D442" s="113">
        <f t="shared" si="20"/>
        <v>390.000000642613</v>
      </c>
      <c r="E442" s="109">
        <f t="shared" si="18"/>
        <v>0.00451388889632653</v>
      </c>
      <c r="F442" s="116">
        <f t="shared" si="19"/>
        <v>0.00497685185185185</v>
      </c>
    </row>
    <row r="443" spans="1:6">
      <c r="A443" s="55">
        <v>45308.3316666667</v>
      </c>
      <c r="B443" s="56">
        <v>45308.3358333333</v>
      </c>
      <c r="C443" s="35">
        <v>67</v>
      </c>
      <c r="D443" s="113">
        <f t="shared" si="20"/>
        <v>359.999994258396</v>
      </c>
      <c r="E443" s="109">
        <f t="shared" si="18"/>
        <v>0.00416666660021292</v>
      </c>
      <c r="F443" s="116">
        <f t="shared" si="19"/>
        <v>0.000775462962962963</v>
      </c>
    </row>
    <row r="444" spans="1:6">
      <c r="A444" s="55">
        <v>45310.2894212963</v>
      </c>
      <c r="B444" s="56">
        <v>45310.3073611111</v>
      </c>
      <c r="C444" s="35">
        <v>300</v>
      </c>
      <c r="D444" s="113">
        <f t="shared" si="20"/>
        <v>1549.99999897555</v>
      </c>
      <c r="E444" s="109">
        <f t="shared" si="18"/>
        <v>0.0179398148029577</v>
      </c>
      <c r="F444" s="116">
        <f t="shared" si="19"/>
        <v>0.00347222222222222</v>
      </c>
    </row>
    <row r="445" spans="1:6">
      <c r="A445" s="55">
        <v>45307.4686689815</v>
      </c>
      <c r="B445" s="56">
        <v>45307.4790972222</v>
      </c>
      <c r="C445" s="35">
        <v>156</v>
      </c>
      <c r="D445" s="113">
        <f t="shared" si="20"/>
        <v>900.999996881001</v>
      </c>
      <c r="E445" s="109">
        <f t="shared" si="18"/>
        <v>0.0104282407046412</v>
      </c>
      <c r="F445" s="116">
        <f t="shared" si="19"/>
        <v>0.00180555555555556</v>
      </c>
    </row>
    <row r="446" spans="1:6">
      <c r="A446" s="55">
        <v>45315.707974537</v>
      </c>
      <c r="B446" s="56">
        <v>45315.7228009259</v>
      </c>
      <c r="C446" s="35">
        <v>80</v>
      </c>
      <c r="D446" s="113">
        <f t="shared" si="20"/>
        <v>1281.00000084378</v>
      </c>
      <c r="E446" s="109">
        <f t="shared" si="18"/>
        <v>0.0148263888986548</v>
      </c>
      <c r="F446" s="116">
        <f t="shared" si="19"/>
        <v>0.000925925925925926</v>
      </c>
    </row>
    <row r="447" spans="1:6">
      <c r="A447" s="55">
        <v>45308.8278819444</v>
      </c>
      <c r="B447" s="56">
        <v>45308.8429282407</v>
      </c>
      <c r="C447" s="35">
        <v>108</v>
      </c>
      <c r="D447" s="113">
        <f t="shared" si="20"/>
        <v>1300.00000025611</v>
      </c>
      <c r="E447" s="109">
        <f t="shared" si="18"/>
        <v>0.0150462962992606</v>
      </c>
      <c r="F447" s="116">
        <f t="shared" si="19"/>
        <v>0.00125</v>
      </c>
    </row>
    <row r="448" spans="1:6">
      <c r="A448" s="55">
        <v>45316.3788194444</v>
      </c>
      <c r="B448" s="56">
        <v>45316.3951388889</v>
      </c>
      <c r="C448" s="35">
        <v>143</v>
      </c>
      <c r="D448" s="113">
        <f t="shared" si="20"/>
        <v>1410.00000522472</v>
      </c>
      <c r="E448" s="109">
        <f t="shared" si="18"/>
        <v>0.0163194445049157</v>
      </c>
      <c r="F448" s="116">
        <f t="shared" si="19"/>
        <v>0.00165509259259259</v>
      </c>
    </row>
    <row r="449" spans="1:6">
      <c r="A449" s="55">
        <v>45303.3226041667</v>
      </c>
      <c r="B449" s="56">
        <v>45303.3334606482</v>
      </c>
      <c r="C449" s="35">
        <v>244</v>
      </c>
      <c r="D449" s="113">
        <f t="shared" si="20"/>
        <v>938.000001758337</v>
      </c>
      <c r="E449" s="109">
        <f t="shared" si="18"/>
        <v>0.0108564815018326</v>
      </c>
      <c r="F449" s="116">
        <f t="shared" si="19"/>
        <v>0.00282407407407407</v>
      </c>
    </row>
    <row r="450" spans="1:6">
      <c r="A450" s="55">
        <v>45316.3938425926</v>
      </c>
      <c r="B450" s="56">
        <v>45316.4005671296</v>
      </c>
      <c r="C450" s="35">
        <v>498</v>
      </c>
      <c r="D450" s="113">
        <f t="shared" si="20"/>
        <v>580.999996885657</v>
      </c>
      <c r="E450" s="109">
        <f t="shared" si="18"/>
        <v>0.0067245370009914</v>
      </c>
      <c r="F450" s="116">
        <f t="shared" si="19"/>
        <v>0.00576388888888889</v>
      </c>
    </row>
    <row r="451" spans="1:6">
      <c r="A451" s="55">
        <v>45300.5005208333</v>
      </c>
      <c r="B451" s="56">
        <v>45300.5188310185</v>
      </c>
      <c r="C451" s="35">
        <v>17</v>
      </c>
      <c r="D451" s="113">
        <f t="shared" si="20"/>
        <v>1582.00000079814</v>
      </c>
      <c r="E451" s="109">
        <f t="shared" ref="E451:E501" si="21">B451-A451</f>
        <v>0.018310185194423</v>
      </c>
      <c r="F451" s="116">
        <f t="shared" ref="F451:F501" si="22">C451/86400</f>
        <v>0.000196759259259259</v>
      </c>
    </row>
    <row r="452" spans="1:6">
      <c r="A452" s="55">
        <v>45302.8077083333</v>
      </c>
      <c r="B452" s="56">
        <v>45302.8120601852</v>
      </c>
      <c r="C452" s="35">
        <v>446</v>
      </c>
      <c r="D452" s="113">
        <f t="shared" si="20"/>
        <v>376.000004285015</v>
      </c>
      <c r="E452" s="109">
        <f t="shared" si="21"/>
        <v>0.00435185190144693</v>
      </c>
      <c r="F452" s="116">
        <f t="shared" si="22"/>
        <v>0.00516203703703704</v>
      </c>
    </row>
    <row r="453" spans="1:6">
      <c r="A453" s="55">
        <v>45303.6134837963</v>
      </c>
      <c r="B453" s="56">
        <v>45303.6320717593</v>
      </c>
      <c r="C453" s="35">
        <v>218</v>
      </c>
      <c r="D453" s="113">
        <f t="shared" si="20"/>
        <v>1606.00000263657</v>
      </c>
      <c r="E453" s="109">
        <f t="shared" si="21"/>
        <v>0.0185879629934789</v>
      </c>
      <c r="F453" s="116">
        <f t="shared" si="22"/>
        <v>0.00252314814814815</v>
      </c>
    </row>
    <row r="454" spans="1:6">
      <c r="A454" s="55">
        <v>45300.6502546296</v>
      </c>
      <c r="B454" s="56">
        <v>45300.6692939815</v>
      </c>
      <c r="C454" s="35">
        <v>417</v>
      </c>
      <c r="D454" s="113">
        <f t="shared" ref="D454:D501" si="23">(B454-A454)*86400</f>
        <v>1645.00000358094</v>
      </c>
      <c r="E454" s="109">
        <f t="shared" si="21"/>
        <v>0.0190393518932979</v>
      </c>
      <c r="F454" s="116">
        <f t="shared" si="22"/>
        <v>0.00482638888888889</v>
      </c>
    </row>
    <row r="455" spans="1:6">
      <c r="A455" s="55">
        <v>45298.9346064815</v>
      </c>
      <c r="B455" s="56">
        <v>45298.9433217593</v>
      </c>
      <c r="C455" s="35">
        <v>573</v>
      </c>
      <c r="D455" s="113">
        <f t="shared" si="23"/>
        <v>753.000001888722</v>
      </c>
      <c r="E455" s="109">
        <f t="shared" si="21"/>
        <v>0.00871527779963799</v>
      </c>
      <c r="F455" s="116">
        <f t="shared" si="22"/>
        <v>0.00663194444444444</v>
      </c>
    </row>
    <row r="456" spans="1:6">
      <c r="A456" s="55">
        <v>45317.3695486111</v>
      </c>
      <c r="B456" s="56">
        <v>45317.381412037</v>
      </c>
      <c r="C456" s="35">
        <v>455</v>
      </c>
      <c r="D456" s="113">
        <f t="shared" si="23"/>
        <v>1024.99999757856</v>
      </c>
      <c r="E456" s="109">
        <f t="shared" si="21"/>
        <v>0.0118634258979</v>
      </c>
      <c r="F456" s="116">
        <f t="shared" si="22"/>
        <v>0.0052662037037037</v>
      </c>
    </row>
    <row r="457" spans="1:6">
      <c r="A457" s="55">
        <v>45304.7775578704</v>
      </c>
      <c r="B457" s="56">
        <v>45304.7906018519</v>
      </c>
      <c r="C457" s="35">
        <v>303</v>
      </c>
      <c r="D457" s="113">
        <f t="shared" si="23"/>
        <v>1127.00000130571</v>
      </c>
      <c r="E457" s="109">
        <f t="shared" si="21"/>
        <v>0.0130439814965939</v>
      </c>
      <c r="F457" s="116">
        <f t="shared" si="22"/>
        <v>0.00350694444444444</v>
      </c>
    </row>
    <row r="458" spans="1:6">
      <c r="A458" s="55">
        <v>45298.9293055556</v>
      </c>
      <c r="B458" s="56">
        <v>45298.930787037</v>
      </c>
      <c r="C458" s="35">
        <v>532</v>
      </c>
      <c r="D458" s="113">
        <f t="shared" si="23"/>
        <v>127.999993460253</v>
      </c>
      <c r="E458" s="109">
        <f t="shared" si="21"/>
        <v>0.00148148140578996</v>
      </c>
      <c r="F458" s="116">
        <f t="shared" si="22"/>
        <v>0.00615740740740741</v>
      </c>
    </row>
    <row r="459" spans="1:6">
      <c r="A459" s="55">
        <v>45292.4620023148</v>
      </c>
      <c r="B459" s="56">
        <v>45292.4811689815</v>
      </c>
      <c r="C459" s="35">
        <v>419</v>
      </c>
      <c r="D459" s="113">
        <f t="shared" si="23"/>
        <v>1656.0000030091</v>
      </c>
      <c r="E459" s="109">
        <f t="shared" si="21"/>
        <v>0.0191666667014943</v>
      </c>
      <c r="F459" s="116">
        <f t="shared" si="22"/>
        <v>0.00484953703703704</v>
      </c>
    </row>
    <row r="460" spans="1:6">
      <c r="A460" s="55">
        <v>45315.3736689815</v>
      </c>
      <c r="B460" s="56">
        <v>45315.3873842593</v>
      </c>
      <c r="C460" s="35">
        <v>301</v>
      </c>
      <c r="D460" s="113">
        <f t="shared" si="23"/>
        <v>1185.00000229105</v>
      </c>
      <c r="E460" s="109">
        <f t="shared" si="21"/>
        <v>0.0137152778042946</v>
      </c>
      <c r="F460" s="116">
        <f t="shared" si="22"/>
        <v>0.0034837962962963</v>
      </c>
    </row>
    <row r="461" spans="1:6">
      <c r="A461" s="55">
        <v>45311.5208217593</v>
      </c>
      <c r="B461" s="56">
        <v>45311.531087963</v>
      </c>
      <c r="C461" s="35">
        <v>598</v>
      </c>
      <c r="D461" s="113">
        <f t="shared" si="23"/>
        <v>886.999999266118</v>
      </c>
      <c r="E461" s="109">
        <f t="shared" si="21"/>
        <v>0.0102662036952097</v>
      </c>
      <c r="F461" s="116">
        <f t="shared" si="22"/>
        <v>0.0069212962962963</v>
      </c>
    </row>
    <row r="462" spans="1:6">
      <c r="A462" s="55">
        <v>45294.9294097222</v>
      </c>
      <c r="B462" s="56">
        <v>45294.9328703704</v>
      </c>
      <c r="C462" s="35">
        <v>535</v>
      </c>
      <c r="D462" s="113">
        <f t="shared" si="23"/>
        <v>299.000004515983</v>
      </c>
      <c r="E462" s="109">
        <f t="shared" si="21"/>
        <v>0.00346064820041647</v>
      </c>
      <c r="F462" s="116">
        <f t="shared" si="22"/>
        <v>0.00619212962962963</v>
      </c>
    </row>
    <row r="463" spans="1:6">
      <c r="A463" s="55">
        <v>45307.5752430556</v>
      </c>
      <c r="B463" s="56">
        <v>45307.5943171296</v>
      </c>
      <c r="C463" s="35">
        <v>479</v>
      </c>
      <c r="D463" s="113">
        <f t="shared" si="23"/>
        <v>1647.99999359529</v>
      </c>
      <c r="E463" s="109">
        <f t="shared" si="21"/>
        <v>0.0190740739999455</v>
      </c>
      <c r="F463" s="116">
        <f t="shared" si="22"/>
        <v>0.00554398148148148</v>
      </c>
    </row>
    <row r="464" spans="1:6">
      <c r="A464" s="55">
        <v>45299.5773148148</v>
      </c>
      <c r="B464" s="56">
        <v>45299.5877777778</v>
      </c>
      <c r="C464" s="35">
        <v>371</v>
      </c>
      <c r="D464" s="113">
        <f t="shared" si="23"/>
        <v>904.000003240071</v>
      </c>
      <c r="E464" s="109">
        <f t="shared" si="21"/>
        <v>0.0104629630004638</v>
      </c>
      <c r="F464" s="116">
        <f t="shared" si="22"/>
        <v>0.00429398148148148</v>
      </c>
    </row>
    <row r="465" spans="1:6">
      <c r="A465" s="55">
        <v>45294.7804050926</v>
      </c>
      <c r="B465" s="56">
        <v>45294.8005555556</v>
      </c>
      <c r="C465" s="35">
        <v>360</v>
      </c>
      <c r="D465" s="113">
        <f t="shared" si="23"/>
        <v>1741.00000339095</v>
      </c>
      <c r="E465" s="109">
        <f t="shared" si="21"/>
        <v>0.02015046300221</v>
      </c>
      <c r="F465" s="116">
        <f t="shared" si="22"/>
        <v>0.00416666666666667</v>
      </c>
    </row>
    <row r="466" spans="1:6">
      <c r="A466" s="55">
        <v>45310.5915162037</v>
      </c>
      <c r="B466" s="56">
        <v>45310.6084027778</v>
      </c>
      <c r="C466" s="35">
        <v>204</v>
      </c>
      <c r="D466" s="113">
        <f t="shared" si="23"/>
        <v>1459.00000222027</v>
      </c>
      <c r="E466" s="109">
        <f t="shared" si="21"/>
        <v>0.0168865740997717</v>
      </c>
      <c r="F466" s="116">
        <f t="shared" si="22"/>
        <v>0.00236111111111111</v>
      </c>
    </row>
    <row r="467" spans="1:6">
      <c r="A467" s="55">
        <v>45299.5369791667</v>
      </c>
      <c r="B467" s="56">
        <v>45299.5574884259</v>
      </c>
      <c r="C467" s="35">
        <v>374</v>
      </c>
      <c r="D467" s="113">
        <f t="shared" si="23"/>
        <v>1771.99999429286</v>
      </c>
      <c r="E467" s="109">
        <f t="shared" si="21"/>
        <v>0.0205092591932043</v>
      </c>
      <c r="F467" s="116">
        <f t="shared" si="22"/>
        <v>0.0043287037037037</v>
      </c>
    </row>
    <row r="468" spans="1:6">
      <c r="A468" s="55">
        <v>45307.2839583333</v>
      </c>
      <c r="B468" s="56">
        <v>45307.2974768519</v>
      </c>
      <c r="C468" s="35">
        <v>53</v>
      </c>
      <c r="D468" s="113">
        <f t="shared" si="23"/>
        <v>1168.0000071181</v>
      </c>
      <c r="E468" s="109">
        <f t="shared" si="21"/>
        <v>0.0135185186009039</v>
      </c>
      <c r="F468" s="116">
        <f t="shared" si="22"/>
        <v>0.000613425925925926</v>
      </c>
    </row>
    <row r="469" spans="1:6">
      <c r="A469" s="55">
        <v>45300.8831944444</v>
      </c>
      <c r="B469" s="56">
        <v>45300.8959953704</v>
      </c>
      <c r="C469" s="35">
        <v>296</v>
      </c>
      <c r="D469" s="113">
        <f t="shared" si="23"/>
        <v>1106.000006455</v>
      </c>
      <c r="E469" s="109">
        <f t="shared" si="21"/>
        <v>0.0128009260006365</v>
      </c>
      <c r="F469" s="116">
        <f t="shared" si="22"/>
        <v>0.00342592592592593</v>
      </c>
    </row>
    <row r="470" spans="1:6">
      <c r="A470" s="55">
        <v>45309.3141435185</v>
      </c>
      <c r="B470" s="56">
        <v>45309.3241666667</v>
      </c>
      <c r="C470" s="35">
        <v>188</v>
      </c>
      <c r="D470" s="113">
        <f t="shared" si="23"/>
        <v>866.0000044154</v>
      </c>
      <c r="E470" s="109">
        <f t="shared" si="21"/>
        <v>0.0100231481992523</v>
      </c>
      <c r="F470" s="116">
        <f t="shared" si="22"/>
        <v>0.00217592592592593</v>
      </c>
    </row>
    <row r="471" spans="1:6">
      <c r="A471" s="55">
        <v>45292.2800115741</v>
      </c>
      <c r="B471" s="56">
        <v>45292.2896990741</v>
      </c>
      <c r="C471" s="35">
        <v>113</v>
      </c>
      <c r="D471" s="113">
        <f t="shared" si="23"/>
        <v>837.000000150874</v>
      </c>
      <c r="E471" s="109">
        <f t="shared" si="21"/>
        <v>0.00968750000174623</v>
      </c>
      <c r="F471" s="116">
        <f t="shared" si="22"/>
        <v>0.00130787037037037</v>
      </c>
    </row>
    <row r="472" spans="1:6">
      <c r="A472" s="55">
        <v>45300.5538194444</v>
      </c>
      <c r="B472" s="56">
        <v>45300.5690393519</v>
      </c>
      <c r="C472" s="35">
        <v>361</v>
      </c>
      <c r="D472" s="113">
        <f t="shared" si="23"/>
        <v>1315.00000816304</v>
      </c>
      <c r="E472" s="109">
        <f t="shared" si="21"/>
        <v>0.0152199075018871</v>
      </c>
      <c r="F472" s="116">
        <f t="shared" si="22"/>
        <v>0.00417824074074074</v>
      </c>
    </row>
    <row r="473" spans="1:6">
      <c r="A473" s="55">
        <v>45316.7249305556</v>
      </c>
      <c r="B473" s="56">
        <v>45316.7351157407</v>
      </c>
      <c r="C473" s="35">
        <v>296</v>
      </c>
      <c r="D473" s="113">
        <f t="shared" si="23"/>
        <v>879.999992600642</v>
      </c>
      <c r="E473" s="109">
        <f t="shared" si="21"/>
        <v>0.0101851850995445</v>
      </c>
      <c r="F473" s="116">
        <f t="shared" si="22"/>
        <v>0.00342592592592593</v>
      </c>
    </row>
    <row r="474" spans="1:6">
      <c r="A474" s="55">
        <v>45295.6189236111</v>
      </c>
      <c r="B474" s="56">
        <v>45295.6327777778</v>
      </c>
      <c r="C474" s="35">
        <v>452</v>
      </c>
      <c r="D474" s="113">
        <f t="shared" si="23"/>
        <v>1197.00000258163</v>
      </c>
      <c r="E474" s="109">
        <f t="shared" si="21"/>
        <v>0.0138541666965466</v>
      </c>
      <c r="F474" s="116">
        <f t="shared" si="22"/>
        <v>0.00523148148148148</v>
      </c>
    </row>
    <row r="475" spans="1:6">
      <c r="A475" s="55">
        <v>45307.2579398148</v>
      </c>
      <c r="B475" s="56">
        <v>45307.270474537</v>
      </c>
      <c r="C475" s="35">
        <v>147</v>
      </c>
      <c r="D475" s="113">
        <f t="shared" si="23"/>
        <v>1082.99999793526</v>
      </c>
      <c r="E475" s="109">
        <f t="shared" si="21"/>
        <v>0.0125347221983247</v>
      </c>
      <c r="F475" s="116">
        <f t="shared" si="22"/>
        <v>0.00170138888888889</v>
      </c>
    </row>
    <row r="476" spans="1:6">
      <c r="A476" s="55">
        <v>45310.3090972222</v>
      </c>
      <c r="B476" s="56">
        <v>45310.3261574074</v>
      </c>
      <c r="C476" s="35">
        <v>177</v>
      </c>
      <c r="D476" s="113">
        <f t="shared" si="23"/>
        <v>1474.0000013262</v>
      </c>
      <c r="E476" s="109">
        <f t="shared" si="21"/>
        <v>0.0170601852005348</v>
      </c>
      <c r="F476" s="116">
        <f t="shared" si="22"/>
        <v>0.00204861111111111</v>
      </c>
    </row>
    <row r="477" spans="1:6">
      <c r="A477" s="55">
        <v>45306.6780439815</v>
      </c>
      <c r="B477" s="56">
        <v>45306.6872685185</v>
      </c>
      <c r="C477" s="35">
        <v>583</v>
      </c>
      <c r="D477" s="113">
        <f t="shared" si="23"/>
        <v>796.999997086823</v>
      </c>
      <c r="E477" s="109">
        <f t="shared" si="21"/>
        <v>0.00922453700331971</v>
      </c>
      <c r="F477" s="116">
        <f t="shared" si="22"/>
        <v>0.00674768518518519</v>
      </c>
    </row>
    <row r="478" spans="1:6">
      <c r="A478" s="55">
        <v>45311.5254166667</v>
      </c>
      <c r="B478" s="56">
        <v>45311.5415046296</v>
      </c>
      <c r="C478" s="35">
        <v>561</v>
      </c>
      <c r="D478" s="113">
        <f t="shared" si="23"/>
        <v>1389.99999426305</v>
      </c>
      <c r="E478" s="109">
        <f t="shared" si="21"/>
        <v>0.0160879628965631</v>
      </c>
      <c r="F478" s="116">
        <f t="shared" si="22"/>
        <v>0.00649305555555556</v>
      </c>
    </row>
    <row r="479" spans="1:6">
      <c r="A479" s="55">
        <v>45316.8722800926</v>
      </c>
      <c r="B479" s="56">
        <v>45316.8820023148</v>
      </c>
      <c r="C479" s="35">
        <v>303</v>
      </c>
      <c r="D479" s="113">
        <f t="shared" si="23"/>
        <v>839.999998337589</v>
      </c>
      <c r="E479" s="109">
        <f t="shared" si="21"/>
        <v>0.00972222220298136</v>
      </c>
      <c r="F479" s="116">
        <f t="shared" si="22"/>
        <v>0.00350694444444444</v>
      </c>
    </row>
    <row r="480" spans="1:6">
      <c r="A480" s="55">
        <v>45312.7881712963</v>
      </c>
      <c r="B480" s="56">
        <v>45312.7905555556</v>
      </c>
      <c r="C480" s="35">
        <v>91</v>
      </c>
      <c r="D480" s="113">
        <f t="shared" si="23"/>
        <v>206.000003521331</v>
      </c>
      <c r="E480" s="109">
        <f t="shared" si="21"/>
        <v>0.0023842593000154</v>
      </c>
      <c r="F480" s="116">
        <f t="shared" si="22"/>
        <v>0.00105324074074074</v>
      </c>
    </row>
    <row r="481" spans="1:6">
      <c r="A481" s="55">
        <v>45314.6101967593</v>
      </c>
      <c r="B481" s="56">
        <v>45314.6202546296</v>
      </c>
      <c r="C481" s="35">
        <v>287</v>
      </c>
      <c r="D481" s="113">
        <f t="shared" si="23"/>
        <v>868.999993801117</v>
      </c>
      <c r="E481" s="109">
        <f t="shared" si="21"/>
        <v>0.010057870298624</v>
      </c>
      <c r="F481" s="116">
        <f t="shared" si="22"/>
        <v>0.00332175925925926</v>
      </c>
    </row>
    <row r="482" spans="1:6">
      <c r="A482" s="55">
        <v>45297.4958449074</v>
      </c>
      <c r="B482" s="56">
        <v>45297.4995023148</v>
      </c>
      <c r="C482" s="35">
        <v>250</v>
      </c>
      <c r="D482" s="113">
        <f t="shared" si="23"/>
        <v>315.999999688938</v>
      </c>
      <c r="E482" s="109">
        <f t="shared" si="21"/>
        <v>0.00365740740380716</v>
      </c>
      <c r="F482" s="116">
        <f t="shared" si="22"/>
        <v>0.00289351851851852</v>
      </c>
    </row>
    <row r="483" spans="1:6">
      <c r="A483" s="55">
        <v>45307.2929282407</v>
      </c>
      <c r="B483" s="56">
        <v>45307.3030324074</v>
      </c>
      <c r="C483" s="35">
        <v>546</v>
      </c>
      <c r="D483" s="113">
        <f t="shared" si="23"/>
        <v>873.00000290852</v>
      </c>
      <c r="E483" s="109">
        <f t="shared" si="21"/>
        <v>0.0101041667003301</v>
      </c>
      <c r="F483" s="116">
        <f t="shared" si="22"/>
        <v>0.00631944444444444</v>
      </c>
    </row>
    <row r="484" spans="1:6">
      <c r="A484" s="55">
        <v>45304.6348958333</v>
      </c>
      <c r="B484" s="56">
        <v>45304.6530671296</v>
      </c>
      <c r="C484" s="35">
        <v>300</v>
      </c>
      <c r="D484" s="113">
        <f t="shared" si="23"/>
        <v>1570.00000050757</v>
      </c>
      <c r="E484" s="109">
        <f t="shared" si="21"/>
        <v>0.018171296302171</v>
      </c>
      <c r="F484" s="116">
        <f t="shared" si="22"/>
        <v>0.00347222222222222</v>
      </c>
    </row>
    <row r="485" spans="1:6">
      <c r="A485" s="55">
        <v>45293.7471990741</v>
      </c>
      <c r="B485" s="56">
        <v>45293.7556018519</v>
      </c>
      <c r="C485" s="35">
        <v>497</v>
      </c>
      <c r="D485" s="113">
        <f t="shared" si="23"/>
        <v>726.000001863576</v>
      </c>
      <c r="E485" s="109">
        <f t="shared" si="21"/>
        <v>0.00840277779934695</v>
      </c>
      <c r="F485" s="116">
        <f t="shared" si="22"/>
        <v>0.00575231481481482</v>
      </c>
    </row>
    <row r="486" spans="1:6">
      <c r="A486" s="55">
        <v>45297.8616550926</v>
      </c>
      <c r="B486" s="56">
        <v>45297.8774189815</v>
      </c>
      <c r="C486" s="35">
        <v>587</v>
      </c>
      <c r="D486" s="113">
        <f t="shared" si="23"/>
        <v>1362.00000091922</v>
      </c>
      <c r="E486" s="109">
        <f t="shared" si="21"/>
        <v>0.015763888899528</v>
      </c>
      <c r="F486" s="116">
        <f t="shared" si="22"/>
        <v>0.00679398148148148</v>
      </c>
    </row>
    <row r="487" spans="1:6">
      <c r="A487" s="55">
        <v>45294.8467939815</v>
      </c>
      <c r="B487" s="56">
        <v>45294.8572569444</v>
      </c>
      <c r="C487" s="35">
        <v>276</v>
      </c>
      <c r="D487" s="113">
        <f t="shared" si="23"/>
        <v>903.999994439073</v>
      </c>
      <c r="E487" s="109">
        <f t="shared" si="21"/>
        <v>0.0104629628986004</v>
      </c>
      <c r="F487" s="116">
        <f t="shared" si="22"/>
        <v>0.00319444444444444</v>
      </c>
    </row>
    <row r="488" spans="1:6">
      <c r="A488" s="55">
        <v>45309.2812384259</v>
      </c>
      <c r="B488" s="56">
        <v>45309.293587963</v>
      </c>
      <c r="C488" s="35">
        <v>498</v>
      </c>
      <c r="D488" s="113">
        <f t="shared" si="23"/>
        <v>1067.00000551064</v>
      </c>
      <c r="E488" s="109">
        <f t="shared" si="21"/>
        <v>0.0123495371008175</v>
      </c>
      <c r="F488" s="116">
        <f t="shared" si="22"/>
        <v>0.00576388888888889</v>
      </c>
    </row>
    <row r="489" spans="1:6">
      <c r="A489" s="55">
        <v>45317.2745717593</v>
      </c>
      <c r="B489" s="56">
        <v>45317.2797337963</v>
      </c>
      <c r="C489" s="35">
        <v>431</v>
      </c>
      <c r="D489" s="113">
        <f t="shared" si="23"/>
        <v>445.999996759929</v>
      </c>
      <c r="E489" s="109">
        <f t="shared" si="21"/>
        <v>0.00516203699953621</v>
      </c>
      <c r="F489" s="116">
        <f t="shared" si="22"/>
        <v>0.00498842592592593</v>
      </c>
    </row>
    <row r="490" spans="1:6">
      <c r="A490" s="55">
        <v>45318.7599074074</v>
      </c>
      <c r="B490" s="56">
        <v>45318.7624768519</v>
      </c>
      <c r="C490" s="35">
        <v>442</v>
      </c>
      <c r="D490" s="113">
        <f t="shared" si="23"/>
        <v>222.000004746951</v>
      </c>
      <c r="E490" s="109">
        <f t="shared" si="21"/>
        <v>0.00256944449938601</v>
      </c>
      <c r="F490" s="116">
        <f t="shared" si="22"/>
        <v>0.00511574074074074</v>
      </c>
    </row>
    <row r="491" spans="1:6">
      <c r="A491" s="55">
        <v>45300.800625</v>
      </c>
      <c r="B491" s="56">
        <v>45300.8029398148</v>
      </c>
      <c r="C491" s="35">
        <v>196</v>
      </c>
      <c r="D491" s="113">
        <f t="shared" si="23"/>
        <v>199.999998346902</v>
      </c>
      <c r="E491" s="109">
        <f t="shared" si="21"/>
        <v>0.00231481479568174</v>
      </c>
      <c r="F491" s="116">
        <f t="shared" si="22"/>
        <v>0.00226851851851852</v>
      </c>
    </row>
    <row r="492" spans="1:6">
      <c r="A492" s="55">
        <v>45300.8835648148</v>
      </c>
      <c r="B492" s="56">
        <v>45300.8847106481</v>
      </c>
      <c r="C492" s="35">
        <v>165</v>
      </c>
      <c r="D492" s="113">
        <f t="shared" si="23"/>
        <v>98.9999967394397</v>
      </c>
      <c r="E492" s="109">
        <f t="shared" si="21"/>
        <v>0.00114583329559537</v>
      </c>
      <c r="F492" s="116">
        <f t="shared" si="22"/>
        <v>0.00190972222222222</v>
      </c>
    </row>
    <row r="493" spans="1:6">
      <c r="A493" s="55">
        <v>45296.8652777778</v>
      </c>
      <c r="B493" s="56">
        <v>45296.8714814815</v>
      </c>
      <c r="C493" s="35">
        <v>102</v>
      </c>
      <c r="D493" s="113">
        <f t="shared" si="23"/>
        <v>536.000000196509</v>
      </c>
      <c r="E493" s="109">
        <f t="shared" si="21"/>
        <v>0.00620370370597811</v>
      </c>
      <c r="F493" s="116">
        <f t="shared" si="22"/>
        <v>0.00118055555555556</v>
      </c>
    </row>
    <row r="494" spans="1:6">
      <c r="A494" s="55">
        <v>45307.7289814815</v>
      </c>
      <c r="B494" s="56">
        <v>45307.7484259259</v>
      </c>
      <c r="C494" s="35">
        <v>42</v>
      </c>
      <c r="D494" s="113">
        <f t="shared" si="23"/>
        <v>1679.99999604654</v>
      </c>
      <c r="E494" s="109">
        <f t="shared" si="21"/>
        <v>0.0194444443986868</v>
      </c>
      <c r="F494" s="116">
        <f t="shared" si="22"/>
        <v>0.000486111111111111</v>
      </c>
    </row>
    <row r="495" spans="1:6">
      <c r="A495" s="55">
        <v>45297.5401967593</v>
      </c>
      <c r="B495" s="56">
        <v>45297.5468171296</v>
      </c>
      <c r="C495" s="35">
        <v>400</v>
      </c>
      <c r="D495" s="113">
        <f t="shared" si="23"/>
        <v>571.999994153157</v>
      </c>
      <c r="E495" s="109">
        <f t="shared" si="21"/>
        <v>0.00662037030269857</v>
      </c>
      <c r="F495" s="116">
        <f t="shared" si="22"/>
        <v>0.00462962962962963</v>
      </c>
    </row>
    <row r="496" spans="1:6">
      <c r="A496" s="55">
        <v>45298.8665393519</v>
      </c>
      <c r="B496" s="56">
        <v>45298.8694560185</v>
      </c>
      <c r="C496" s="35">
        <v>543</v>
      </c>
      <c r="D496" s="113">
        <f t="shared" si="23"/>
        <v>251.999994786456</v>
      </c>
      <c r="E496" s="109">
        <f t="shared" si="21"/>
        <v>0.00291666660632472</v>
      </c>
      <c r="F496" s="116">
        <f t="shared" si="22"/>
        <v>0.00628472222222222</v>
      </c>
    </row>
    <row r="497" spans="1:6">
      <c r="A497" s="55">
        <v>45302.4866435185</v>
      </c>
      <c r="B497" s="56">
        <v>45302.4883333333</v>
      </c>
      <c r="C497" s="35">
        <v>572</v>
      </c>
      <c r="D497" s="113">
        <f t="shared" si="23"/>
        <v>145.999998296611</v>
      </c>
      <c r="E497" s="109">
        <f t="shared" si="21"/>
        <v>0.00168981479509966</v>
      </c>
      <c r="F497" s="116">
        <f t="shared" si="22"/>
        <v>0.00662037037037037</v>
      </c>
    </row>
    <row r="498" spans="1:6">
      <c r="A498" s="55">
        <v>45303.3303472222</v>
      </c>
      <c r="B498" s="56">
        <v>45303.3362037037</v>
      </c>
      <c r="C498" s="35">
        <v>125</v>
      </c>
      <c r="D498" s="113">
        <f t="shared" si="23"/>
        <v>506.000001356006</v>
      </c>
      <c r="E498" s="109">
        <f t="shared" si="21"/>
        <v>0.00585648149717599</v>
      </c>
      <c r="F498" s="116">
        <f t="shared" si="22"/>
        <v>0.00144675925925926</v>
      </c>
    </row>
    <row r="499" spans="1:6">
      <c r="A499" s="55">
        <v>45317.5416898148</v>
      </c>
      <c r="B499" s="56">
        <v>45317.5561574074</v>
      </c>
      <c r="C499" s="35">
        <v>496</v>
      </c>
      <c r="D499" s="113">
        <f t="shared" si="23"/>
        <v>1250.00000051223</v>
      </c>
      <c r="E499" s="109">
        <f t="shared" si="21"/>
        <v>0.0144675925985212</v>
      </c>
      <c r="F499" s="116">
        <f t="shared" si="22"/>
        <v>0.00574074074074074</v>
      </c>
    </row>
    <row r="500" spans="1:6">
      <c r="A500" s="55">
        <v>45307.3636458333</v>
      </c>
      <c r="B500" s="56">
        <v>45307.3723611111</v>
      </c>
      <c r="C500" s="35">
        <v>71</v>
      </c>
      <c r="D500" s="113">
        <f t="shared" si="23"/>
        <v>753.000001888722</v>
      </c>
      <c r="E500" s="109">
        <f t="shared" si="21"/>
        <v>0.00871527779963799</v>
      </c>
      <c r="F500" s="116">
        <f t="shared" si="22"/>
        <v>0.000821759259259259</v>
      </c>
    </row>
    <row r="501" spans="1:6">
      <c r="A501" s="55">
        <v>45307.5559606481</v>
      </c>
      <c r="B501" s="56">
        <v>45307.5753356482</v>
      </c>
      <c r="C501" s="35">
        <v>365</v>
      </c>
      <c r="D501" s="113">
        <f t="shared" si="23"/>
        <v>1674.00000910275</v>
      </c>
      <c r="E501" s="109">
        <f t="shared" si="21"/>
        <v>0.0193750001053559</v>
      </c>
      <c r="F501" s="116">
        <f t="shared" si="22"/>
        <v>0.00422453703703704</v>
      </c>
    </row>
  </sheetData>
  <conditionalFormatting sqref="A1:F501">
    <cfRule type="expression" dxfId="0" priority="1">
      <formula>MOD(ROW(),2)=1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workbookViewId="0">
      <selection activeCell="J6" sqref="J6"/>
    </sheetView>
  </sheetViews>
  <sheetFormatPr defaultColWidth="8.8" defaultRowHeight="15" outlineLevelCol="7"/>
  <cols>
    <col min="1" max="2" width="15.8" style="101" customWidth="1"/>
    <col min="3" max="3" width="13.2" style="101" customWidth="1"/>
    <col min="4" max="4" width="9" style="102" customWidth="1"/>
    <col min="5" max="5" width="11.8" style="102" customWidth="1"/>
    <col min="6" max="6" width="13.6" style="102" customWidth="1"/>
    <col min="7" max="7" width="10.2" style="103" customWidth="1"/>
    <col min="8" max="8" width="9.1" style="102" customWidth="1"/>
  </cols>
  <sheetData>
    <row r="1" spans="1:8">
      <c r="A1" s="104" t="s">
        <v>0</v>
      </c>
      <c r="B1" s="105" t="s">
        <v>1</v>
      </c>
      <c r="C1" s="105" t="s">
        <v>2</v>
      </c>
      <c r="D1" s="106" t="s">
        <v>6</v>
      </c>
      <c r="E1" s="106" t="s">
        <v>7</v>
      </c>
      <c r="F1" s="106" t="s">
        <v>8</v>
      </c>
      <c r="G1" s="107" t="s">
        <v>9</v>
      </c>
      <c r="H1" s="108" t="s">
        <v>10</v>
      </c>
    </row>
    <row r="2" spans="1:8">
      <c r="A2" s="55">
        <v>45295.2828356481</v>
      </c>
      <c r="B2" s="56">
        <v>45295.2893287037</v>
      </c>
      <c r="C2" s="35">
        <v>238</v>
      </c>
      <c r="D2" s="65">
        <f>HOUR(A2)</f>
        <v>6</v>
      </c>
      <c r="E2" s="65">
        <f>DAY(A2)</f>
        <v>4</v>
      </c>
      <c r="F2" s="65">
        <f>WEEKNUM(A2)</f>
        <v>1</v>
      </c>
      <c r="G2" s="109">
        <f>A2</f>
        <v>45295.2828356481</v>
      </c>
      <c r="H2" s="110">
        <f>WEEKDAY(A2)</f>
        <v>5</v>
      </c>
    </row>
    <row r="3" spans="1:8">
      <c r="A3" s="55">
        <v>45310.7930671296</v>
      </c>
      <c r="B3" s="56">
        <v>45310.7959722222</v>
      </c>
      <c r="C3" s="35">
        <v>233</v>
      </c>
      <c r="D3" s="65">
        <f t="shared" ref="D3:D66" si="0">HOUR(A3)</f>
        <v>19</v>
      </c>
      <c r="E3" s="65">
        <f t="shared" ref="E3:E66" si="1">DAY(A3)</f>
        <v>19</v>
      </c>
      <c r="F3" s="65">
        <f t="shared" ref="F3:F66" si="2">WEEKNUM(A3)</f>
        <v>3</v>
      </c>
      <c r="G3" s="109">
        <f t="shared" ref="G3:G66" si="3">A3</f>
        <v>45310.7930671296</v>
      </c>
      <c r="H3" s="110">
        <f t="shared" ref="H3:H66" si="4">WEEKDAY(A3)</f>
        <v>6</v>
      </c>
    </row>
    <row r="4" spans="1:8">
      <c r="A4" s="55">
        <v>45299.859224537</v>
      </c>
      <c r="B4" s="56">
        <v>45299.8790972222</v>
      </c>
      <c r="C4" s="35">
        <v>16</v>
      </c>
      <c r="D4" s="65">
        <f t="shared" si="0"/>
        <v>20</v>
      </c>
      <c r="E4" s="65">
        <f t="shared" si="1"/>
        <v>8</v>
      </c>
      <c r="F4" s="65">
        <f t="shared" si="2"/>
        <v>2</v>
      </c>
      <c r="G4" s="109">
        <f t="shared" si="3"/>
        <v>45299.859224537</v>
      </c>
      <c r="H4" s="110">
        <f t="shared" si="4"/>
        <v>2</v>
      </c>
    </row>
    <row r="5" spans="1:8">
      <c r="A5" s="55">
        <v>45302.37875</v>
      </c>
      <c r="B5" s="56">
        <v>45302.3817361111</v>
      </c>
      <c r="C5" s="35">
        <v>377</v>
      </c>
      <c r="D5" s="65">
        <f t="shared" si="0"/>
        <v>9</v>
      </c>
      <c r="E5" s="65">
        <f t="shared" si="1"/>
        <v>11</v>
      </c>
      <c r="F5" s="65">
        <f t="shared" si="2"/>
        <v>2</v>
      </c>
      <c r="G5" s="109">
        <f t="shared" si="3"/>
        <v>45302.37875</v>
      </c>
      <c r="H5" s="110">
        <f t="shared" si="4"/>
        <v>5</v>
      </c>
    </row>
    <row r="6" spans="1:8">
      <c r="A6" s="55">
        <v>45304.3578472222</v>
      </c>
      <c r="B6" s="56">
        <v>45304.3781944444</v>
      </c>
      <c r="C6" s="35">
        <v>380</v>
      </c>
      <c r="D6" s="65">
        <f t="shared" si="0"/>
        <v>8</v>
      </c>
      <c r="E6" s="65">
        <f t="shared" si="1"/>
        <v>13</v>
      </c>
      <c r="F6" s="65">
        <f t="shared" si="2"/>
        <v>2</v>
      </c>
      <c r="G6" s="109">
        <f t="shared" si="3"/>
        <v>45304.3578472222</v>
      </c>
      <c r="H6" s="110">
        <f t="shared" si="4"/>
        <v>7</v>
      </c>
    </row>
    <row r="7" spans="1:8">
      <c r="A7" s="55">
        <v>45294.5799305556</v>
      </c>
      <c r="B7" s="56">
        <v>45294.5896296296</v>
      </c>
      <c r="C7" s="35">
        <v>294</v>
      </c>
      <c r="D7" s="65">
        <f t="shared" si="0"/>
        <v>13</v>
      </c>
      <c r="E7" s="65">
        <f t="shared" si="1"/>
        <v>3</v>
      </c>
      <c r="F7" s="65">
        <f t="shared" si="2"/>
        <v>1</v>
      </c>
      <c r="G7" s="109">
        <f t="shared" si="3"/>
        <v>45294.5799305556</v>
      </c>
      <c r="H7" s="110">
        <f t="shared" si="4"/>
        <v>4</v>
      </c>
    </row>
    <row r="8" spans="1:8">
      <c r="A8" s="55">
        <v>45300.3601851852</v>
      </c>
      <c r="B8" s="56">
        <v>45300.3649305556</v>
      </c>
      <c r="C8" s="35">
        <v>556</v>
      </c>
      <c r="D8" s="65">
        <f t="shared" si="0"/>
        <v>8</v>
      </c>
      <c r="E8" s="65">
        <f t="shared" si="1"/>
        <v>9</v>
      </c>
      <c r="F8" s="65">
        <f t="shared" si="2"/>
        <v>2</v>
      </c>
      <c r="G8" s="109">
        <f t="shared" si="3"/>
        <v>45300.3601851852</v>
      </c>
      <c r="H8" s="110">
        <f t="shared" si="4"/>
        <v>3</v>
      </c>
    </row>
    <row r="9" spans="1:8">
      <c r="A9" s="55">
        <v>45309.5717592593</v>
      </c>
      <c r="B9" s="56">
        <v>45309.5924305556</v>
      </c>
      <c r="C9" s="35">
        <v>67</v>
      </c>
      <c r="D9" s="65">
        <f t="shared" si="0"/>
        <v>13</v>
      </c>
      <c r="E9" s="65">
        <f t="shared" si="1"/>
        <v>18</v>
      </c>
      <c r="F9" s="65">
        <f t="shared" si="2"/>
        <v>3</v>
      </c>
      <c r="G9" s="109">
        <f t="shared" si="3"/>
        <v>45309.5717592593</v>
      </c>
      <c r="H9" s="110">
        <f t="shared" si="4"/>
        <v>5</v>
      </c>
    </row>
    <row r="10" spans="1:8">
      <c r="A10" s="55">
        <v>45310.6761689815</v>
      </c>
      <c r="B10" s="56">
        <v>45310.6886921296</v>
      </c>
      <c r="C10" s="35">
        <v>415</v>
      </c>
      <c r="D10" s="65">
        <f t="shared" si="0"/>
        <v>16</v>
      </c>
      <c r="E10" s="65">
        <f t="shared" si="1"/>
        <v>19</v>
      </c>
      <c r="F10" s="65">
        <f t="shared" si="2"/>
        <v>3</v>
      </c>
      <c r="G10" s="109">
        <f t="shared" si="3"/>
        <v>45310.6761689815</v>
      </c>
      <c r="H10" s="110">
        <f t="shared" si="4"/>
        <v>6</v>
      </c>
    </row>
    <row r="11" spans="1:8">
      <c r="A11" s="55">
        <v>45315.8316782407</v>
      </c>
      <c r="B11" s="56">
        <v>45315.8418287037</v>
      </c>
      <c r="C11" s="35">
        <v>380</v>
      </c>
      <c r="D11" s="65">
        <f t="shared" si="0"/>
        <v>19</v>
      </c>
      <c r="E11" s="65">
        <f t="shared" si="1"/>
        <v>24</v>
      </c>
      <c r="F11" s="65">
        <f t="shared" si="2"/>
        <v>4</v>
      </c>
      <c r="G11" s="109">
        <f t="shared" si="3"/>
        <v>45315.8316782407</v>
      </c>
      <c r="H11" s="110">
        <f t="shared" si="4"/>
        <v>4</v>
      </c>
    </row>
    <row r="12" spans="1:8">
      <c r="A12" s="55">
        <v>45295.4445601852</v>
      </c>
      <c r="B12" s="56">
        <v>45295.4640277778</v>
      </c>
      <c r="C12" s="35">
        <v>442</v>
      </c>
      <c r="D12" s="65">
        <f t="shared" si="0"/>
        <v>10</v>
      </c>
      <c r="E12" s="65">
        <f t="shared" si="1"/>
        <v>4</v>
      </c>
      <c r="F12" s="65">
        <f t="shared" si="2"/>
        <v>1</v>
      </c>
      <c r="G12" s="109">
        <f t="shared" si="3"/>
        <v>45295.4445601852</v>
      </c>
      <c r="H12" s="110">
        <f t="shared" si="4"/>
        <v>5</v>
      </c>
    </row>
    <row r="13" spans="1:8">
      <c r="A13" s="55">
        <v>45300.2803935185</v>
      </c>
      <c r="B13" s="56">
        <v>45300.2837962963</v>
      </c>
      <c r="C13" s="35">
        <v>559</v>
      </c>
      <c r="D13" s="65">
        <f t="shared" si="0"/>
        <v>6</v>
      </c>
      <c r="E13" s="65">
        <f t="shared" si="1"/>
        <v>9</v>
      </c>
      <c r="F13" s="65">
        <f t="shared" si="2"/>
        <v>2</v>
      </c>
      <c r="G13" s="109">
        <f t="shared" si="3"/>
        <v>45300.2803935185</v>
      </c>
      <c r="H13" s="110">
        <f t="shared" si="4"/>
        <v>3</v>
      </c>
    </row>
    <row r="14" spans="1:8">
      <c r="A14" s="55">
        <v>45292.6061111111</v>
      </c>
      <c r="B14" s="56">
        <v>45292.6110300926</v>
      </c>
      <c r="C14" s="35">
        <v>529</v>
      </c>
      <c r="D14" s="65">
        <f t="shared" si="0"/>
        <v>14</v>
      </c>
      <c r="E14" s="65">
        <f t="shared" si="1"/>
        <v>1</v>
      </c>
      <c r="F14" s="65">
        <f t="shared" si="2"/>
        <v>1</v>
      </c>
      <c r="G14" s="109">
        <f t="shared" si="3"/>
        <v>45292.6061111111</v>
      </c>
      <c r="H14" s="110">
        <f t="shared" si="4"/>
        <v>2</v>
      </c>
    </row>
    <row r="15" spans="1:8">
      <c r="A15" s="55">
        <v>45303.4825115741</v>
      </c>
      <c r="B15" s="56">
        <v>45303.495775463</v>
      </c>
      <c r="C15" s="35">
        <v>10</v>
      </c>
      <c r="D15" s="65">
        <f t="shared" si="0"/>
        <v>11</v>
      </c>
      <c r="E15" s="65">
        <f t="shared" si="1"/>
        <v>12</v>
      </c>
      <c r="F15" s="65">
        <f t="shared" si="2"/>
        <v>2</v>
      </c>
      <c r="G15" s="109">
        <f t="shared" si="3"/>
        <v>45303.4825115741</v>
      </c>
      <c r="H15" s="110">
        <f t="shared" si="4"/>
        <v>6</v>
      </c>
    </row>
    <row r="16" spans="1:8">
      <c r="A16" s="55">
        <v>45317.6354513889</v>
      </c>
      <c r="B16" s="56">
        <v>45317.6418518519</v>
      </c>
      <c r="C16" s="35">
        <v>590</v>
      </c>
      <c r="D16" s="65">
        <f t="shared" si="0"/>
        <v>15</v>
      </c>
      <c r="E16" s="65">
        <f t="shared" si="1"/>
        <v>26</v>
      </c>
      <c r="F16" s="65">
        <f t="shared" si="2"/>
        <v>4</v>
      </c>
      <c r="G16" s="109">
        <f t="shared" si="3"/>
        <v>45317.6354513889</v>
      </c>
      <c r="H16" s="110">
        <f t="shared" si="4"/>
        <v>6</v>
      </c>
    </row>
    <row r="17" spans="1:8">
      <c r="A17" s="55">
        <v>45309.4227083333</v>
      </c>
      <c r="B17" s="56">
        <v>45309.4346643519</v>
      </c>
      <c r="C17" s="35">
        <v>572</v>
      </c>
      <c r="D17" s="65">
        <f t="shared" si="0"/>
        <v>10</v>
      </c>
      <c r="E17" s="65">
        <f t="shared" si="1"/>
        <v>18</v>
      </c>
      <c r="F17" s="65">
        <f t="shared" si="2"/>
        <v>3</v>
      </c>
      <c r="G17" s="109">
        <f t="shared" si="3"/>
        <v>45309.4227083333</v>
      </c>
      <c r="H17" s="110">
        <f t="shared" si="4"/>
        <v>5</v>
      </c>
    </row>
    <row r="18" spans="1:8">
      <c r="A18" s="55">
        <v>45309.5314699074</v>
      </c>
      <c r="B18" s="56">
        <v>45309.5416203704</v>
      </c>
      <c r="C18" s="35">
        <v>392</v>
      </c>
      <c r="D18" s="65">
        <f t="shared" si="0"/>
        <v>12</v>
      </c>
      <c r="E18" s="65">
        <f t="shared" si="1"/>
        <v>18</v>
      </c>
      <c r="F18" s="65">
        <f t="shared" si="2"/>
        <v>3</v>
      </c>
      <c r="G18" s="109">
        <f t="shared" si="3"/>
        <v>45309.5314699074</v>
      </c>
      <c r="H18" s="110">
        <f t="shared" si="4"/>
        <v>5</v>
      </c>
    </row>
    <row r="19" spans="1:8">
      <c r="A19" s="55">
        <v>45309.5675231482</v>
      </c>
      <c r="B19" s="56">
        <v>45309.5683796296</v>
      </c>
      <c r="C19" s="35">
        <v>82</v>
      </c>
      <c r="D19" s="65">
        <f t="shared" si="0"/>
        <v>13</v>
      </c>
      <c r="E19" s="65">
        <f t="shared" si="1"/>
        <v>18</v>
      </c>
      <c r="F19" s="65">
        <f t="shared" si="2"/>
        <v>3</v>
      </c>
      <c r="G19" s="109">
        <f t="shared" si="3"/>
        <v>45309.5675231482</v>
      </c>
      <c r="H19" s="110">
        <f t="shared" si="4"/>
        <v>5</v>
      </c>
    </row>
    <row r="20" spans="1:8">
      <c r="A20" s="55">
        <v>45308.5539583333</v>
      </c>
      <c r="B20" s="56">
        <v>45308.5661574074</v>
      </c>
      <c r="C20" s="35">
        <v>229</v>
      </c>
      <c r="D20" s="65">
        <f t="shared" si="0"/>
        <v>13</v>
      </c>
      <c r="E20" s="65">
        <f t="shared" si="1"/>
        <v>17</v>
      </c>
      <c r="F20" s="65">
        <f t="shared" si="2"/>
        <v>3</v>
      </c>
      <c r="G20" s="109">
        <f t="shared" si="3"/>
        <v>45308.5539583333</v>
      </c>
      <c r="H20" s="110">
        <f t="shared" si="4"/>
        <v>4</v>
      </c>
    </row>
    <row r="21" spans="1:8">
      <c r="A21" s="55">
        <v>45307.5767361111</v>
      </c>
      <c r="B21" s="56">
        <v>45307.5965625</v>
      </c>
      <c r="C21" s="35">
        <v>426</v>
      </c>
      <c r="D21" s="65">
        <f t="shared" si="0"/>
        <v>13</v>
      </c>
      <c r="E21" s="65">
        <f t="shared" si="1"/>
        <v>16</v>
      </c>
      <c r="F21" s="65">
        <f t="shared" si="2"/>
        <v>3</v>
      </c>
      <c r="G21" s="109">
        <f t="shared" si="3"/>
        <v>45307.5767361111</v>
      </c>
      <c r="H21" s="110">
        <f t="shared" si="4"/>
        <v>3</v>
      </c>
    </row>
    <row r="22" spans="1:8">
      <c r="A22" s="55">
        <v>45305.8720601852</v>
      </c>
      <c r="B22" s="56">
        <v>45305.8740277778</v>
      </c>
      <c r="C22" s="35">
        <v>110</v>
      </c>
      <c r="D22" s="65">
        <f t="shared" si="0"/>
        <v>20</v>
      </c>
      <c r="E22" s="65">
        <f t="shared" si="1"/>
        <v>14</v>
      </c>
      <c r="F22" s="65">
        <f t="shared" si="2"/>
        <v>3</v>
      </c>
      <c r="G22" s="109">
        <f t="shared" si="3"/>
        <v>45305.8720601852</v>
      </c>
      <c r="H22" s="110">
        <f t="shared" si="4"/>
        <v>1</v>
      </c>
    </row>
    <row r="23" spans="1:8">
      <c r="A23" s="55">
        <v>45298.5239351852</v>
      </c>
      <c r="B23" s="56">
        <v>45298.5279513889</v>
      </c>
      <c r="C23" s="35">
        <v>442</v>
      </c>
      <c r="D23" s="65">
        <f t="shared" si="0"/>
        <v>12</v>
      </c>
      <c r="E23" s="65">
        <f t="shared" si="1"/>
        <v>7</v>
      </c>
      <c r="F23" s="65">
        <f t="shared" si="2"/>
        <v>2</v>
      </c>
      <c r="G23" s="109">
        <f t="shared" si="3"/>
        <v>45298.5239351852</v>
      </c>
      <c r="H23" s="110">
        <f t="shared" si="4"/>
        <v>1</v>
      </c>
    </row>
    <row r="24" spans="1:8">
      <c r="A24" s="55">
        <v>45319.3775578704</v>
      </c>
      <c r="B24" s="56">
        <v>45319.3910648148</v>
      </c>
      <c r="C24" s="35">
        <v>25</v>
      </c>
      <c r="D24" s="65">
        <f t="shared" si="0"/>
        <v>9</v>
      </c>
      <c r="E24" s="65">
        <f t="shared" si="1"/>
        <v>28</v>
      </c>
      <c r="F24" s="65">
        <f t="shared" si="2"/>
        <v>5</v>
      </c>
      <c r="G24" s="109">
        <f t="shared" si="3"/>
        <v>45319.3775578704</v>
      </c>
      <c r="H24" s="110">
        <f t="shared" si="4"/>
        <v>1</v>
      </c>
    </row>
    <row r="25" spans="1:8">
      <c r="A25" s="55">
        <v>45319.7896180556</v>
      </c>
      <c r="B25" s="56">
        <v>45319.794212963</v>
      </c>
      <c r="C25" s="35">
        <v>398</v>
      </c>
      <c r="D25" s="65">
        <f t="shared" si="0"/>
        <v>18</v>
      </c>
      <c r="E25" s="65">
        <f t="shared" si="1"/>
        <v>28</v>
      </c>
      <c r="F25" s="65">
        <f t="shared" si="2"/>
        <v>5</v>
      </c>
      <c r="G25" s="109">
        <f t="shared" si="3"/>
        <v>45319.7896180556</v>
      </c>
      <c r="H25" s="110">
        <f t="shared" si="4"/>
        <v>1</v>
      </c>
    </row>
    <row r="26" spans="1:8">
      <c r="A26" s="55">
        <v>45305.8813888889</v>
      </c>
      <c r="B26" s="56">
        <v>45305.8891087963</v>
      </c>
      <c r="C26" s="35">
        <v>232</v>
      </c>
      <c r="D26" s="65">
        <f t="shared" si="0"/>
        <v>21</v>
      </c>
      <c r="E26" s="65">
        <f t="shared" si="1"/>
        <v>14</v>
      </c>
      <c r="F26" s="65">
        <f t="shared" si="2"/>
        <v>3</v>
      </c>
      <c r="G26" s="109">
        <f t="shared" si="3"/>
        <v>45305.8813888889</v>
      </c>
      <c r="H26" s="110">
        <f t="shared" si="4"/>
        <v>1</v>
      </c>
    </row>
    <row r="27" spans="1:8">
      <c r="A27" s="55">
        <v>45307.9575694444</v>
      </c>
      <c r="B27" s="56">
        <v>45307.9708449074</v>
      </c>
      <c r="C27" s="35">
        <v>171</v>
      </c>
      <c r="D27" s="65">
        <f t="shared" si="0"/>
        <v>22</v>
      </c>
      <c r="E27" s="65">
        <f t="shared" si="1"/>
        <v>16</v>
      </c>
      <c r="F27" s="65">
        <f t="shared" si="2"/>
        <v>3</v>
      </c>
      <c r="G27" s="109">
        <f t="shared" si="3"/>
        <v>45307.9575694444</v>
      </c>
      <c r="H27" s="110">
        <f t="shared" si="4"/>
        <v>3</v>
      </c>
    </row>
    <row r="28" spans="1:8">
      <c r="A28" s="55">
        <v>45304.4143055556</v>
      </c>
      <c r="B28" s="56">
        <v>45304.4208333333</v>
      </c>
      <c r="C28" s="35">
        <v>50</v>
      </c>
      <c r="D28" s="65">
        <f t="shared" si="0"/>
        <v>9</v>
      </c>
      <c r="E28" s="65">
        <f t="shared" si="1"/>
        <v>13</v>
      </c>
      <c r="F28" s="65">
        <f t="shared" si="2"/>
        <v>2</v>
      </c>
      <c r="G28" s="109">
        <f t="shared" si="3"/>
        <v>45304.4143055556</v>
      </c>
      <c r="H28" s="110">
        <f t="shared" si="4"/>
        <v>7</v>
      </c>
    </row>
    <row r="29" spans="1:8">
      <c r="A29" s="55">
        <v>45302.5928472222</v>
      </c>
      <c r="B29" s="56">
        <v>45302.6105092593</v>
      </c>
      <c r="C29" s="35">
        <v>331</v>
      </c>
      <c r="D29" s="65">
        <f t="shared" si="0"/>
        <v>14</v>
      </c>
      <c r="E29" s="65">
        <f t="shared" si="1"/>
        <v>11</v>
      </c>
      <c r="F29" s="65">
        <f t="shared" si="2"/>
        <v>2</v>
      </c>
      <c r="G29" s="109">
        <f t="shared" si="3"/>
        <v>45302.5928472222</v>
      </c>
      <c r="H29" s="110">
        <f t="shared" si="4"/>
        <v>5</v>
      </c>
    </row>
    <row r="30" spans="1:8">
      <c r="A30" s="55">
        <v>45316.3336689815</v>
      </c>
      <c r="B30" s="56">
        <v>45316.3490856482</v>
      </c>
      <c r="C30" s="35">
        <v>586</v>
      </c>
      <c r="D30" s="65">
        <f t="shared" si="0"/>
        <v>8</v>
      </c>
      <c r="E30" s="65">
        <f t="shared" si="1"/>
        <v>25</v>
      </c>
      <c r="F30" s="65">
        <f t="shared" si="2"/>
        <v>4</v>
      </c>
      <c r="G30" s="109">
        <f t="shared" si="3"/>
        <v>45316.3336689815</v>
      </c>
      <c r="H30" s="110">
        <f t="shared" si="4"/>
        <v>5</v>
      </c>
    </row>
    <row r="31" spans="1:8">
      <c r="A31" s="55">
        <v>45294.5578472222</v>
      </c>
      <c r="B31" s="56">
        <v>45294.5622800926</v>
      </c>
      <c r="C31" s="35">
        <v>458</v>
      </c>
      <c r="D31" s="65">
        <f t="shared" si="0"/>
        <v>13</v>
      </c>
      <c r="E31" s="65">
        <f t="shared" si="1"/>
        <v>3</v>
      </c>
      <c r="F31" s="65">
        <f t="shared" si="2"/>
        <v>1</v>
      </c>
      <c r="G31" s="109">
        <f t="shared" si="3"/>
        <v>45294.5578472222</v>
      </c>
      <c r="H31" s="110">
        <f t="shared" si="4"/>
        <v>4</v>
      </c>
    </row>
    <row r="32" spans="1:8">
      <c r="A32" s="55">
        <v>45292.6664583333</v>
      </c>
      <c r="B32" s="56">
        <v>45292.6696064815</v>
      </c>
      <c r="C32" s="35">
        <v>147</v>
      </c>
      <c r="D32" s="65">
        <f t="shared" si="0"/>
        <v>15</v>
      </c>
      <c r="E32" s="65">
        <f t="shared" si="1"/>
        <v>1</v>
      </c>
      <c r="F32" s="65">
        <f t="shared" si="2"/>
        <v>1</v>
      </c>
      <c r="G32" s="109">
        <f t="shared" si="3"/>
        <v>45292.6664583333</v>
      </c>
      <c r="H32" s="110">
        <f t="shared" si="4"/>
        <v>2</v>
      </c>
    </row>
    <row r="33" spans="1:8">
      <c r="A33" s="55">
        <v>45301.5314930556</v>
      </c>
      <c r="B33" s="56">
        <v>45301.5370023148</v>
      </c>
      <c r="C33" s="35">
        <v>280</v>
      </c>
      <c r="D33" s="65">
        <f t="shared" si="0"/>
        <v>12</v>
      </c>
      <c r="E33" s="65">
        <f t="shared" si="1"/>
        <v>10</v>
      </c>
      <c r="F33" s="65">
        <f t="shared" si="2"/>
        <v>2</v>
      </c>
      <c r="G33" s="109">
        <f t="shared" si="3"/>
        <v>45301.5314930556</v>
      </c>
      <c r="H33" s="110">
        <f t="shared" si="4"/>
        <v>4</v>
      </c>
    </row>
    <row r="34" spans="1:8">
      <c r="A34" s="55">
        <v>45312.8286689815</v>
      </c>
      <c r="B34" s="56">
        <v>45312.8304050926</v>
      </c>
      <c r="C34" s="35">
        <v>13</v>
      </c>
      <c r="D34" s="65">
        <f t="shared" si="0"/>
        <v>19</v>
      </c>
      <c r="E34" s="65">
        <f t="shared" si="1"/>
        <v>21</v>
      </c>
      <c r="F34" s="65">
        <f t="shared" si="2"/>
        <v>4</v>
      </c>
      <c r="G34" s="109">
        <f t="shared" si="3"/>
        <v>45312.8286689815</v>
      </c>
      <c r="H34" s="110">
        <f t="shared" si="4"/>
        <v>1</v>
      </c>
    </row>
    <row r="35" spans="1:8">
      <c r="A35" s="55">
        <v>45306.8159722222</v>
      </c>
      <c r="B35" s="56">
        <v>45306.8193171296</v>
      </c>
      <c r="C35" s="35">
        <v>87</v>
      </c>
      <c r="D35" s="65">
        <f t="shared" si="0"/>
        <v>19</v>
      </c>
      <c r="E35" s="65">
        <f t="shared" si="1"/>
        <v>15</v>
      </c>
      <c r="F35" s="65">
        <f t="shared" si="2"/>
        <v>3</v>
      </c>
      <c r="G35" s="109">
        <f t="shared" si="3"/>
        <v>45306.8159722222</v>
      </c>
      <c r="H35" s="110">
        <f t="shared" si="4"/>
        <v>2</v>
      </c>
    </row>
    <row r="36" spans="1:8">
      <c r="A36" s="55">
        <v>45296.3051273148</v>
      </c>
      <c r="B36" s="56">
        <v>45296.3246875</v>
      </c>
      <c r="C36" s="35">
        <v>50</v>
      </c>
      <c r="D36" s="65">
        <f t="shared" si="0"/>
        <v>7</v>
      </c>
      <c r="E36" s="65">
        <f t="shared" si="1"/>
        <v>5</v>
      </c>
      <c r="F36" s="65">
        <f t="shared" si="2"/>
        <v>1</v>
      </c>
      <c r="G36" s="109">
        <f t="shared" si="3"/>
        <v>45296.3051273148</v>
      </c>
      <c r="H36" s="110">
        <f t="shared" si="4"/>
        <v>6</v>
      </c>
    </row>
    <row r="37" spans="1:8">
      <c r="A37" s="55">
        <v>45319.8192939815</v>
      </c>
      <c r="B37" s="56">
        <v>45319.8236458333</v>
      </c>
      <c r="C37" s="35">
        <v>252</v>
      </c>
      <c r="D37" s="65">
        <f t="shared" si="0"/>
        <v>19</v>
      </c>
      <c r="E37" s="65">
        <f t="shared" si="1"/>
        <v>28</v>
      </c>
      <c r="F37" s="65">
        <f t="shared" si="2"/>
        <v>5</v>
      </c>
      <c r="G37" s="109">
        <f t="shared" si="3"/>
        <v>45319.8192939815</v>
      </c>
      <c r="H37" s="110">
        <f t="shared" si="4"/>
        <v>1</v>
      </c>
    </row>
    <row r="38" spans="1:8">
      <c r="A38" s="55">
        <v>45305.553587963</v>
      </c>
      <c r="B38" s="56">
        <v>45305.5729398148</v>
      </c>
      <c r="C38" s="35">
        <v>120</v>
      </c>
      <c r="D38" s="65">
        <f t="shared" si="0"/>
        <v>13</v>
      </c>
      <c r="E38" s="65">
        <f t="shared" si="1"/>
        <v>14</v>
      </c>
      <c r="F38" s="65">
        <f t="shared" si="2"/>
        <v>3</v>
      </c>
      <c r="G38" s="109">
        <f t="shared" si="3"/>
        <v>45305.553587963</v>
      </c>
      <c r="H38" s="110">
        <f t="shared" si="4"/>
        <v>1</v>
      </c>
    </row>
    <row r="39" spans="1:8">
      <c r="A39" s="55">
        <v>45317.551400463</v>
      </c>
      <c r="B39" s="56">
        <v>45317.5677314815</v>
      </c>
      <c r="C39" s="35">
        <v>207</v>
      </c>
      <c r="D39" s="65">
        <f t="shared" si="0"/>
        <v>13</v>
      </c>
      <c r="E39" s="65">
        <f t="shared" si="1"/>
        <v>26</v>
      </c>
      <c r="F39" s="65">
        <f t="shared" si="2"/>
        <v>4</v>
      </c>
      <c r="G39" s="109">
        <f t="shared" si="3"/>
        <v>45317.551400463</v>
      </c>
      <c r="H39" s="110">
        <f t="shared" si="4"/>
        <v>6</v>
      </c>
    </row>
    <row r="40" spans="1:8">
      <c r="A40" s="55">
        <v>45312.934525463</v>
      </c>
      <c r="B40" s="56">
        <v>45312.9552083333</v>
      </c>
      <c r="C40" s="35">
        <v>559</v>
      </c>
      <c r="D40" s="65">
        <f t="shared" si="0"/>
        <v>22</v>
      </c>
      <c r="E40" s="65">
        <f t="shared" si="1"/>
        <v>21</v>
      </c>
      <c r="F40" s="65">
        <f t="shared" si="2"/>
        <v>4</v>
      </c>
      <c r="G40" s="109">
        <f t="shared" si="3"/>
        <v>45312.934525463</v>
      </c>
      <c r="H40" s="110">
        <f t="shared" si="4"/>
        <v>1</v>
      </c>
    </row>
    <row r="41" spans="1:8">
      <c r="A41" s="55">
        <v>45310.5847916667</v>
      </c>
      <c r="B41" s="56">
        <v>45310.5996180556</v>
      </c>
      <c r="C41" s="35">
        <v>454</v>
      </c>
      <c r="D41" s="65">
        <f t="shared" si="0"/>
        <v>14</v>
      </c>
      <c r="E41" s="65">
        <f t="shared" si="1"/>
        <v>19</v>
      </c>
      <c r="F41" s="65">
        <f t="shared" si="2"/>
        <v>3</v>
      </c>
      <c r="G41" s="109">
        <f t="shared" si="3"/>
        <v>45310.5847916667</v>
      </c>
      <c r="H41" s="110">
        <f t="shared" si="4"/>
        <v>6</v>
      </c>
    </row>
    <row r="42" spans="1:8">
      <c r="A42" s="55">
        <v>45304.5111342593</v>
      </c>
      <c r="B42" s="56">
        <v>45304.5286226852</v>
      </c>
      <c r="C42" s="35">
        <v>456</v>
      </c>
      <c r="D42" s="65">
        <f t="shared" si="0"/>
        <v>12</v>
      </c>
      <c r="E42" s="65">
        <f t="shared" si="1"/>
        <v>13</v>
      </c>
      <c r="F42" s="65">
        <f t="shared" si="2"/>
        <v>2</v>
      </c>
      <c r="G42" s="109">
        <f t="shared" si="3"/>
        <v>45304.5111342593</v>
      </c>
      <c r="H42" s="110">
        <f t="shared" si="4"/>
        <v>7</v>
      </c>
    </row>
    <row r="43" spans="1:8">
      <c r="A43" s="55">
        <v>45302.6964583333</v>
      </c>
      <c r="B43" s="56">
        <v>45302.7001041667</v>
      </c>
      <c r="C43" s="35">
        <v>317</v>
      </c>
      <c r="D43" s="65">
        <f t="shared" si="0"/>
        <v>16</v>
      </c>
      <c r="E43" s="65">
        <f t="shared" si="1"/>
        <v>11</v>
      </c>
      <c r="F43" s="65">
        <f t="shared" si="2"/>
        <v>2</v>
      </c>
      <c r="G43" s="109">
        <f t="shared" si="3"/>
        <v>45302.6964583333</v>
      </c>
      <c r="H43" s="110">
        <f t="shared" si="4"/>
        <v>5</v>
      </c>
    </row>
    <row r="44" spans="1:8">
      <c r="A44" s="55">
        <v>45301.4253009259</v>
      </c>
      <c r="B44" s="56">
        <v>45301.4417476852</v>
      </c>
      <c r="C44" s="35">
        <v>398</v>
      </c>
      <c r="D44" s="65">
        <f t="shared" si="0"/>
        <v>10</v>
      </c>
      <c r="E44" s="65">
        <f t="shared" si="1"/>
        <v>10</v>
      </c>
      <c r="F44" s="65">
        <f t="shared" si="2"/>
        <v>2</v>
      </c>
      <c r="G44" s="109">
        <f t="shared" si="3"/>
        <v>45301.4253009259</v>
      </c>
      <c r="H44" s="110">
        <f t="shared" si="4"/>
        <v>4</v>
      </c>
    </row>
    <row r="45" spans="1:8">
      <c r="A45" s="55">
        <v>45301.5193287037</v>
      </c>
      <c r="B45" s="56">
        <v>45301.5337615741</v>
      </c>
      <c r="C45" s="35">
        <v>339</v>
      </c>
      <c r="D45" s="65">
        <f t="shared" si="0"/>
        <v>12</v>
      </c>
      <c r="E45" s="65">
        <f t="shared" si="1"/>
        <v>10</v>
      </c>
      <c r="F45" s="65">
        <f t="shared" si="2"/>
        <v>2</v>
      </c>
      <c r="G45" s="109">
        <f t="shared" si="3"/>
        <v>45301.5193287037</v>
      </c>
      <c r="H45" s="110">
        <f t="shared" si="4"/>
        <v>4</v>
      </c>
    </row>
    <row r="46" spans="1:8">
      <c r="A46" s="55">
        <v>45317.4875578704</v>
      </c>
      <c r="B46" s="56">
        <v>45317.4949768518</v>
      </c>
      <c r="C46" s="35">
        <v>537</v>
      </c>
      <c r="D46" s="65">
        <f t="shared" si="0"/>
        <v>11</v>
      </c>
      <c r="E46" s="65">
        <f t="shared" si="1"/>
        <v>26</v>
      </c>
      <c r="F46" s="65">
        <f t="shared" si="2"/>
        <v>4</v>
      </c>
      <c r="G46" s="109">
        <f t="shared" si="3"/>
        <v>45317.4875578704</v>
      </c>
      <c r="H46" s="110">
        <f t="shared" si="4"/>
        <v>6</v>
      </c>
    </row>
    <row r="47" spans="1:8">
      <c r="A47" s="55">
        <v>45301.5772222222</v>
      </c>
      <c r="B47" s="56">
        <v>45301.581400463</v>
      </c>
      <c r="C47" s="35">
        <v>35</v>
      </c>
      <c r="D47" s="65">
        <f t="shared" si="0"/>
        <v>13</v>
      </c>
      <c r="E47" s="65">
        <f t="shared" si="1"/>
        <v>10</v>
      </c>
      <c r="F47" s="65">
        <f t="shared" si="2"/>
        <v>2</v>
      </c>
      <c r="G47" s="109">
        <f t="shared" si="3"/>
        <v>45301.5772222222</v>
      </c>
      <c r="H47" s="110">
        <f t="shared" si="4"/>
        <v>4</v>
      </c>
    </row>
    <row r="48" spans="1:8">
      <c r="A48" s="55">
        <v>45305.5317592593</v>
      </c>
      <c r="B48" s="56">
        <v>45305.5415509259</v>
      </c>
      <c r="C48" s="35">
        <v>516</v>
      </c>
      <c r="D48" s="65">
        <f t="shared" si="0"/>
        <v>12</v>
      </c>
      <c r="E48" s="65">
        <f t="shared" si="1"/>
        <v>14</v>
      </c>
      <c r="F48" s="65">
        <f t="shared" si="2"/>
        <v>3</v>
      </c>
      <c r="G48" s="109">
        <f t="shared" si="3"/>
        <v>45305.5317592593</v>
      </c>
      <c r="H48" s="110">
        <f t="shared" si="4"/>
        <v>1</v>
      </c>
    </row>
    <row r="49" spans="1:8">
      <c r="A49" s="55">
        <v>45316.4093402778</v>
      </c>
      <c r="B49" s="56">
        <v>45316.4152199074</v>
      </c>
      <c r="C49" s="35">
        <v>190</v>
      </c>
      <c r="D49" s="65">
        <f t="shared" si="0"/>
        <v>9</v>
      </c>
      <c r="E49" s="65">
        <f t="shared" si="1"/>
        <v>25</v>
      </c>
      <c r="F49" s="65">
        <f t="shared" si="2"/>
        <v>4</v>
      </c>
      <c r="G49" s="109">
        <f t="shared" si="3"/>
        <v>45316.4093402778</v>
      </c>
      <c r="H49" s="110">
        <f t="shared" si="4"/>
        <v>5</v>
      </c>
    </row>
    <row r="50" spans="1:8">
      <c r="A50" s="55">
        <v>45296.8628819444</v>
      </c>
      <c r="B50" s="56">
        <v>45296.8768171296</v>
      </c>
      <c r="C50" s="35">
        <v>334</v>
      </c>
      <c r="D50" s="65">
        <f t="shared" si="0"/>
        <v>20</v>
      </c>
      <c r="E50" s="65">
        <f t="shared" si="1"/>
        <v>5</v>
      </c>
      <c r="F50" s="65">
        <f t="shared" si="2"/>
        <v>1</v>
      </c>
      <c r="G50" s="109">
        <f t="shared" si="3"/>
        <v>45296.8628819444</v>
      </c>
      <c r="H50" s="110">
        <f t="shared" si="4"/>
        <v>6</v>
      </c>
    </row>
    <row r="51" spans="1:8">
      <c r="A51" s="55">
        <v>45319.8946296296</v>
      </c>
      <c r="B51" s="56">
        <v>45319.9131365741</v>
      </c>
      <c r="C51" s="35">
        <v>263</v>
      </c>
      <c r="D51" s="65">
        <f t="shared" si="0"/>
        <v>21</v>
      </c>
      <c r="E51" s="65">
        <f t="shared" si="1"/>
        <v>28</v>
      </c>
      <c r="F51" s="65">
        <f t="shared" si="2"/>
        <v>5</v>
      </c>
      <c r="G51" s="109">
        <f t="shared" si="3"/>
        <v>45319.8946296296</v>
      </c>
      <c r="H51" s="110">
        <f t="shared" si="4"/>
        <v>1</v>
      </c>
    </row>
    <row r="52" spans="1:8">
      <c r="A52" s="55">
        <v>45299.5981481482</v>
      </c>
      <c r="B52" s="56">
        <v>45299.6116435185</v>
      </c>
      <c r="C52" s="35">
        <v>92</v>
      </c>
      <c r="D52" s="65">
        <f t="shared" si="0"/>
        <v>14</v>
      </c>
      <c r="E52" s="65">
        <f t="shared" si="1"/>
        <v>8</v>
      </c>
      <c r="F52" s="65">
        <f t="shared" si="2"/>
        <v>2</v>
      </c>
      <c r="G52" s="109">
        <f t="shared" si="3"/>
        <v>45299.5981481482</v>
      </c>
      <c r="H52" s="110">
        <f t="shared" si="4"/>
        <v>2</v>
      </c>
    </row>
    <row r="53" spans="1:8">
      <c r="A53" s="55">
        <v>45298.3516898148</v>
      </c>
      <c r="B53" s="56">
        <v>45298.3602199074</v>
      </c>
      <c r="C53" s="35">
        <v>565</v>
      </c>
      <c r="D53" s="65">
        <f t="shared" si="0"/>
        <v>8</v>
      </c>
      <c r="E53" s="65">
        <f t="shared" si="1"/>
        <v>7</v>
      </c>
      <c r="F53" s="65">
        <f t="shared" si="2"/>
        <v>2</v>
      </c>
      <c r="G53" s="109">
        <f t="shared" si="3"/>
        <v>45298.3516898148</v>
      </c>
      <c r="H53" s="110">
        <f t="shared" si="4"/>
        <v>1</v>
      </c>
    </row>
    <row r="54" spans="1:8">
      <c r="A54" s="55">
        <v>45310.2881481481</v>
      </c>
      <c r="B54" s="56">
        <v>45310.3069791667</v>
      </c>
      <c r="C54" s="35">
        <v>599</v>
      </c>
      <c r="D54" s="65">
        <f t="shared" si="0"/>
        <v>6</v>
      </c>
      <c r="E54" s="65">
        <f t="shared" si="1"/>
        <v>19</v>
      </c>
      <c r="F54" s="65">
        <f t="shared" si="2"/>
        <v>3</v>
      </c>
      <c r="G54" s="109">
        <f t="shared" si="3"/>
        <v>45310.2881481481</v>
      </c>
      <c r="H54" s="110">
        <f t="shared" si="4"/>
        <v>6</v>
      </c>
    </row>
    <row r="55" spans="1:8">
      <c r="A55" s="55">
        <v>45304.8158217593</v>
      </c>
      <c r="B55" s="56">
        <v>45304.8339236111</v>
      </c>
      <c r="C55" s="35">
        <v>569</v>
      </c>
      <c r="D55" s="65">
        <f t="shared" si="0"/>
        <v>19</v>
      </c>
      <c r="E55" s="65">
        <f t="shared" si="1"/>
        <v>13</v>
      </c>
      <c r="F55" s="65">
        <f t="shared" si="2"/>
        <v>2</v>
      </c>
      <c r="G55" s="109">
        <f t="shared" si="3"/>
        <v>45304.8158217593</v>
      </c>
      <c r="H55" s="110">
        <f t="shared" si="4"/>
        <v>7</v>
      </c>
    </row>
    <row r="56" spans="1:8">
      <c r="A56" s="55">
        <v>45302.7820601852</v>
      </c>
      <c r="B56" s="56">
        <v>45302.8026736111</v>
      </c>
      <c r="C56" s="35">
        <v>488</v>
      </c>
      <c r="D56" s="65">
        <f t="shared" si="0"/>
        <v>18</v>
      </c>
      <c r="E56" s="65">
        <f t="shared" si="1"/>
        <v>11</v>
      </c>
      <c r="F56" s="65">
        <f t="shared" si="2"/>
        <v>2</v>
      </c>
      <c r="G56" s="109">
        <f t="shared" si="3"/>
        <v>45302.7820601852</v>
      </c>
      <c r="H56" s="110">
        <f t="shared" si="4"/>
        <v>5</v>
      </c>
    </row>
    <row r="57" spans="1:8">
      <c r="A57" s="55">
        <v>45294.7978587963</v>
      </c>
      <c r="B57" s="56">
        <v>45294.8094907407</v>
      </c>
      <c r="C57" s="35">
        <v>196</v>
      </c>
      <c r="D57" s="65">
        <f t="shared" si="0"/>
        <v>19</v>
      </c>
      <c r="E57" s="65">
        <f t="shared" si="1"/>
        <v>3</v>
      </c>
      <c r="F57" s="65">
        <f t="shared" si="2"/>
        <v>1</v>
      </c>
      <c r="G57" s="109">
        <f t="shared" si="3"/>
        <v>45294.7978587963</v>
      </c>
      <c r="H57" s="110">
        <f t="shared" si="4"/>
        <v>4</v>
      </c>
    </row>
    <row r="58" spans="1:8">
      <c r="A58" s="55">
        <v>45302.7623611111</v>
      </c>
      <c r="B58" s="56">
        <v>45302.7827662037</v>
      </c>
      <c r="C58" s="35">
        <v>441</v>
      </c>
      <c r="D58" s="65">
        <f t="shared" si="0"/>
        <v>18</v>
      </c>
      <c r="E58" s="65">
        <f t="shared" si="1"/>
        <v>11</v>
      </c>
      <c r="F58" s="65">
        <f t="shared" si="2"/>
        <v>2</v>
      </c>
      <c r="G58" s="109">
        <f t="shared" si="3"/>
        <v>45302.7623611111</v>
      </c>
      <c r="H58" s="110">
        <f t="shared" si="4"/>
        <v>5</v>
      </c>
    </row>
    <row r="59" spans="1:8">
      <c r="A59" s="55">
        <v>45299.3678356481</v>
      </c>
      <c r="B59" s="56">
        <v>45299.3694791667</v>
      </c>
      <c r="C59" s="35">
        <v>41</v>
      </c>
      <c r="D59" s="65">
        <f t="shared" si="0"/>
        <v>8</v>
      </c>
      <c r="E59" s="65">
        <f t="shared" si="1"/>
        <v>8</v>
      </c>
      <c r="F59" s="65">
        <f t="shared" si="2"/>
        <v>2</v>
      </c>
      <c r="G59" s="109">
        <f t="shared" si="3"/>
        <v>45299.3678356481</v>
      </c>
      <c r="H59" s="110">
        <f t="shared" si="4"/>
        <v>2</v>
      </c>
    </row>
    <row r="60" spans="1:8">
      <c r="A60" s="55">
        <v>45307.400150463</v>
      </c>
      <c r="B60" s="56">
        <v>45307.4118634259</v>
      </c>
      <c r="C60" s="35">
        <v>272</v>
      </c>
      <c r="D60" s="65">
        <f t="shared" si="0"/>
        <v>9</v>
      </c>
      <c r="E60" s="65">
        <f t="shared" si="1"/>
        <v>16</v>
      </c>
      <c r="F60" s="65">
        <f t="shared" si="2"/>
        <v>3</v>
      </c>
      <c r="G60" s="109">
        <f t="shared" si="3"/>
        <v>45307.400150463</v>
      </c>
      <c r="H60" s="110">
        <f t="shared" si="4"/>
        <v>3</v>
      </c>
    </row>
    <row r="61" spans="1:8">
      <c r="A61" s="55">
        <v>45295.4715972222</v>
      </c>
      <c r="B61" s="56">
        <v>45295.4860069444</v>
      </c>
      <c r="C61" s="35">
        <v>36</v>
      </c>
      <c r="D61" s="65">
        <f t="shared" si="0"/>
        <v>11</v>
      </c>
      <c r="E61" s="65">
        <f t="shared" si="1"/>
        <v>4</v>
      </c>
      <c r="F61" s="65">
        <f t="shared" si="2"/>
        <v>1</v>
      </c>
      <c r="G61" s="109">
        <f t="shared" si="3"/>
        <v>45295.4715972222</v>
      </c>
      <c r="H61" s="110">
        <f t="shared" si="4"/>
        <v>5</v>
      </c>
    </row>
    <row r="62" spans="1:8">
      <c r="A62" s="55">
        <v>45310.5463425926</v>
      </c>
      <c r="B62" s="56">
        <v>45310.5653472222</v>
      </c>
      <c r="C62" s="35">
        <v>318</v>
      </c>
      <c r="D62" s="65">
        <f t="shared" si="0"/>
        <v>13</v>
      </c>
      <c r="E62" s="65">
        <f t="shared" si="1"/>
        <v>19</v>
      </c>
      <c r="F62" s="65">
        <f t="shared" si="2"/>
        <v>3</v>
      </c>
      <c r="G62" s="109">
        <f t="shared" si="3"/>
        <v>45310.5463425926</v>
      </c>
      <c r="H62" s="110">
        <f t="shared" si="4"/>
        <v>6</v>
      </c>
    </row>
    <row r="63" spans="1:8">
      <c r="A63" s="55">
        <v>45305.7114814815</v>
      </c>
      <c r="B63" s="56">
        <v>45305.7275231481</v>
      </c>
      <c r="C63" s="35">
        <v>359</v>
      </c>
      <c r="D63" s="65">
        <f t="shared" si="0"/>
        <v>17</v>
      </c>
      <c r="E63" s="65">
        <f t="shared" si="1"/>
        <v>14</v>
      </c>
      <c r="F63" s="65">
        <f t="shared" si="2"/>
        <v>3</v>
      </c>
      <c r="G63" s="109">
        <f t="shared" si="3"/>
        <v>45305.7114814815</v>
      </c>
      <c r="H63" s="110">
        <f t="shared" si="4"/>
        <v>1</v>
      </c>
    </row>
    <row r="64" spans="1:8">
      <c r="A64" s="55">
        <v>45306.4355439815</v>
      </c>
      <c r="B64" s="56">
        <v>45306.4536226852</v>
      </c>
      <c r="C64" s="35">
        <v>544</v>
      </c>
      <c r="D64" s="65">
        <f t="shared" si="0"/>
        <v>10</v>
      </c>
      <c r="E64" s="65">
        <f t="shared" si="1"/>
        <v>15</v>
      </c>
      <c r="F64" s="65">
        <f t="shared" si="2"/>
        <v>3</v>
      </c>
      <c r="G64" s="109">
        <f t="shared" si="3"/>
        <v>45306.4355439815</v>
      </c>
      <c r="H64" s="110">
        <f t="shared" si="4"/>
        <v>2</v>
      </c>
    </row>
    <row r="65" spans="1:8">
      <c r="A65" s="55">
        <v>45300.7043402778</v>
      </c>
      <c r="B65" s="56">
        <v>45300.7247222222</v>
      </c>
      <c r="C65" s="35">
        <v>98</v>
      </c>
      <c r="D65" s="65">
        <f t="shared" si="0"/>
        <v>16</v>
      </c>
      <c r="E65" s="65">
        <f t="shared" si="1"/>
        <v>9</v>
      </c>
      <c r="F65" s="65">
        <f t="shared" si="2"/>
        <v>2</v>
      </c>
      <c r="G65" s="109">
        <f t="shared" si="3"/>
        <v>45300.7043402778</v>
      </c>
      <c r="H65" s="110">
        <f t="shared" si="4"/>
        <v>3</v>
      </c>
    </row>
    <row r="66" spans="1:8">
      <c r="A66" s="55">
        <v>45313.7645949074</v>
      </c>
      <c r="B66" s="56">
        <v>45313.7770023148</v>
      </c>
      <c r="C66" s="35">
        <v>342</v>
      </c>
      <c r="D66" s="65">
        <f t="shared" si="0"/>
        <v>18</v>
      </c>
      <c r="E66" s="65">
        <f t="shared" si="1"/>
        <v>22</v>
      </c>
      <c r="F66" s="65">
        <f t="shared" si="2"/>
        <v>4</v>
      </c>
      <c r="G66" s="109">
        <f t="shared" si="3"/>
        <v>45313.7645949074</v>
      </c>
      <c r="H66" s="110">
        <f t="shared" si="4"/>
        <v>2</v>
      </c>
    </row>
    <row r="67" spans="1:8">
      <c r="A67" s="55">
        <v>45300.6076388889</v>
      </c>
      <c r="B67" s="56">
        <v>45300.6205787037</v>
      </c>
      <c r="C67" s="35">
        <v>205</v>
      </c>
      <c r="D67" s="65">
        <f t="shared" ref="D67:D130" si="5">HOUR(A67)</f>
        <v>14</v>
      </c>
      <c r="E67" s="65">
        <f t="shared" ref="E67:E130" si="6">DAY(A67)</f>
        <v>9</v>
      </c>
      <c r="F67" s="65">
        <f t="shared" ref="F67:F130" si="7">WEEKNUM(A67)</f>
        <v>2</v>
      </c>
      <c r="G67" s="109">
        <f t="shared" ref="G67:G130" si="8">A67</f>
        <v>45300.6076388889</v>
      </c>
      <c r="H67" s="110">
        <f t="shared" ref="H67:H130" si="9">WEEKDAY(A67)</f>
        <v>3</v>
      </c>
    </row>
    <row r="68" spans="1:8">
      <c r="A68" s="55">
        <v>45299.9039930556</v>
      </c>
      <c r="B68" s="56">
        <v>45299.9163194444</v>
      </c>
      <c r="C68" s="35">
        <v>468</v>
      </c>
      <c r="D68" s="65">
        <f t="shared" si="5"/>
        <v>21</v>
      </c>
      <c r="E68" s="65">
        <f t="shared" si="6"/>
        <v>8</v>
      </c>
      <c r="F68" s="65">
        <f t="shared" si="7"/>
        <v>2</v>
      </c>
      <c r="G68" s="109">
        <f t="shared" si="8"/>
        <v>45299.9039930556</v>
      </c>
      <c r="H68" s="110">
        <f t="shared" si="9"/>
        <v>2</v>
      </c>
    </row>
    <row r="69" spans="1:8">
      <c r="A69" s="55">
        <v>45310.7295717593</v>
      </c>
      <c r="B69" s="56">
        <v>45310.7428472222</v>
      </c>
      <c r="C69" s="35">
        <v>362</v>
      </c>
      <c r="D69" s="65">
        <f t="shared" si="5"/>
        <v>17</v>
      </c>
      <c r="E69" s="65">
        <f t="shared" si="6"/>
        <v>19</v>
      </c>
      <c r="F69" s="65">
        <f t="shared" si="7"/>
        <v>3</v>
      </c>
      <c r="G69" s="109">
        <f t="shared" si="8"/>
        <v>45310.7295717593</v>
      </c>
      <c r="H69" s="110">
        <f t="shared" si="9"/>
        <v>6</v>
      </c>
    </row>
    <row r="70" spans="1:8">
      <c r="A70" s="55">
        <v>45300.5470601852</v>
      </c>
      <c r="B70" s="56">
        <v>45300.5523148148</v>
      </c>
      <c r="C70" s="35">
        <v>333</v>
      </c>
      <c r="D70" s="65">
        <f t="shared" si="5"/>
        <v>13</v>
      </c>
      <c r="E70" s="65">
        <f t="shared" si="6"/>
        <v>9</v>
      </c>
      <c r="F70" s="65">
        <f t="shared" si="7"/>
        <v>2</v>
      </c>
      <c r="G70" s="109">
        <f t="shared" si="8"/>
        <v>45300.5470601852</v>
      </c>
      <c r="H70" s="110">
        <f t="shared" si="9"/>
        <v>3</v>
      </c>
    </row>
    <row r="71" spans="1:8">
      <c r="A71" s="55">
        <v>45316.9432638889</v>
      </c>
      <c r="B71" s="56">
        <v>45316.9463310185</v>
      </c>
      <c r="C71" s="35">
        <v>208</v>
      </c>
      <c r="D71" s="65">
        <f t="shared" si="5"/>
        <v>22</v>
      </c>
      <c r="E71" s="65">
        <f t="shared" si="6"/>
        <v>25</v>
      </c>
      <c r="F71" s="65">
        <f t="shared" si="7"/>
        <v>4</v>
      </c>
      <c r="G71" s="109">
        <f t="shared" si="8"/>
        <v>45316.9432638889</v>
      </c>
      <c r="H71" s="110">
        <f t="shared" si="9"/>
        <v>5</v>
      </c>
    </row>
    <row r="72" spans="1:8">
      <c r="A72" s="55">
        <v>45300.2941550926</v>
      </c>
      <c r="B72" s="56">
        <v>45300.3017708333</v>
      </c>
      <c r="C72" s="35">
        <v>139</v>
      </c>
      <c r="D72" s="65">
        <f t="shared" si="5"/>
        <v>7</v>
      </c>
      <c r="E72" s="65">
        <f t="shared" si="6"/>
        <v>9</v>
      </c>
      <c r="F72" s="65">
        <f t="shared" si="7"/>
        <v>2</v>
      </c>
      <c r="G72" s="109">
        <f t="shared" si="8"/>
        <v>45300.2941550926</v>
      </c>
      <c r="H72" s="110">
        <f t="shared" si="9"/>
        <v>3</v>
      </c>
    </row>
    <row r="73" spans="1:8">
      <c r="A73" s="55">
        <v>45306.6743402778</v>
      </c>
      <c r="B73" s="56">
        <v>45306.6810185185</v>
      </c>
      <c r="C73" s="35">
        <v>499</v>
      </c>
      <c r="D73" s="65">
        <f t="shared" si="5"/>
        <v>16</v>
      </c>
      <c r="E73" s="65">
        <f t="shared" si="6"/>
        <v>15</v>
      </c>
      <c r="F73" s="65">
        <f t="shared" si="7"/>
        <v>3</v>
      </c>
      <c r="G73" s="109">
        <f t="shared" si="8"/>
        <v>45306.6743402778</v>
      </c>
      <c r="H73" s="110">
        <f t="shared" si="9"/>
        <v>2</v>
      </c>
    </row>
    <row r="74" spans="1:8">
      <c r="A74" s="55">
        <v>45313.2980208333</v>
      </c>
      <c r="B74" s="56">
        <v>45313.3179398148</v>
      </c>
      <c r="C74" s="35">
        <v>586</v>
      </c>
      <c r="D74" s="65">
        <f t="shared" si="5"/>
        <v>7</v>
      </c>
      <c r="E74" s="65">
        <f t="shared" si="6"/>
        <v>22</v>
      </c>
      <c r="F74" s="65">
        <f t="shared" si="7"/>
        <v>4</v>
      </c>
      <c r="G74" s="109">
        <f t="shared" si="8"/>
        <v>45313.2980208333</v>
      </c>
      <c r="H74" s="110">
        <f t="shared" si="9"/>
        <v>2</v>
      </c>
    </row>
    <row r="75" spans="1:8">
      <c r="A75" s="55">
        <v>45311.5760763889</v>
      </c>
      <c r="B75" s="56">
        <v>45311.585787037</v>
      </c>
      <c r="C75" s="35">
        <v>471</v>
      </c>
      <c r="D75" s="65">
        <f t="shared" si="5"/>
        <v>13</v>
      </c>
      <c r="E75" s="65">
        <f t="shared" si="6"/>
        <v>20</v>
      </c>
      <c r="F75" s="65">
        <f t="shared" si="7"/>
        <v>3</v>
      </c>
      <c r="G75" s="109">
        <f t="shared" si="8"/>
        <v>45311.5760763889</v>
      </c>
      <c r="H75" s="110">
        <f t="shared" si="9"/>
        <v>7</v>
      </c>
    </row>
    <row r="76" spans="1:8">
      <c r="A76" s="55">
        <v>45311.3192939815</v>
      </c>
      <c r="B76" s="56">
        <v>45311.322337963</v>
      </c>
      <c r="C76" s="35">
        <v>222</v>
      </c>
      <c r="D76" s="65">
        <f t="shared" si="5"/>
        <v>7</v>
      </c>
      <c r="E76" s="65">
        <f t="shared" si="6"/>
        <v>20</v>
      </c>
      <c r="F76" s="65">
        <f t="shared" si="7"/>
        <v>3</v>
      </c>
      <c r="G76" s="109">
        <f t="shared" si="8"/>
        <v>45311.3192939815</v>
      </c>
      <c r="H76" s="110">
        <f t="shared" si="9"/>
        <v>7</v>
      </c>
    </row>
    <row r="77" spans="1:8">
      <c r="A77" s="55">
        <v>45297.2683796296</v>
      </c>
      <c r="B77" s="56">
        <v>45297.2854050926</v>
      </c>
      <c r="C77" s="35">
        <v>491</v>
      </c>
      <c r="D77" s="65">
        <f t="shared" si="5"/>
        <v>6</v>
      </c>
      <c r="E77" s="65">
        <f t="shared" si="6"/>
        <v>6</v>
      </c>
      <c r="F77" s="65">
        <f t="shared" si="7"/>
        <v>1</v>
      </c>
      <c r="G77" s="109">
        <f t="shared" si="8"/>
        <v>45297.2683796296</v>
      </c>
      <c r="H77" s="110">
        <f t="shared" si="9"/>
        <v>7</v>
      </c>
    </row>
    <row r="78" spans="1:8">
      <c r="A78" s="55">
        <v>45319.8366087963</v>
      </c>
      <c r="B78" s="56">
        <v>45319.8428356481</v>
      </c>
      <c r="C78" s="35">
        <v>280</v>
      </c>
      <c r="D78" s="65">
        <f t="shared" si="5"/>
        <v>20</v>
      </c>
      <c r="E78" s="65">
        <f t="shared" si="6"/>
        <v>28</v>
      </c>
      <c r="F78" s="65">
        <f t="shared" si="7"/>
        <v>5</v>
      </c>
      <c r="G78" s="109">
        <f t="shared" si="8"/>
        <v>45319.8366087963</v>
      </c>
      <c r="H78" s="110">
        <f t="shared" si="9"/>
        <v>1</v>
      </c>
    </row>
    <row r="79" spans="1:8">
      <c r="A79" s="55">
        <v>45300.4194791667</v>
      </c>
      <c r="B79" s="56">
        <v>45300.4240972222</v>
      </c>
      <c r="C79" s="35">
        <v>324</v>
      </c>
      <c r="D79" s="65">
        <f t="shared" si="5"/>
        <v>10</v>
      </c>
      <c r="E79" s="65">
        <f t="shared" si="6"/>
        <v>9</v>
      </c>
      <c r="F79" s="65">
        <f t="shared" si="7"/>
        <v>2</v>
      </c>
      <c r="G79" s="109">
        <f t="shared" si="8"/>
        <v>45300.4194791667</v>
      </c>
      <c r="H79" s="110">
        <f t="shared" si="9"/>
        <v>3</v>
      </c>
    </row>
    <row r="80" spans="1:8">
      <c r="A80" s="55">
        <v>45300.9406365741</v>
      </c>
      <c r="B80" s="56">
        <v>45300.9517013889</v>
      </c>
      <c r="C80" s="35">
        <v>92</v>
      </c>
      <c r="D80" s="65">
        <f t="shared" si="5"/>
        <v>22</v>
      </c>
      <c r="E80" s="65">
        <f t="shared" si="6"/>
        <v>9</v>
      </c>
      <c r="F80" s="65">
        <f t="shared" si="7"/>
        <v>2</v>
      </c>
      <c r="G80" s="109">
        <f t="shared" si="8"/>
        <v>45300.9406365741</v>
      </c>
      <c r="H80" s="110">
        <f t="shared" si="9"/>
        <v>3</v>
      </c>
    </row>
    <row r="81" spans="1:8">
      <c r="A81" s="55">
        <v>45292.3435532407</v>
      </c>
      <c r="B81" s="56">
        <v>45292.3640625</v>
      </c>
      <c r="C81" s="35">
        <v>599</v>
      </c>
      <c r="D81" s="65">
        <f t="shared" si="5"/>
        <v>8</v>
      </c>
      <c r="E81" s="65">
        <f t="shared" si="6"/>
        <v>1</v>
      </c>
      <c r="F81" s="65">
        <f t="shared" si="7"/>
        <v>1</v>
      </c>
      <c r="G81" s="109">
        <f t="shared" si="8"/>
        <v>45292.3435532407</v>
      </c>
      <c r="H81" s="110">
        <f t="shared" si="9"/>
        <v>2</v>
      </c>
    </row>
    <row r="82" spans="1:8">
      <c r="A82" s="55">
        <v>45316.4795486111</v>
      </c>
      <c r="B82" s="56">
        <v>45316.4956828704</v>
      </c>
      <c r="C82" s="35">
        <v>462</v>
      </c>
      <c r="D82" s="65">
        <f t="shared" si="5"/>
        <v>11</v>
      </c>
      <c r="E82" s="65">
        <f t="shared" si="6"/>
        <v>25</v>
      </c>
      <c r="F82" s="65">
        <f t="shared" si="7"/>
        <v>4</v>
      </c>
      <c r="G82" s="109">
        <f t="shared" si="8"/>
        <v>45316.4795486111</v>
      </c>
      <c r="H82" s="110">
        <f t="shared" si="9"/>
        <v>5</v>
      </c>
    </row>
    <row r="83" spans="1:8">
      <c r="A83" s="55">
        <v>45307.7266319444</v>
      </c>
      <c r="B83" s="56">
        <v>45307.7349305556</v>
      </c>
      <c r="C83" s="35">
        <v>117</v>
      </c>
      <c r="D83" s="65">
        <f t="shared" si="5"/>
        <v>17</v>
      </c>
      <c r="E83" s="65">
        <f t="shared" si="6"/>
        <v>16</v>
      </c>
      <c r="F83" s="65">
        <f t="shared" si="7"/>
        <v>3</v>
      </c>
      <c r="G83" s="109">
        <f t="shared" si="8"/>
        <v>45307.7266319444</v>
      </c>
      <c r="H83" s="110">
        <f t="shared" si="9"/>
        <v>3</v>
      </c>
    </row>
    <row r="84" spans="1:8">
      <c r="A84" s="55">
        <v>45304.3118634259</v>
      </c>
      <c r="B84" s="56">
        <v>45304.3200115741</v>
      </c>
      <c r="C84" s="35">
        <v>268</v>
      </c>
      <c r="D84" s="65">
        <f t="shared" si="5"/>
        <v>7</v>
      </c>
      <c r="E84" s="65">
        <f t="shared" si="6"/>
        <v>13</v>
      </c>
      <c r="F84" s="65">
        <f t="shared" si="7"/>
        <v>2</v>
      </c>
      <c r="G84" s="109">
        <f t="shared" si="8"/>
        <v>45304.3118634259</v>
      </c>
      <c r="H84" s="110">
        <f t="shared" si="9"/>
        <v>7</v>
      </c>
    </row>
    <row r="85" spans="1:8">
      <c r="A85" s="55">
        <v>45319.8514236111</v>
      </c>
      <c r="B85" s="56">
        <v>45319.8565625</v>
      </c>
      <c r="C85" s="35">
        <v>540</v>
      </c>
      <c r="D85" s="65">
        <f t="shared" si="5"/>
        <v>20</v>
      </c>
      <c r="E85" s="65">
        <f t="shared" si="6"/>
        <v>28</v>
      </c>
      <c r="F85" s="65">
        <f t="shared" si="7"/>
        <v>5</v>
      </c>
      <c r="G85" s="109">
        <f t="shared" si="8"/>
        <v>45319.8514236111</v>
      </c>
      <c r="H85" s="110">
        <f t="shared" si="9"/>
        <v>1</v>
      </c>
    </row>
    <row r="86" spans="1:8">
      <c r="A86" s="55">
        <v>45300.4578472222</v>
      </c>
      <c r="B86" s="56">
        <v>45300.4689236111</v>
      </c>
      <c r="C86" s="35">
        <v>506</v>
      </c>
      <c r="D86" s="65">
        <f t="shared" si="5"/>
        <v>10</v>
      </c>
      <c r="E86" s="65">
        <f t="shared" si="6"/>
        <v>9</v>
      </c>
      <c r="F86" s="65">
        <f t="shared" si="7"/>
        <v>2</v>
      </c>
      <c r="G86" s="109">
        <f t="shared" si="8"/>
        <v>45300.4578472222</v>
      </c>
      <c r="H86" s="110">
        <f t="shared" si="9"/>
        <v>3</v>
      </c>
    </row>
    <row r="87" spans="1:8">
      <c r="A87" s="55">
        <v>45297.6493055556</v>
      </c>
      <c r="B87" s="56">
        <v>45297.6630902778</v>
      </c>
      <c r="C87" s="35">
        <v>427</v>
      </c>
      <c r="D87" s="65">
        <f t="shared" si="5"/>
        <v>15</v>
      </c>
      <c r="E87" s="65">
        <f t="shared" si="6"/>
        <v>6</v>
      </c>
      <c r="F87" s="65">
        <f t="shared" si="7"/>
        <v>1</v>
      </c>
      <c r="G87" s="109">
        <f t="shared" si="8"/>
        <v>45297.6493055556</v>
      </c>
      <c r="H87" s="110">
        <f t="shared" si="9"/>
        <v>7</v>
      </c>
    </row>
    <row r="88" spans="1:8">
      <c r="A88" s="55">
        <v>45318.4388773148</v>
      </c>
      <c r="B88" s="56">
        <v>45318.4565509259</v>
      </c>
      <c r="C88" s="35">
        <v>308</v>
      </c>
      <c r="D88" s="65">
        <f t="shared" si="5"/>
        <v>10</v>
      </c>
      <c r="E88" s="65">
        <f t="shared" si="6"/>
        <v>27</v>
      </c>
      <c r="F88" s="65">
        <f t="shared" si="7"/>
        <v>4</v>
      </c>
      <c r="G88" s="109">
        <f t="shared" si="8"/>
        <v>45318.4388773148</v>
      </c>
      <c r="H88" s="110">
        <f t="shared" si="9"/>
        <v>7</v>
      </c>
    </row>
    <row r="89" spans="1:8">
      <c r="A89" s="55">
        <v>45306.4334722222</v>
      </c>
      <c r="B89" s="56">
        <v>45306.4483680556</v>
      </c>
      <c r="C89" s="35">
        <v>530</v>
      </c>
      <c r="D89" s="65">
        <f t="shared" si="5"/>
        <v>10</v>
      </c>
      <c r="E89" s="65">
        <f t="shared" si="6"/>
        <v>15</v>
      </c>
      <c r="F89" s="65">
        <f t="shared" si="7"/>
        <v>3</v>
      </c>
      <c r="G89" s="109">
        <f t="shared" si="8"/>
        <v>45306.4334722222</v>
      </c>
      <c r="H89" s="110">
        <f t="shared" si="9"/>
        <v>2</v>
      </c>
    </row>
    <row r="90" spans="1:8">
      <c r="A90" s="55">
        <v>45317.9290740741</v>
      </c>
      <c r="B90" s="56">
        <v>45317.9298263889</v>
      </c>
      <c r="C90" s="35">
        <v>299</v>
      </c>
      <c r="D90" s="65">
        <f t="shared" si="5"/>
        <v>22</v>
      </c>
      <c r="E90" s="65">
        <f t="shared" si="6"/>
        <v>26</v>
      </c>
      <c r="F90" s="65">
        <f t="shared" si="7"/>
        <v>4</v>
      </c>
      <c r="G90" s="109">
        <f t="shared" si="8"/>
        <v>45317.9290740741</v>
      </c>
      <c r="H90" s="110">
        <f t="shared" si="9"/>
        <v>6</v>
      </c>
    </row>
    <row r="91" spans="1:8">
      <c r="A91" s="55">
        <v>45302.7708217593</v>
      </c>
      <c r="B91" s="56">
        <v>45302.7791435185</v>
      </c>
      <c r="C91" s="35">
        <v>203</v>
      </c>
      <c r="D91" s="65">
        <f t="shared" si="5"/>
        <v>18</v>
      </c>
      <c r="E91" s="65">
        <f t="shared" si="6"/>
        <v>11</v>
      </c>
      <c r="F91" s="65">
        <f t="shared" si="7"/>
        <v>2</v>
      </c>
      <c r="G91" s="109">
        <f t="shared" si="8"/>
        <v>45302.7708217593</v>
      </c>
      <c r="H91" s="110">
        <f t="shared" si="9"/>
        <v>5</v>
      </c>
    </row>
    <row r="92" spans="1:8">
      <c r="A92" s="55">
        <v>45302.9069212963</v>
      </c>
      <c r="B92" s="56">
        <v>45302.9268402778</v>
      </c>
      <c r="C92" s="35">
        <v>400</v>
      </c>
      <c r="D92" s="65">
        <f t="shared" si="5"/>
        <v>21</v>
      </c>
      <c r="E92" s="65">
        <f t="shared" si="6"/>
        <v>11</v>
      </c>
      <c r="F92" s="65">
        <f t="shared" si="7"/>
        <v>2</v>
      </c>
      <c r="G92" s="109">
        <f t="shared" si="8"/>
        <v>45302.9069212963</v>
      </c>
      <c r="H92" s="110">
        <f t="shared" si="9"/>
        <v>5</v>
      </c>
    </row>
    <row r="93" spans="1:8">
      <c r="A93" s="55">
        <v>45310.7049305556</v>
      </c>
      <c r="B93" s="56">
        <v>45310.7256481481</v>
      </c>
      <c r="C93" s="35">
        <v>460</v>
      </c>
      <c r="D93" s="65">
        <f t="shared" si="5"/>
        <v>16</v>
      </c>
      <c r="E93" s="65">
        <f t="shared" si="6"/>
        <v>19</v>
      </c>
      <c r="F93" s="65">
        <f t="shared" si="7"/>
        <v>3</v>
      </c>
      <c r="G93" s="109">
        <f t="shared" si="8"/>
        <v>45310.7049305556</v>
      </c>
      <c r="H93" s="110">
        <f t="shared" si="9"/>
        <v>6</v>
      </c>
    </row>
    <row r="94" spans="1:8">
      <c r="A94" s="55">
        <v>45312.4197916667</v>
      </c>
      <c r="B94" s="56">
        <v>45312.4390046296</v>
      </c>
      <c r="C94" s="35">
        <v>281</v>
      </c>
      <c r="D94" s="65">
        <f t="shared" si="5"/>
        <v>10</v>
      </c>
      <c r="E94" s="65">
        <f t="shared" si="6"/>
        <v>21</v>
      </c>
      <c r="F94" s="65">
        <f t="shared" si="7"/>
        <v>4</v>
      </c>
      <c r="G94" s="109">
        <f t="shared" si="8"/>
        <v>45312.4197916667</v>
      </c>
      <c r="H94" s="110">
        <f t="shared" si="9"/>
        <v>1</v>
      </c>
    </row>
    <row r="95" spans="1:8">
      <c r="A95" s="55">
        <v>45309.7643518519</v>
      </c>
      <c r="B95" s="56">
        <v>45309.7820717593</v>
      </c>
      <c r="C95" s="35">
        <v>509</v>
      </c>
      <c r="D95" s="65">
        <f t="shared" si="5"/>
        <v>18</v>
      </c>
      <c r="E95" s="65">
        <f t="shared" si="6"/>
        <v>18</v>
      </c>
      <c r="F95" s="65">
        <f t="shared" si="7"/>
        <v>3</v>
      </c>
      <c r="G95" s="109">
        <f t="shared" si="8"/>
        <v>45309.7643518519</v>
      </c>
      <c r="H95" s="110">
        <f t="shared" si="9"/>
        <v>5</v>
      </c>
    </row>
    <row r="96" spans="1:8">
      <c r="A96" s="55">
        <v>45299.3521527778</v>
      </c>
      <c r="B96" s="56">
        <v>45299.3708680556</v>
      </c>
      <c r="C96" s="35">
        <v>112</v>
      </c>
      <c r="D96" s="65">
        <f t="shared" si="5"/>
        <v>8</v>
      </c>
      <c r="E96" s="65">
        <f t="shared" si="6"/>
        <v>8</v>
      </c>
      <c r="F96" s="65">
        <f t="shared" si="7"/>
        <v>2</v>
      </c>
      <c r="G96" s="109">
        <f t="shared" si="8"/>
        <v>45299.3521527778</v>
      </c>
      <c r="H96" s="110">
        <f t="shared" si="9"/>
        <v>2</v>
      </c>
    </row>
    <row r="97" spans="1:8">
      <c r="A97" s="55">
        <v>45302.3044212963</v>
      </c>
      <c r="B97" s="56">
        <v>45302.3139930556</v>
      </c>
      <c r="C97" s="35">
        <v>451</v>
      </c>
      <c r="D97" s="65">
        <f t="shared" si="5"/>
        <v>7</v>
      </c>
      <c r="E97" s="65">
        <f t="shared" si="6"/>
        <v>11</v>
      </c>
      <c r="F97" s="65">
        <f t="shared" si="7"/>
        <v>2</v>
      </c>
      <c r="G97" s="109">
        <f t="shared" si="8"/>
        <v>45302.3044212963</v>
      </c>
      <c r="H97" s="110">
        <f t="shared" si="9"/>
        <v>5</v>
      </c>
    </row>
    <row r="98" spans="1:8">
      <c r="A98" s="55">
        <v>45297.4660300926</v>
      </c>
      <c r="B98" s="56">
        <v>45297.4811689815</v>
      </c>
      <c r="C98" s="35">
        <v>401</v>
      </c>
      <c r="D98" s="65">
        <f t="shared" si="5"/>
        <v>11</v>
      </c>
      <c r="E98" s="65">
        <f t="shared" si="6"/>
        <v>6</v>
      </c>
      <c r="F98" s="65">
        <f t="shared" si="7"/>
        <v>1</v>
      </c>
      <c r="G98" s="109">
        <f t="shared" si="8"/>
        <v>45297.4660300926</v>
      </c>
      <c r="H98" s="110">
        <f t="shared" si="9"/>
        <v>7</v>
      </c>
    </row>
    <row r="99" spans="1:8">
      <c r="A99" s="55">
        <v>45306.6036574074</v>
      </c>
      <c r="B99" s="56">
        <v>45306.620150463</v>
      </c>
      <c r="C99" s="35">
        <v>19</v>
      </c>
      <c r="D99" s="65">
        <f t="shared" si="5"/>
        <v>14</v>
      </c>
      <c r="E99" s="65">
        <f t="shared" si="6"/>
        <v>15</v>
      </c>
      <c r="F99" s="65">
        <f t="shared" si="7"/>
        <v>3</v>
      </c>
      <c r="G99" s="109">
        <f t="shared" si="8"/>
        <v>45306.6036574074</v>
      </c>
      <c r="H99" s="110">
        <f t="shared" si="9"/>
        <v>2</v>
      </c>
    </row>
    <row r="100" spans="1:8">
      <c r="A100" s="55">
        <v>45303.6530902778</v>
      </c>
      <c r="B100" s="56">
        <v>45303.6701388889</v>
      </c>
      <c r="C100" s="35">
        <v>266</v>
      </c>
      <c r="D100" s="65">
        <f t="shared" si="5"/>
        <v>15</v>
      </c>
      <c r="E100" s="65">
        <f t="shared" si="6"/>
        <v>12</v>
      </c>
      <c r="F100" s="65">
        <f t="shared" si="7"/>
        <v>2</v>
      </c>
      <c r="G100" s="109">
        <f t="shared" si="8"/>
        <v>45303.6530902778</v>
      </c>
      <c r="H100" s="110">
        <f t="shared" si="9"/>
        <v>6</v>
      </c>
    </row>
    <row r="101" spans="1:8">
      <c r="A101" s="55">
        <v>45299.7752546296</v>
      </c>
      <c r="B101" s="56">
        <v>45299.7895717593</v>
      </c>
      <c r="C101" s="35">
        <v>312</v>
      </c>
      <c r="D101" s="65">
        <f t="shared" si="5"/>
        <v>18</v>
      </c>
      <c r="E101" s="65">
        <f t="shared" si="6"/>
        <v>8</v>
      </c>
      <c r="F101" s="65">
        <f t="shared" si="7"/>
        <v>2</v>
      </c>
      <c r="G101" s="109">
        <f t="shared" si="8"/>
        <v>45299.7752546296</v>
      </c>
      <c r="H101" s="110">
        <f t="shared" si="9"/>
        <v>2</v>
      </c>
    </row>
    <row r="102" spans="1:8">
      <c r="A102" s="55">
        <v>45319.3323842593</v>
      </c>
      <c r="B102" s="56">
        <v>45319.3507407407</v>
      </c>
      <c r="C102" s="35">
        <v>518</v>
      </c>
      <c r="D102" s="65">
        <f t="shared" si="5"/>
        <v>7</v>
      </c>
      <c r="E102" s="65">
        <f t="shared" si="6"/>
        <v>28</v>
      </c>
      <c r="F102" s="65">
        <f t="shared" si="7"/>
        <v>5</v>
      </c>
      <c r="G102" s="109">
        <f t="shared" si="8"/>
        <v>45319.3323842593</v>
      </c>
      <c r="H102" s="110">
        <f t="shared" si="9"/>
        <v>1</v>
      </c>
    </row>
    <row r="103" spans="1:8">
      <c r="A103" s="55">
        <v>45298.61375</v>
      </c>
      <c r="B103" s="56">
        <v>45298.6315277778</v>
      </c>
      <c r="C103" s="35">
        <v>150</v>
      </c>
      <c r="D103" s="65">
        <f t="shared" si="5"/>
        <v>14</v>
      </c>
      <c r="E103" s="65">
        <f t="shared" si="6"/>
        <v>7</v>
      </c>
      <c r="F103" s="65">
        <f t="shared" si="7"/>
        <v>2</v>
      </c>
      <c r="G103" s="109">
        <f t="shared" si="8"/>
        <v>45298.61375</v>
      </c>
      <c r="H103" s="110">
        <f t="shared" si="9"/>
        <v>1</v>
      </c>
    </row>
    <row r="104" spans="1:8">
      <c r="A104" s="55">
        <v>45303.4208101852</v>
      </c>
      <c r="B104" s="56">
        <v>45303.4284953704</v>
      </c>
      <c r="C104" s="35">
        <v>344</v>
      </c>
      <c r="D104" s="65">
        <f t="shared" si="5"/>
        <v>10</v>
      </c>
      <c r="E104" s="65">
        <f t="shared" si="6"/>
        <v>12</v>
      </c>
      <c r="F104" s="65">
        <f t="shared" si="7"/>
        <v>2</v>
      </c>
      <c r="G104" s="109">
        <f t="shared" si="8"/>
        <v>45303.4208101852</v>
      </c>
      <c r="H104" s="110">
        <f t="shared" si="9"/>
        <v>6</v>
      </c>
    </row>
    <row r="105" spans="1:8">
      <c r="A105" s="55">
        <v>45308.9571412037</v>
      </c>
      <c r="B105" s="56">
        <v>45308.9775115741</v>
      </c>
      <c r="C105" s="35">
        <v>178</v>
      </c>
      <c r="D105" s="65">
        <f t="shared" si="5"/>
        <v>22</v>
      </c>
      <c r="E105" s="65">
        <f t="shared" si="6"/>
        <v>17</v>
      </c>
      <c r="F105" s="65">
        <f t="shared" si="7"/>
        <v>3</v>
      </c>
      <c r="G105" s="109">
        <f t="shared" si="8"/>
        <v>45308.9571412037</v>
      </c>
      <c r="H105" s="110">
        <f t="shared" si="9"/>
        <v>4</v>
      </c>
    </row>
    <row r="106" spans="1:8">
      <c r="A106" s="55">
        <v>45295.8362152778</v>
      </c>
      <c r="B106" s="56">
        <v>45295.8547800926</v>
      </c>
      <c r="C106" s="35">
        <v>241</v>
      </c>
      <c r="D106" s="65">
        <f t="shared" si="5"/>
        <v>20</v>
      </c>
      <c r="E106" s="65">
        <f t="shared" si="6"/>
        <v>4</v>
      </c>
      <c r="F106" s="65">
        <f t="shared" si="7"/>
        <v>1</v>
      </c>
      <c r="G106" s="109">
        <f t="shared" si="8"/>
        <v>45295.8362152778</v>
      </c>
      <c r="H106" s="110">
        <f t="shared" si="9"/>
        <v>5</v>
      </c>
    </row>
    <row r="107" spans="1:8">
      <c r="A107" s="55">
        <v>45309.3954050926</v>
      </c>
      <c r="B107" s="56">
        <v>45309.412037037</v>
      </c>
      <c r="C107" s="35">
        <v>278</v>
      </c>
      <c r="D107" s="65">
        <f t="shared" si="5"/>
        <v>9</v>
      </c>
      <c r="E107" s="65">
        <f t="shared" si="6"/>
        <v>18</v>
      </c>
      <c r="F107" s="65">
        <f t="shared" si="7"/>
        <v>3</v>
      </c>
      <c r="G107" s="109">
        <f t="shared" si="8"/>
        <v>45309.3954050926</v>
      </c>
      <c r="H107" s="110">
        <f t="shared" si="9"/>
        <v>5</v>
      </c>
    </row>
    <row r="108" spans="1:8">
      <c r="A108" s="55">
        <v>45299.8761458333</v>
      </c>
      <c r="B108" s="56">
        <v>45299.8901388889</v>
      </c>
      <c r="C108" s="35">
        <v>345</v>
      </c>
      <c r="D108" s="65">
        <f t="shared" si="5"/>
        <v>21</v>
      </c>
      <c r="E108" s="65">
        <f t="shared" si="6"/>
        <v>8</v>
      </c>
      <c r="F108" s="65">
        <f t="shared" si="7"/>
        <v>2</v>
      </c>
      <c r="G108" s="109">
        <f t="shared" si="8"/>
        <v>45299.8761458333</v>
      </c>
      <c r="H108" s="110">
        <f t="shared" si="9"/>
        <v>2</v>
      </c>
    </row>
    <row r="109" spans="1:8">
      <c r="A109" s="55">
        <v>45312.7966203704</v>
      </c>
      <c r="B109" s="56">
        <v>45312.7983796296</v>
      </c>
      <c r="C109" s="35">
        <v>48</v>
      </c>
      <c r="D109" s="65">
        <f t="shared" si="5"/>
        <v>19</v>
      </c>
      <c r="E109" s="65">
        <f t="shared" si="6"/>
        <v>21</v>
      </c>
      <c r="F109" s="65">
        <f t="shared" si="7"/>
        <v>4</v>
      </c>
      <c r="G109" s="109">
        <f t="shared" si="8"/>
        <v>45312.7966203704</v>
      </c>
      <c r="H109" s="110">
        <f t="shared" si="9"/>
        <v>1</v>
      </c>
    </row>
    <row r="110" spans="1:8">
      <c r="A110" s="55">
        <v>45303.8179050926</v>
      </c>
      <c r="B110" s="56">
        <v>45303.8358217593</v>
      </c>
      <c r="C110" s="35">
        <v>168</v>
      </c>
      <c r="D110" s="65">
        <f t="shared" si="5"/>
        <v>19</v>
      </c>
      <c r="E110" s="65">
        <f t="shared" si="6"/>
        <v>12</v>
      </c>
      <c r="F110" s="65">
        <f t="shared" si="7"/>
        <v>2</v>
      </c>
      <c r="G110" s="109">
        <f t="shared" si="8"/>
        <v>45303.8179050926</v>
      </c>
      <c r="H110" s="110">
        <f t="shared" si="9"/>
        <v>6</v>
      </c>
    </row>
    <row r="111" spans="1:8">
      <c r="A111" s="55">
        <v>45314.7176851852</v>
      </c>
      <c r="B111" s="56">
        <v>45314.728912037</v>
      </c>
      <c r="C111" s="35">
        <v>251</v>
      </c>
      <c r="D111" s="65">
        <f t="shared" si="5"/>
        <v>17</v>
      </c>
      <c r="E111" s="65">
        <f t="shared" si="6"/>
        <v>23</v>
      </c>
      <c r="F111" s="65">
        <f t="shared" si="7"/>
        <v>4</v>
      </c>
      <c r="G111" s="109">
        <f t="shared" si="8"/>
        <v>45314.7176851852</v>
      </c>
      <c r="H111" s="110">
        <f t="shared" si="9"/>
        <v>3</v>
      </c>
    </row>
    <row r="112" spans="1:8">
      <c r="A112" s="55">
        <v>45293.7619444444</v>
      </c>
      <c r="B112" s="56">
        <v>45293.7655324074</v>
      </c>
      <c r="C112" s="35">
        <v>475</v>
      </c>
      <c r="D112" s="65">
        <f t="shared" si="5"/>
        <v>18</v>
      </c>
      <c r="E112" s="65">
        <f t="shared" si="6"/>
        <v>2</v>
      </c>
      <c r="F112" s="65">
        <f t="shared" si="7"/>
        <v>1</v>
      </c>
      <c r="G112" s="109">
        <f t="shared" si="8"/>
        <v>45293.7619444444</v>
      </c>
      <c r="H112" s="110">
        <f t="shared" si="9"/>
        <v>3</v>
      </c>
    </row>
    <row r="113" spans="1:8">
      <c r="A113" s="55">
        <v>45317.6771759259</v>
      </c>
      <c r="B113" s="56">
        <v>45317.6965162037</v>
      </c>
      <c r="C113" s="35">
        <v>588</v>
      </c>
      <c r="D113" s="65">
        <f t="shared" si="5"/>
        <v>16</v>
      </c>
      <c r="E113" s="65">
        <f t="shared" si="6"/>
        <v>26</v>
      </c>
      <c r="F113" s="65">
        <f t="shared" si="7"/>
        <v>4</v>
      </c>
      <c r="G113" s="109">
        <f t="shared" si="8"/>
        <v>45317.6771759259</v>
      </c>
      <c r="H113" s="110">
        <f t="shared" si="9"/>
        <v>6</v>
      </c>
    </row>
    <row r="114" spans="1:8">
      <c r="A114" s="55">
        <v>45302.4520486111</v>
      </c>
      <c r="B114" s="56">
        <v>45302.4668634259</v>
      </c>
      <c r="C114" s="35">
        <v>12</v>
      </c>
      <c r="D114" s="65">
        <f t="shared" si="5"/>
        <v>10</v>
      </c>
      <c r="E114" s="65">
        <f t="shared" si="6"/>
        <v>11</v>
      </c>
      <c r="F114" s="65">
        <f t="shared" si="7"/>
        <v>2</v>
      </c>
      <c r="G114" s="109">
        <f t="shared" si="8"/>
        <v>45302.4520486111</v>
      </c>
      <c r="H114" s="110">
        <f t="shared" si="9"/>
        <v>5</v>
      </c>
    </row>
    <row r="115" spans="1:8">
      <c r="A115" s="55">
        <v>45313.2555555556</v>
      </c>
      <c r="B115" s="56">
        <v>45313.2647337963</v>
      </c>
      <c r="C115" s="35">
        <v>253</v>
      </c>
      <c r="D115" s="65">
        <f t="shared" si="5"/>
        <v>6</v>
      </c>
      <c r="E115" s="65">
        <f t="shared" si="6"/>
        <v>22</v>
      </c>
      <c r="F115" s="65">
        <f t="shared" si="7"/>
        <v>4</v>
      </c>
      <c r="G115" s="109">
        <f t="shared" si="8"/>
        <v>45313.2555555556</v>
      </c>
      <c r="H115" s="110">
        <f t="shared" si="9"/>
        <v>2</v>
      </c>
    </row>
    <row r="116" spans="1:8">
      <c r="A116" s="55">
        <v>45308.4076851852</v>
      </c>
      <c r="B116" s="56">
        <v>45308.4196643519</v>
      </c>
      <c r="C116" s="35">
        <v>469</v>
      </c>
      <c r="D116" s="65">
        <f t="shared" si="5"/>
        <v>9</v>
      </c>
      <c r="E116" s="65">
        <f t="shared" si="6"/>
        <v>17</v>
      </c>
      <c r="F116" s="65">
        <f t="shared" si="7"/>
        <v>3</v>
      </c>
      <c r="G116" s="109">
        <f t="shared" si="8"/>
        <v>45308.4076851852</v>
      </c>
      <c r="H116" s="110">
        <f t="shared" si="9"/>
        <v>4</v>
      </c>
    </row>
    <row r="117" spans="1:8">
      <c r="A117" s="55">
        <v>45315.9301967593</v>
      </c>
      <c r="B117" s="56">
        <v>45315.9461342593</v>
      </c>
      <c r="C117" s="35">
        <v>41</v>
      </c>
      <c r="D117" s="65">
        <f t="shared" si="5"/>
        <v>22</v>
      </c>
      <c r="E117" s="65">
        <f t="shared" si="6"/>
        <v>24</v>
      </c>
      <c r="F117" s="65">
        <f t="shared" si="7"/>
        <v>4</v>
      </c>
      <c r="G117" s="109">
        <f t="shared" si="8"/>
        <v>45315.9301967593</v>
      </c>
      <c r="H117" s="110">
        <f t="shared" si="9"/>
        <v>4</v>
      </c>
    </row>
    <row r="118" spans="1:8">
      <c r="A118" s="55">
        <v>45314.8367708333</v>
      </c>
      <c r="B118" s="56">
        <v>45314.839375</v>
      </c>
      <c r="C118" s="35">
        <v>339</v>
      </c>
      <c r="D118" s="65">
        <f t="shared" si="5"/>
        <v>20</v>
      </c>
      <c r="E118" s="65">
        <f t="shared" si="6"/>
        <v>23</v>
      </c>
      <c r="F118" s="65">
        <f t="shared" si="7"/>
        <v>4</v>
      </c>
      <c r="G118" s="109">
        <f t="shared" si="8"/>
        <v>45314.8367708333</v>
      </c>
      <c r="H118" s="110">
        <f t="shared" si="9"/>
        <v>3</v>
      </c>
    </row>
    <row r="119" spans="1:8">
      <c r="A119" s="55">
        <v>45314.6837731482</v>
      </c>
      <c r="B119" s="56">
        <v>45314.697037037</v>
      </c>
      <c r="C119" s="35">
        <v>311</v>
      </c>
      <c r="D119" s="65">
        <f t="shared" si="5"/>
        <v>16</v>
      </c>
      <c r="E119" s="65">
        <f t="shared" si="6"/>
        <v>23</v>
      </c>
      <c r="F119" s="65">
        <f t="shared" si="7"/>
        <v>4</v>
      </c>
      <c r="G119" s="109">
        <f t="shared" si="8"/>
        <v>45314.6837731482</v>
      </c>
      <c r="H119" s="110">
        <f t="shared" si="9"/>
        <v>3</v>
      </c>
    </row>
    <row r="120" spans="1:8">
      <c r="A120" s="55">
        <v>45312.5190740741</v>
      </c>
      <c r="B120" s="56">
        <v>45312.5251736111</v>
      </c>
      <c r="C120" s="35">
        <v>433</v>
      </c>
      <c r="D120" s="65">
        <f t="shared" si="5"/>
        <v>12</v>
      </c>
      <c r="E120" s="65">
        <f t="shared" si="6"/>
        <v>21</v>
      </c>
      <c r="F120" s="65">
        <f t="shared" si="7"/>
        <v>4</v>
      </c>
      <c r="G120" s="109">
        <f t="shared" si="8"/>
        <v>45312.5190740741</v>
      </c>
      <c r="H120" s="110">
        <f t="shared" si="9"/>
        <v>1</v>
      </c>
    </row>
    <row r="121" spans="1:8">
      <c r="A121" s="55">
        <v>45305.6960185185</v>
      </c>
      <c r="B121" s="56">
        <v>45305.7055787037</v>
      </c>
      <c r="C121" s="35">
        <v>166</v>
      </c>
      <c r="D121" s="65">
        <f t="shared" si="5"/>
        <v>16</v>
      </c>
      <c r="E121" s="65">
        <f t="shared" si="6"/>
        <v>14</v>
      </c>
      <c r="F121" s="65">
        <f t="shared" si="7"/>
        <v>3</v>
      </c>
      <c r="G121" s="109">
        <f t="shared" si="8"/>
        <v>45305.6960185185</v>
      </c>
      <c r="H121" s="110">
        <f t="shared" si="9"/>
        <v>1</v>
      </c>
    </row>
    <row r="122" spans="1:8">
      <c r="A122" s="55">
        <v>45295.7438425926</v>
      </c>
      <c r="B122" s="56">
        <v>45295.7577199074</v>
      </c>
      <c r="C122" s="35">
        <v>71</v>
      </c>
      <c r="D122" s="65">
        <f t="shared" si="5"/>
        <v>17</v>
      </c>
      <c r="E122" s="65">
        <f t="shared" si="6"/>
        <v>4</v>
      </c>
      <c r="F122" s="65">
        <f t="shared" si="7"/>
        <v>1</v>
      </c>
      <c r="G122" s="109">
        <f t="shared" si="8"/>
        <v>45295.7438425926</v>
      </c>
      <c r="H122" s="110">
        <f t="shared" si="9"/>
        <v>5</v>
      </c>
    </row>
    <row r="123" spans="1:8">
      <c r="A123" s="55">
        <v>45305.3046064815</v>
      </c>
      <c r="B123" s="56">
        <v>45305.3126967593</v>
      </c>
      <c r="C123" s="35">
        <v>370</v>
      </c>
      <c r="D123" s="65">
        <f t="shared" si="5"/>
        <v>7</v>
      </c>
      <c r="E123" s="65">
        <f t="shared" si="6"/>
        <v>14</v>
      </c>
      <c r="F123" s="65">
        <f t="shared" si="7"/>
        <v>3</v>
      </c>
      <c r="G123" s="109">
        <f t="shared" si="8"/>
        <v>45305.3046064815</v>
      </c>
      <c r="H123" s="110">
        <f t="shared" si="9"/>
        <v>1</v>
      </c>
    </row>
    <row r="124" spans="1:8">
      <c r="A124" s="55">
        <v>45295.7462384259</v>
      </c>
      <c r="B124" s="56">
        <v>45295.7556365741</v>
      </c>
      <c r="C124" s="35">
        <v>127</v>
      </c>
      <c r="D124" s="65">
        <f t="shared" si="5"/>
        <v>17</v>
      </c>
      <c r="E124" s="65">
        <f t="shared" si="6"/>
        <v>4</v>
      </c>
      <c r="F124" s="65">
        <f t="shared" si="7"/>
        <v>1</v>
      </c>
      <c r="G124" s="109">
        <f t="shared" si="8"/>
        <v>45295.7462384259</v>
      </c>
      <c r="H124" s="110">
        <f t="shared" si="9"/>
        <v>5</v>
      </c>
    </row>
    <row r="125" spans="1:8">
      <c r="A125" s="55">
        <v>45313.2770717593</v>
      </c>
      <c r="B125" s="56">
        <v>45313.2933564815</v>
      </c>
      <c r="C125" s="35">
        <v>283</v>
      </c>
      <c r="D125" s="65">
        <f t="shared" si="5"/>
        <v>6</v>
      </c>
      <c r="E125" s="65">
        <f t="shared" si="6"/>
        <v>22</v>
      </c>
      <c r="F125" s="65">
        <f t="shared" si="7"/>
        <v>4</v>
      </c>
      <c r="G125" s="109">
        <f t="shared" si="8"/>
        <v>45313.2770717593</v>
      </c>
      <c r="H125" s="110">
        <f t="shared" si="9"/>
        <v>2</v>
      </c>
    </row>
    <row r="126" spans="1:8">
      <c r="A126" s="55">
        <v>45302.7084606482</v>
      </c>
      <c r="B126" s="56">
        <v>45302.7125462963</v>
      </c>
      <c r="C126" s="35">
        <v>589</v>
      </c>
      <c r="D126" s="65">
        <f t="shared" si="5"/>
        <v>17</v>
      </c>
      <c r="E126" s="65">
        <f t="shared" si="6"/>
        <v>11</v>
      </c>
      <c r="F126" s="65">
        <f t="shared" si="7"/>
        <v>2</v>
      </c>
      <c r="G126" s="109">
        <f t="shared" si="8"/>
        <v>45302.7084606482</v>
      </c>
      <c r="H126" s="110">
        <f t="shared" si="9"/>
        <v>5</v>
      </c>
    </row>
    <row r="127" spans="1:8">
      <c r="A127" s="55">
        <v>45315.9259722222</v>
      </c>
      <c r="B127" s="56">
        <v>45315.9366087963</v>
      </c>
      <c r="C127" s="35">
        <v>474</v>
      </c>
      <c r="D127" s="65">
        <f t="shared" si="5"/>
        <v>22</v>
      </c>
      <c r="E127" s="65">
        <f t="shared" si="6"/>
        <v>24</v>
      </c>
      <c r="F127" s="65">
        <f t="shared" si="7"/>
        <v>4</v>
      </c>
      <c r="G127" s="109">
        <f t="shared" si="8"/>
        <v>45315.9259722222</v>
      </c>
      <c r="H127" s="110">
        <f t="shared" si="9"/>
        <v>4</v>
      </c>
    </row>
    <row r="128" spans="1:8">
      <c r="A128" s="55">
        <v>45310.3722569444</v>
      </c>
      <c r="B128" s="56">
        <v>45310.3766319444</v>
      </c>
      <c r="C128" s="35">
        <v>171</v>
      </c>
      <c r="D128" s="65">
        <f t="shared" si="5"/>
        <v>8</v>
      </c>
      <c r="E128" s="65">
        <f t="shared" si="6"/>
        <v>19</v>
      </c>
      <c r="F128" s="65">
        <f t="shared" si="7"/>
        <v>3</v>
      </c>
      <c r="G128" s="109">
        <f t="shared" si="8"/>
        <v>45310.3722569444</v>
      </c>
      <c r="H128" s="110">
        <f t="shared" si="9"/>
        <v>6</v>
      </c>
    </row>
    <row r="129" spans="1:8">
      <c r="A129" s="55">
        <v>45311.8515856481</v>
      </c>
      <c r="B129" s="56">
        <v>45311.8573842593</v>
      </c>
      <c r="C129" s="35">
        <v>534</v>
      </c>
      <c r="D129" s="65">
        <f t="shared" si="5"/>
        <v>20</v>
      </c>
      <c r="E129" s="65">
        <f t="shared" si="6"/>
        <v>20</v>
      </c>
      <c r="F129" s="65">
        <f t="shared" si="7"/>
        <v>3</v>
      </c>
      <c r="G129" s="109">
        <f t="shared" si="8"/>
        <v>45311.8515856481</v>
      </c>
      <c r="H129" s="110">
        <f t="shared" si="9"/>
        <v>7</v>
      </c>
    </row>
    <row r="130" spans="1:8">
      <c r="A130" s="55">
        <v>45308.6265509259</v>
      </c>
      <c r="B130" s="56">
        <v>45308.6366087963</v>
      </c>
      <c r="C130" s="35">
        <v>66</v>
      </c>
      <c r="D130" s="65">
        <f t="shared" si="5"/>
        <v>15</v>
      </c>
      <c r="E130" s="65">
        <f t="shared" si="6"/>
        <v>17</v>
      </c>
      <c r="F130" s="65">
        <f t="shared" si="7"/>
        <v>3</v>
      </c>
      <c r="G130" s="109">
        <f t="shared" si="8"/>
        <v>45308.6265509259</v>
      </c>
      <c r="H130" s="110">
        <f t="shared" si="9"/>
        <v>4</v>
      </c>
    </row>
    <row r="131" spans="1:8">
      <c r="A131" s="55">
        <v>45300.6389699074</v>
      </c>
      <c r="B131" s="56">
        <v>45300.639837963</v>
      </c>
      <c r="C131" s="35">
        <v>519</v>
      </c>
      <c r="D131" s="65">
        <f t="shared" ref="D131:D194" si="10">HOUR(A131)</f>
        <v>15</v>
      </c>
      <c r="E131" s="65">
        <f t="shared" ref="E131:E194" si="11">DAY(A131)</f>
        <v>9</v>
      </c>
      <c r="F131" s="65">
        <f t="shared" ref="F131:F194" si="12">WEEKNUM(A131)</f>
        <v>2</v>
      </c>
      <c r="G131" s="109">
        <f t="shared" ref="G131:G194" si="13">A131</f>
        <v>45300.6389699074</v>
      </c>
      <c r="H131" s="110">
        <f t="shared" ref="H131:H194" si="14">WEEKDAY(A131)</f>
        <v>3</v>
      </c>
    </row>
    <row r="132" spans="1:8">
      <c r="A132" s="55">
        <v>45308.711400463</v>
      </c>
      <c r="B132" s="56">
        <v>45308.7296759259</v>
      </c>
      <c r="C132" s="35">
        <v>53</v>
      </c>
      <c r="D132" s="65">
        <f t="shared" si="10"/>
        <v>17</v>
      </c>
      <c r="E132" s="65">
        <f t="shared" si="11"/>
        <v>17</v>
      </c>
      <c r="F132" s="65">
        <f t="shared" si="12"/>
        <v>3</v>
      </c>
      <c r="G132" s="109">
        <f t="shared" si="13"/>
        <v>45308.711400463</v>
      </c>
      <c r="H132" s="110">
        <f t="shared" si="14"/>
        <v>4</v>
      </c>
    </row>
    <row r="133" spans="1:8">
      <c r="A133" s="55">
        <v>45305.781712963</v>
      </c>
      <c r="B133" s="56">
        <v>45305.7923032407</v>
      </c>
      <c r="C133" s="35">
        <v>306</v>
      </c>
      <c r="D133" s="65">
        <f t="shared" si="10"/>
        <v>18</v>
      </c>
      <c r="E133" s="65">
        <f t="shared" si="11"/>
        <v>14</v>
      </c>
      <c r="F133" s="65">
        <f t="shared" si="12"/>
        <v>3</v>
      </c>
      <c r="G133" s="109">
        <f t="shared" si="13"/>
        <v>45305.781712963</v>
      </c>
      <c r="H133" s="110">
        <f t="shared" si="14"/>
        <v>1</v>
      </c>
    </row>
    <row r="134" spans="1:8">
      <c r="A134" s="55">
        <v>45311.8706481481</v>
      </c>
      <c r="B134" s="56">
        <v>45311.8799189815</v>
      </c>
      <c r="C134" s="35">
        <v>100</v>
      </c>
      <c r="D134" s="65">
        <f t="shared" si="10"/>
        <v>20</v>
      </c>
      <c r="E134" s="65">
        <f t="shared" si="11"/>
        <v>20</v>
      </c>
      <c r="F134" s="65">
        <f t="shared" si="12"/>
        <v>3</v>
      </c>
      <c r="G134" s="109">
        <f t="shared" si="13"/>
        <v>45311.8706481481</v>
      </c>
      <c r="H134" s="110">
        <f t="shared" si="14"/>
        <v>7</v>
      </c>
    </row>
    <row r="135" spans="1:8">
      <c r="A135" s="55">
        <v>45294.7884143519</v>
      </c>
      <c r="B135" s="56">
        <v>45294.8067824074</v>
      </c>
      <c r="C135" s="35">
        <v>357</v>
      </c>
      <c r="D135" s="65">
        <f t="shared" si="10"/>
        <v>18</v>
      </c>
      <c r="E135" s="65">
        <f t="shared" si="11"/>
        <v>3</v>
      </c>
      <c r="F135" s="65">
        <f t="shared" si="12"/>
        <v>1</v>
      </c>
      <c r="G135" s="109">
        <f t="shared" si="13"/>
        <v>45294.7884143519</v>
      </c>
      <c r="H135" s="110">
        <f t="shared" si="14"/>
        <v>4</v>
      </c>
    </row>
    <row r="136" spans="1:8">
      <c r="A136" s="55">
        <v>45298.7241435185</v>
      </c>
      <c r="B136" s="56">
        <v>45298.7442476852</v>
      </c>
      <c r="C136" s="35">
        <v>161</v>
      </c>
      <c r="D136" s="65">
        <f t="shared" si="10"/>
        <v>17</v>
      </c>
      <c r="E136" s="65">
        <f t="shared" si="11"/>
        <v>7</v>
      </c>
      <c r="F136" s="65">
        <f t="shared" si="12"/>
        <v>2</v>
      </c>
      <c r="G136" s="109">
        <f t="shared" si="13"/>
        <v>45298.7241435185</v>
      </c>
      <c r="H136" s="110">
        <f t="shared" si="14"/>
        <v>1</v>
      </c>
    </row>
    <row r="137" spans="1:8">
      <c r="A137" s="55">
        <v>45296.3415393519</v>
      </c>
      <c r="B137" s="56">
        <v>45296.3571180556</v>
      </c>
      <c r="C137" s="35">
        <v>515</v>
      </c>
      <c r="D137" s="65">
        <f t="shared" si="10"/>
        <v>8</v>
      </c>
      <c r="E137" s="65">
        <f t="shared" si="11"/>
        <v>5</v>
      </c>
      <c r="F137" s="65">
        <f t="shared" si="12"/>
        <v>1</v>
      </c>
      <c r="G137" s="109">
        <f t="shared" si="13"/>
        <v>45296.3415393519</v>
      </c>
      <c r="H137" s="110">
        <f t="shared" si="14"/>
        <v>6</v>
      </c>
    </row>
    <row r="138" spans="1:8">
      <c r="A138" s="55">
        <v>45312.7053240741</v>
      </c>
      <c r="B138" s="56">
        <v>45312.7135069444</v>
      </c>
      <c r="C138" s="35">
        <v>164</v>
      </c>
      <c r="D138" s="65">
        <f t="shared" si="10"/>
        <v>16</v>
      </c>
      <c r="E138" s="65">
        <f t="shared" si="11"/>
        <v>21</v>
      </c>
      <c r="F138" s="65">
        <f t="shared" si="12"/>
        <v>4</v>
      </c>
      <c r="G138" s="109">
        <f t="shared" si="13"/>
        <v>45312.7053240741</v>
      </c>
      <c r="H138" s="110">
        <f t="shared" si="14"/>
        <v>1</v>
      </c>
    </row>
    <row r="139" spans="1:8">
      <c r="A139" s="55">
        <v>45300.3073148148</v>
      </c>
      <c r="B139" s="56">
        <v>45300.3097569444</v>
      </c>
      <c r="C139" s="35">
        <v>327</v>
      </c>
      <c r="D139" s="65">
        <f t="shared" si="10"/>
        <v>7</v>
      </c>
      <c r="E139" s="65">
        <f t="shared" si="11"/>
        <v>9</v>
      </c>
      <c r="F139" s="65">
        <f t="shared" si="12"/>
        <v>2</v>
      </c>
      <c r="G139" s="109">
        <f t="shared" si="13"/>
        <v>45300.3073148148</v>
      </c>
      <c r="H139" s="110">
        <f t="shared" si="14"/>
        <v>3</v>
      </c>
    </row>
    <row r="140" spans="1:8">
      <c r="A140" s="55">
        <v>45319.3608564815</v>
      </c>
      <c r="B140" s="56">
        <v>45319.3735648148</v>
      </c>
      <c r="C140" s="35">
        <v>403</v>
      </c>
      <c r="D140" s="65">
        <f t="shared" si="10"/>
        <v>8</v>
      </c>
      <c r="E140" s="65">
        <f t="shared" si="11"/>
        <v>28</v>
      </c>
      <c r="F140" s="65">
        <f t="shared" si="12"/>
        <v>5</v>
      </c>
      <c r="G140" s="109">
        <f t="shared" si="13"/>
        <v>45319.3608564815</v>
      </c>
      <c r="H140" s="110">
        <f t="shared" si="14"/>
        <v>1</v>
      </c>
    </row>
    <row r="141" spans="1:8">
      <c r="A141" s="55">
        <v>45298.6934027778</v>
      </c>
      <c r="B141" s="56">
        <v>45298.7059722222</v>
      </c>
      <c r="C141" s="35">
        <v>164</v>
      </c>
      <c r="D141" s="65">
        <f t="shared" si="10"/>
        <v>16</v>
      </c>
      <c r="E141" s="65">
        <f t="shared" si="11"/>
        <v>7</v>
      </c>
      <c r="F141" s="65">
        <f t="shared" si="12"/>
        <v>2</v>
      </c>
      <c r="G141" s="109">
        <f t="shared" si="13"/>
        <v>45298.6934027778</v>
      </c>
      <c r="H141" s="110">
        <f t="shared" si="14"/>
        <v>1</v>
      </c>
    </row>
    <row r="142" spans="1:8">
      <c r="A142" s="55">
        <v>45294.9452662037</v>
      </c>
      <c r="B142" s="56">
        <v>45294.9468865741</v>
      </c>
      <c r="C142" s="35">
        <v>263</v>
      </c>
      <c r="D142" s="65">
        <f t="shared" si="10"/>
        <v>22</v>
      </c>
      <c r="E142" s="65">
        <f t="shared" si="11"/>
        <v>3</v>
      </c>
      <c r="F142" s="65">
        <f t="shared" si="12"/>
        <v>1</v>
      </c>
      <c r="G142" s="109">
        <f t="shared" si="13"/>
        <v>45294.9452662037</v>
      </c>
      <c r="H142" s="110">
        <f t="shared" si="14"/>
        <v>4</v>
      </c>
    </row>
    <row r="143" spans="1:8">
      <c r="A143" s="55">
        <v>45303.6419675926</v>
      </c>
      <c r="B143" s="56">
        <v>45303.6610185185</v>
      </c>
      <c r="C143" s="35">
        <v>356</v>
      </c>
      <c r="D143" s="65">
        <f t="shared" si="10"/>
        <v>15</v>
      </c>
      <c r="E143" s="65">
        <f t="shared" si="11"/>
        <v>12</v>
      </c>
      <c r="F143" s="65">
        <f t="shared" si="12"/>
        <v>2</v>
      </c>
      <c r="G143" s="109">
        <f t="shared" si="13"/>
        <v>45303.6419675926</v>
      </c>
      <c r="H143" s="110">
        <f t="shared" si="14"/>
        <v>6</v>
      </c>
    </row>
    <row r="144" spans="1:8">
      <c r="A144" s="55">
        <v>45295.7626851852</v>
      </c>
      <c r="B144" s="56">
        <v>45295.7805324074</v>
      </c>
      <c r="C144" s="35">
        <v>163</v>
      </c>
      <c r="D144" s="65">
        <f t="shared" si="10"/>
        <v>18</v>
      </c>
      <c r="E144" s="65">
        <f t="shared" si="11"/>
        <v>4</v>
      </c>
      <c r="F144" s="65">
        <f t="shared" si="12"/>
        <v>1</v>
      </c>
      <c r="G144" s="109">
        <f t="shared" si="13"/>
        <v>45295.7626851852</v>
      </c>
      <c r="H144" s="110">
        <f t="shared" si="14"/>
        <v>5</v>
      </c>
    </row>
    <row r="145" spans="1:8">
      <c r="A145" s="55">
        <v>45312.7559953704</v>
      </c>
      <c r="B145" s="56">
        <v>45312.7734837963</v>
      </c>
      <c r="C145" s="35">
        <v>96</v>
      </c>
      <c r="D145" s="65">
        <f t="shared" si="10"/>
        <v>18</v>
      </c>
      <c r="E145" s="65">
        <f t="shared" si="11"/>
        <v>21</v>
      </c>
      <c r="F145" s="65">
        <f t="shared" si="12"/>
        <v>4</v>
      </c>
      <c r="G145" s="109">
        <f t="shared" si="13"/>
        <v>45312.7559953704</v>
      </c>
      <c r="H145" s="110">
        <f t="shared" si="14"/>
        <v>1</v>
      </c>
    </row>
    <row r="146" spans="1:8">
      <c r="A146" s="55">
        <v>45314.9206134259</v>
      </c>
      <c r="B146" s="56">
        <v>45314.9371990741</v>
      </c>
      <c r="C146" s="35">
        <v>443</v>
      </c>
      <c r="D146" s="65">
        <f t="shared" si="10"/>
        <v>22</v>
      </c>
      <c r="E146" s="65">
        <f t="shared" si="11"/>
        <v>23</v>
      </c>
      <c r="F146" s="65">
        <f t="shared" si="12"/>
        <v>4</v>
      </c>
      <c r="G146" s="109">
        <f t="shared" si="13"/>
        <v>45314.9206134259</v>
      </c>
      <c r="H146" s="110">
        <f t="shared" si="14"/>
        <v>3</v>
      </c>
    </row>
    <row r="147" spans="1:8">
      <c r="A147" s="55">
        <v>45302.8834953704</v>
      </c>
      <c r="B147" s="56">
        <v>45302.8874421296</v>
      </c>
      <c r="C147" s="35">
        <v>168</v>
      </c>
      <c r="D147" s="65">
        <f t="shared" si="10"/>
        <v>21</v>
      </c>
      <c r="E147" s="65">
        <f t="shared" si="11"/>
        <v>11</v>
      </c>
      <c r="F147" s="65">
        <f t="shared" si="12"/>
        <v>2</v>
      </c>
      <c r="G147" s="109">
        <f t="shared" si="13"/>
        <v>45302.8834953704</v>
      </c>
      <c r="H147" s="110">
        <f t="shared" si="14"/>
        <v>5</v>
      </c>
    </row>
    <row r="148" spans="1:8">
      <c r="A148" s="55">
        <v>45315.9185416667</v>
      </c>
      <c r="B148" s="56">
        <v>45315.9272106482</v>
      </c>
      <c r="C148" s="35">
        <v>144</v>
      </c>
      <c r="D148" s="65">
        <f t="shared" si="10"/>
        <v>22</v>
      </c>
      <c r="E148" s="65">
        <f t="shared" si="11"/>
        <v>24</v>
      </c>
      <c r="F148" s="65">
        <f t="shared" si="12"/>
        <v>4</v>
      </c>
      <c r="G148" s="109">
        <f t="shared" si="13"/>
        <v>45315.9185416667</v>
      </c>
      <c r="H148" s="110">
        <f t="shared" si="14"/>
        <v>4</v>
      </c>
    </row>
    <row r="149" spans="1:8">
      <c r="A149" s="55">
        <v>45297.8350231481</v>
      </c>
      <c r="B149" s="56">
        <v>45297.8443518519</v>
      </c>
      <c r="C149" s="35">
        <v>253</v>
      </c>
      <c r="D149" s="65">
        <f t="shared" si="10"/>
        <v>20</v>
      </c>
      <c r="E149" s="65">
        <f t="shared" si="11"/>
        <v>6</v>
      </c>
      <c r="F149" s="65">
        <f t="shared" si="12"/>
        <v>1</v>
      </c>
      <c r="G149" s="109">
        <f t="shared" si="13"/>
        <v>45297.8350231481</v>
      </c>
      <c r="H149" s="110">
        <f t="shared" si="14"/>
        <v>7</v>
      </c>
    </row>
    <row r="150" spans="1:8">
      <c r="A150" s="55">
        <v>45299.6609953704</v>
      </c>
      <c r="B150" s="56">
        <v>45299.6728009259</v>
      </c>
      <c r="C150" s="35">
        <v>208</v>
      </c>
      <c r="D150" s="65">
        <f t="shared" si="10"/>
        <v>15</v>
      </c>
      <c r="E150" s="65">
        <f t="shared" si="11"/>
        <v>8</v>
      </c>
      <c r="F150" s="65">
        <f t="shared" si="12"/>
        <v>2</v>
      </c>
      <c r="G150" s="109">
        <f t="shared" si="13"/>
        <v>45299.6609953704</v>
      </c>
      <c r="H150" s="110">
        <f t="shared" si="14"/>
        <v>2</v>
      </c>
    </row>
    <row r="151" spans="1:8">
      <c r="A151" s="55">
        <v>45308.799212963</v>
      </c>
      <c r="B151" s="56">
        <v>45308.8046296296</v>
      </c>
      <c r="C151" s="35">
        <v>151</v>
      </c>
      <c r="D151" s="65">
        <f t="shared" si="10"/>
        <v>19</v>
      </c>
      <c r="E151" s="65">
        <f t="shared" si="11"/>
        <v>17</v>
      </c>
      <c r="F151" s="65">
        <f t="shared" si="12"/>
        <v>3</v>
      </c>
      <c r="G151" s="109">
        <f t="shared" si="13"/>
        <v>45308.799212963</v>
      </c>
      <c r="H151" s="110">
        <f t="shared" si="14"/>
        <v>4</v>
      </c>
    </row>
    <row r="152" spans="1:8">
      <c r="A152" s="55">
        <v>45295.9542476852</v>
      </c>
      <c r="B152" s="56">
        <v>45295.9616898148</v>
      </c>
      <c r="C152" s="35">
        <v>95</v>
      </c>
      <c r="D152" s="65">
        <f t="shared" si="10"/>
        <v>22</v>
      </c>
      <c r="E152" s="65">
        <f t="shared" si="11"/>
        <v>4</v>
      </c>
      <c r="F152" s="65">
        <f t="shared" si="12"/>
        <v>1</v>
      </c>
      <c r="G152" s="109">
        <f t="shared" si="13"/>
        <v>45295.9542476852</v>
      </c>
      <c r="H152" s="110">
        <f t="shared" si="14"/>
        <v>5</v>
      </c>
    </row>
    <row r="153" spans="1:8">
      <c r="A153" s="55">
        <v>45305.3737731481</v>
      </c>
      <c r="B153" s="56">
        <v>45305.3938194444</v>
      </c>
      <c r="C153" s="35">
        <v>471</v>
      </c>
      <c r="D153" s="65">
        <f t="shared" si="10"/>
        <v>8</v>
      </c>
      <c r="E153" s="65">
        <f t="shared" si="11"/>
        <v>14</v>
      </c>
      <c r="F153" s="65">
        <f t="shared" si="12"/>
        <v>3</v>
      </c>
      <c r="G153" s="109">
        <f t="shared" si="13"/>
        <v>45305.3737731481</v>
      </c>
      <c r="H153" s="110">
        <f t="shared" si="14"/>
        <v>1</v>
      </c>
    </row>
    <row r="154" spans="1:8">
      <c r="A154" s="55">
        <v>45294.7180671296</v>
      </c>
      <c r="B154" s="56">
        <v>45294.7263078704</v>
      </c>
      <c r="C154" s="35">
        <v>111</v>
      </c>
      <c r="D154" s="65">
        <f t="shared" si="10"/>
        <v>17</v>
      </c>
      <c r="E154" s="65">
        <f t="shared" si="11"/>
        <v>3</v>
      </c>
      <c r="F154" s="65">
        <f t="shared" si="12"/>
        <v>1</v>
      </c>
      <c r="G154" s="109">
        <f t="shared" si="13"/>
        <v>45294.7180671296</v>
      </c>
      <c r="H154" s="110">
        <f t="shared" si="14"/>
        <v>4</v>
      </c>
    </row>
    <row r="155" spans="1:8">
      <c r="A155" s="55">
        <v>45316.8948958333</v>
      </c>
      <c r="B155" s="56">
        <v>45316.8957060185</v>
      </c>
      <c r="C155" s="35">
        <v>91</v>
      </c>
      <c r="D155" s="65">
        <f t="shared" si="10"/>
        <v>21</v>
      </c>
      <c r="E155" s="65">
        <f t="shared" si="11"/>
        <v>25</v>
      </c>
      <c r="F155" s="65">
        <f t="shared" si="12"/>
        <v>4</v>
      </c>
      <c r="G155" s="109">
        <f t="shared" si="13"/>
        <v>45316.8948958333</v>
      </c>
      <c r="H155" s="110">
        <f t="shared" si="14"/>
        <v>5</v>
      </c>
    </row>
    <row r="156" spans="1:8">
      <c r="A156" s="55">
        <v>45311.9354976852</v>
      </c>
      <c r="B156" s="56">
        <v>45311.9545833333</v>
      </c>
      <c r="C156" s="35">
        <v>305</v>
      </c>
      <c r="D156" s="65">
        <f t="shared" si="10"/>
        <v>22</v>
      </c>
      <c r="E156" s="65">
        <f t="shared" si="11"/>
        <v>20</v>
      </c>
      <c r="F156" s="65">
        <f t="shared" si="12"/>
        <v>3</v>
      </c>
      <c r="G156" s="109">
        <f t="shared" si="13"/>
        <v>45311.9354976852</v>
      </c>
      <c r="H156" s="110">
        <f t="shared" si="14"/>
        <v>7</v>
      </c>
    </row>
    <row r="157" spans="1:8">
      <c r="A157" s="55">
        <v>45306.3388078704</v>
      </c>
      <c r="B157" s="56">
        <v>45306.3513425926</v>
      </c>
      <c r="C157" s="35">
        <v>558</v>
      </c>
      <c r="D157" s="65">
        <f t="shared" si="10"/>
        <v>8</v>
      </c>
      <c r="E157" s="65">
        <f t="shared" si="11"/>
        <v>15</v>
      </c>
      <c r="F157" s="65">
        <f t="shared" si="12"/>
        <v>3</v>
      </c>
      <c r="G157" s="109">
        <f t="shared" si="13"/>
        <v>45306.3388078704</v>
      </c>
      <c r="H157" s="110">
        <f t="shared" si="14"/>
        <v>2</v>
      </c>
    </row>
    <row r="158" spans="1:8">
      <c r="A158" s="55">
        <v>45299.7997916667</v>
      </c>
      <c r="B158" s="56">
        <v>45299.8163194444</v>
      </c>
      <c r="C158" s="35">
        <v>97</v>
      </c>
      <c r="D158" s="65">
        <f t="shared" si="10"/>
        <v>19</v>
      </c>
      <c r="E158" s="65">
        <f t="shared" si="11"/>
        <v>8</v>
      </c>
      <c r="F158" s="65">
        <f t="shared" si="12"/>
        <v>2</v>
      </c>
      <c r="G158" s="109">
        <f t="shared" si="13"/>
        <v>45299.7997916667</v>
      </c>
      <c r="H158" s="110">
        <f t="shared" si="14"/>
        <v>2</v>
      </c>
    </row>
    <row r="159" spans="1:8">
      <c r="A159" s="55">
        <v>45317.9409837963</v>
      </c>
      <c r="B159" s="56">
        <v>45317.9509259259</v>
      </c>
      <c r="C159" s="35">
        <v>491</v>
      </c>
      <c r="D159" s="65">
        <f t="shared" si="10"/>
        <v>22</v>
      </c>
      <c r="E159" s="65">
        <f t="shared" si="11"/>
        <v>26</v>
      </c>
      <c r="F159" s="65">
        <f t="shared" si="12"/>
        <v>4</v>
      </c>
      <c r="G159" s="109">
        <f t="shared" si="13"/>
        <v>45317.9409837963</v>
      </c>
      <c r="H159" s="110">
        <f t="shared" si="14"/>
        <v>6</v>
      </c>
    </row>
    <row r="160" spans="1:8">
      <c r="A160" s="55">
        <v>45317.3487847222</v>
      </c>
      <c r="B160" s="56">
        <v>45317.3668518519</v>
      </c>
      <c r="C160" s="35">
        <v>116</v>
      </c>
      <c r="D160" s="65">
        <f t="shared" si="10"/>
        <v>8</v>
      </c>
      <c r="E160" s="65">
        <f t="shared" si="11"/>
        <v>26</v>
      </c>
      <c r="F160" s="65">
        <f t="shared" si="12"/>
        <v>4</v>
      </c>
      <c r="G160" s="109">
        <f t="shared" si="13"/>
        <v>45317.3487847222</v>
      </c>
      <c r="H160" s="110">
        <f t="shared" si="14"/>
        <v>6</v>
      </c>
    </row>
    <row r="161" spans="1:8">
      <c r="A161" s="55">
        <v>45297.8642361111</v>
      </c>
      <c r="B161" s="56">
        <v>45297.8798958333</v>
      </c>
      <c r="C161" s="35">
        <v>196</v>
      </c>
      <c r="D161" s="65">
        <f t="shared" si="10"/>
        <v>20</v>
      </c>
      <c r="E161" s="65">
        <f t="shared" si="11"/>
        <v>6</v>
      </c>
      <c r="F161" s="65">
        <f t="shared" si="12"/>
        <v>1</v>
      </c>
      <c r="G161" s="109">
        <f t="shared" si="13"/>
        <v>45297.8642361111</v>
      </c>
      <c r="H161" s="110">
        <f t="shared" si="14"/>
        <v>7</v>
      </c>
    </row>
    <row r="162" spans="1:8">
      <c r="A162" s="55">
        <v>45301.5019675926</v>
      </c>
      <c r="B162" s="56">
        <v>45301.5073842593</v>
      </c>
      <c r="C162" s="35">
        <v>52</v>
      </c>
      <c r="D162" s="65">
        <f t="shared" si="10"/>
        <v>12</v>
      </c>
      <c r="E162" s="65">
        <f t="shared" si="11"/>
        <v>10</v>
      </c>
      <c r="F162" s="65">
        <f t="shared" si="12"/>
        <v>2</v>
      </c>
      <c r="G162" s="109">
        <f t="shared" si="13"/>
        <v>45301.5019675926</v>
      </c>
      <c r="H162" s="110">
        <f t="shared" si="14"/>
        <v>4</v>
      </c>
    </row>
    <row r="163" spans="1:8">
      <c r="A163" s="55">
        <v>45300.325474537</v>
      </c>
      <c r="B163" s="56">
        <v>45300.3306944444</v>
      </c>
      <c r="C163" s="35">
        <v>302</v>
      </c>
      <c r="D163" s="65">
        <f t="shared" si="10"/>
        <v>7</v>
      </c>
      <c r="E163" s="65">
        <f t="shared" si="11"/>
        <v>9</v>
      </c>
      <c r="F163" s="65">
        <f t="shared" si="12"/>
        <v>2</v>
      </c>
      <c r="G163" s="109">
        <f t="shared" si="13"/>
        <v>45300.325474537</v>
      </c>
      <c r="H163" s="110">
        <f t="shared" si="14"/>
        <v>3</v>
      </c>
    </row>
    <row r="164" spans="1:8">
      <c r="A164" s="55">
        <v>45303.8308449074</v>
      </c>
      <c r="B164" s="56">
        <v>45303.8491550926</v>
      </c>
      <c r="C164" s="35">
        <v>460</v>
      </c>
      <c r="D164" s="65">
        <f t="shared" si="10"/>
        <v>19</v>
      </c>
      <c r="E164" s="65">
        <f t="shared" si="11"/>
        <v>12</v>
      </c>
      <c r="F164" s="65">
        <f t="shared" si="12"/>
        <v>2</v>
      </c>
      <c r="G164" s="109">
        <f t="shared" si="13"/>
        <v>45303.8308449074</v>
      </c>
      <c r="H164" s="110">
        <f t="shared" si="14"/>
        <v>6</v>
      </c>
    </row>
    <row r="165" spans="1:8">
      <c r="A165" s="55">
        <v>45317.9290625</v>
      </c>
      <c r="B165" s="56">
        <v>45317.931712963</v>
      </c>
      <c r="C165" s="35">
        <v>444</v>
      </c>
      <c r="D165" s="65">
        <f t="shared" si="10"/>
        <v>22</v>
      </c>
      <c r="E165" s="65">
        <f t="shared" si="11"/>
        <v>26</v>
      </c>
      <c r="F165" s="65">
        <f t="shared" si="12"/>
        <v>4</v>
      </c>
      <c r="G165" s="109">
        <f t="shared" si="13"/>
        <v>45317.9290625</v>
      </c>
      <c r="H165" s="110">
        <f t="shared" si="14"/>
        <v>6</v>
      </c>
    </row>
    <row r="166" spans="1:8">
      <c r="A166" s="55">
        <v>45301.6708912037</v>
      </c>
      <c r="B166" s="56">
        <v>45301.6793518519</v>
      </c>
      <c r="C166" s="35">
        <v>312</v>
      </c>
      <c r="D166" s="65">
        <f t="shared" si="10"/>
        <v>16</v>
      </c>
      <c r="E166" s="65">
        <f t="shared" si="11"/>
        <v>10</v>
      </c>
      <c r="F166" s="65">
        <f t="shared" si="12"/>
        <v>2</v>
      </c>
      <c r="G166" s="109">
        <f t="shared" si="13"/>
        <v>45301.6708912037</v>
      </c>
      <c r="H166" s="110">
        <f t="shared" si="14"/>
        <v>4</v>
      </c>
    </row>
    <row r="167" spans="1:8">
      <c r="A167" s="55">
        <v>45306.7278009259</v>
      </c>
      <c r="B167" s="56">
        <v>45306.7457175926</v>
      </c>
      <c r="C167" s="35">
        <v>371</v>
      </c>
      <c r="D167" s="65">
        <f t="shared" si="10"/>
        <v>17</v>
      </c>
      <c r="E167" s="65">
        <f t="shared" si="11"/>
        <v>15</v>
      </c>
      <c r="F167" s="65">
        <f t="shared" si="12"/>
        <v>3</v>
      </c>
      <c r="G167" s="109">
        <f t="shared" si="13"/>
        <v>45306.7278009259</v>
      </c>
      <c r="H167" s="110">
        <f t="shared" si="14"/>
        <v>2</v>
      </c>
    </row>
    <row r="168" spans="1:8">
      <c r="A168" s="55">
        <v>45313.7663425926</v>
      </c>
      <c r="B168" s="56">
        <v>45313.7860185185</v>
      </c>
      <c r="C168" s="35">
        <v>173</v>
      </c>
      <c r="D168" s="65">
        <f t="shared" si="10"/>
        <v>18</v>
      </c>
      <c r="E168" s="65">
        <f t="shared" si="11"/>
        <v>22</v>
      </c>
      <c r="F168" s="65">
        <f t="shared" si="12"/>
        <v>4</v>
      </c>
      <c r="G168" s="109">
        <f t="shared" si="13"/>
        <v>45313.7663425926</v>
      </c>
      <c r="H168" s="110">
        <f t="shared" si="14"/>
        <v>2</v>
      </c>
    </row>
    <row r="169" spans="1:8">
      <c r="A169" s="55">
        <v>45296.3443171296</v>
      </c>
      <c r="B169" s="56">
        <v>45296.3603009259</v>
      </c>
      <c r="C169" s="35">
        <v>385</v>
      </c>
      <c r="D169" s="65">
        <f t="shared" si="10"/>
        <v>8</v>
      </c>
      <c r="E169" s="65">
        <f t="shared" si="11"/>
        <v>5</v>
      </c>
      <c r="F169" s="65">
        <f t="shared" si="12"/>
        <v>1</v>
      </c>
      <c r="G169" s="109">
        <f t="shared" si="13"/>
        <v>45296.3443171296</v>
      </c>
      <c r="H169" s="110">
        <f t="shared" si="14"/>
        <v>6</v>
      </c>
    </row>
    <row r="170" spans="1:8">
      <c r="A170" s="55">
        <v>45303.866712963</v>
      </c>
      <c r="B170" s="56">
        <v>45303.8810069444</v>
      </c>
      <c r="C170" s="35">
        <v>150</v>
      </c>
      <c r="D170" s="65">
        <f t="shared" si="10"/>
        <v>20</v>
      </c>
      <c r="E170" s="65">
        <f t="shared" si="11"/>
        <v>12</v>
      </c>
      <c r="F170" s="65">
        <f t="shared" si="12"/>
        <v>2</v>
      </c>
      <c r="G170" s="109">
        <f t="shared" si="13"/>
        <v>45303.866712963</v>
      </c>
      <c r="H170" s="110">
        <f t="shared" si="14"/>
        <v>6</v>
      </c>
    </row>
    <row r="171" spans="1:8">
      <c r="A171" s="55">
        <v>45295.2827662037</v>
      </c>
      <c r="B171" s="56">
        <v>45295.2952893519</v>
      </c>
      <c r="C171" s="35">
        <v>540</v>
      </c>
      <c r="D171" s="65">
        <f t="shared" si="10"/>
        <v>6</v>
      </c>
      <c r="E171" s="65">
        <f t="shared" si="11"/>
        <v>4</v>
      </c>
      <c r="F171" s="65">
        <f t="shared" si="12"/>
        <v>1</v>
      </c>
      <c r="G171" s="109">
        <f t="shared" si="13"/>
        <v>45295.2827662037</v>
      </c>
      <c r="H171" s="110">
        <f t="shared" si="14"/>
        <v>5</v>
      </c>
    </row>
    <row r="172" spans="1:8">
      <c r="A172" s="55">
        <v>45298.6562268519</v>
      </c>
      <c r="B172" s="56">
        <v>45298.6685532407</v>
      </c>
      <c r="C172" s="35">
        <v>214</v>
      </c>
      <c r="D172" s="65">
        <f t="shared" si="10"/>
        <v>15</v>
      </c>
      <c r="E172" s="65">
        <f t="shared" si="11"/>
        <v>7</v>
      </c>
      <c r="F172" s="65">
        <f t="shared" si="12"/>
        <v>2</v>
      </c>
      <c r="G172" s="109">
        <f t="shared" si="13"/>
        <v>45298.6562268519</v>
      </c>
      <c r="H172" s="110">
        <f t="shared" si="14"/>
        <v>1</v>
      </c>
    </row>
    <row r="173" spans="1:8">
      <c r="A173" s="55">
        <v>45294.696087963</v>
      </c>
      <c r="B173" s="56">
        <v>45294.713599537</v>
      </c>
      <c r="C173" s="35">
        <v>76</v>
      </c>
      <c r="D173" s="65">
        <f t="shared" si="10"/>
        <v>16</v>
      </c>
      <c r="E173" s="65">
        <f t="shared" si="11"/>
        <v>3</v>
      </c>
      <c r="F173" s="65">
        <f t="shared" si="12"/>
        <v>1</v>
      </c>
      <c r="G173" s="109">
        <f t="shared" si="13"/>
        <v>45294.696087963</v>
      </c>
      <c r="H173" s="110">
        <f t="shared" si="14"/>
        <v>4</v>
      </c>
    </row>
    <row r="174" spans="1:8">
      <c r="A174" s="55">
        <v>45314.4933217593</v>
      </c>
      <c r="B174" s="56">
        <v>45314.5060648148</v>
      </c>
      <c r="C174" s="35">
        <v>239</v>
      </c>
      <c r="D174" s="65">
        <f t="shared" si="10"/>
        <v>11</v>
      </c>
      <c r="E174" s="65">
        <f t="shared" si="11"/>
        <v>23</v>
      </c>
      <c r="F174" s="65">
        <f t="shared" si="12"/>
        <v>4</v>
      </c>
      <c r="G174" s="109">
        <f t="shared" si="13"/>
        <v>45314.4933217593</v>
      </c>
      <c r="H174" s="110">
        <f t="shared" si="14"/>
        <v>3</v>
      </c>
    </row>
    <row r="175" spans="1:8">
      <c r="A175" s="55">
        <v>45310.7290625</v>
      </c>
      <c r="B175" s="56">
        <v>45310.7428240741</v>
      </c>
      <c r="C175" s="35">
        <v>142</v>
      </c>
      <c r="D175" s="65">
        <f t="shared" si="10"/>
        <v>17</v>
      </c>
      <c r="E175" s="65">
        <f t="shared" si="11"/>
        <v>19</v>
      </c>
      <c r="F175" s="65">
        <f t="shared" si="12"/>
        <v>3</v>
      </c>
      <c r="G175" s="109">
        <f t="shared" si="13"/>
        <v>45310.7290625</v>
      </c>
      <c r="H175" s="110">
        <f t="shared" si="14"/>
        <v>6</v>
      </c>
    </row>
    <row r="176" spans="1:8">
      <c r="A176" s="55">
        <v>45307.9352893519</v>
      </c>
      <c r="B176" s="56">
        <v>45307.9456828704</v>
      </c>
      <c r="C176" s="35">
        <v>598</v>
      </c>
      <c r="D176" s="65">
        <f t="shared" si="10"/>
        <v>22</v>
      </c>
      <c r="E176" s="65">
        <f t="shared" si="11"/>
        <v>16</v>
      </c>
      <c r="F176" s="65">
        <f t="shared" si="12"/>
        <v>3</v>
      </c>
      <c r="G176" s="109">
        <f t="shared" si="13"/>
        <v>45307.9352893519</v>
      </c>
      <c r="H176" s="110">
        <f t="shared" si="14"/>
        <v>3</v>
      </c>
    </row>
    <row r="177" spans="1:8">
      <c r="A177" s="55">
        <v>45313.932037037</v>
      </c>
      <c r="B177" s="56">
        <v>45313.9523726852</v>
      </c>
      <c r="C177" s="35">
        <v>574</v>
      </c>
      <c r="D177" s="65">
        <f t="shared" si="10"/>
        <v>22</v>
      </c>
      <c r="E177" s="65">
        <f t="shared" si="11"/>
        <v>22</v>
      </c>
      <c r="F177" s="65">
        <f t="shared" si="12"/>
        <v>4</v>
      </c>
      <c r="G177" s="109">
        <f t="shared" si="13"/>
        <v>45313.932037037</v>
      </c>
      <c r="H177" s="110">
        <f t="shared" si="14"/>
        <v>2</v>
      </c>
    </row>
    <row r="178" spans="1:8">
      <c r="A178" s="55">
        <v>45295.9231365741</v>
      </c>
      <c r="B178" s="56">
        <v>45295.9277314815</v>
      </c>
      <c r="C178" s="35">
        <v>175</v>
      </c>
      <c r="D178" s="65">
        <f t="shared" si="10"/>
        <v>22</v>
      </c>
      <c r="E178" s="65">
        <f t="shared" si="11"/>
        <v>4</v>
      </c>
      <c r="F178" s="65">
        <f t="shared" si="12"/>
        <v>1</v>
      </c>
      <c r="G178" s="109">
        <f t="shared" si="13"/>
        <v>45295.9231365741</v>
      </c>
      <c r="H178" s="110">
        <f t="shared" si="14"/>
        <v>5</v>
      </c>
    </row>
    <row r="179" spans="1:8">
      <c r="A179" s="55">
        <v>45301.3445833333</v>
      </c>
      <c r="B179" s="56">
        <v>45301.3603240741</v>
      </c>
      <c r="C179" s="35">
        <v>574</v>
      </c>
      <c r="D179" s="65">
        <f t="shared" si="10"/>
        <v>8</v>
      </c>
      <c r="E179" s="65">
        <f t="shared" si="11"/>
        <v>10</v>
      </c>
      <c r="F179" s="65">
        <f t="shared" si="12"/>
        <v>2</v>
      </c>
      <c r="G179" s="109">
        <f t="shared" si="13"/>
        <v>45301.3445833333</v>
      </c>
      <c r="H179" s="110">
        <f t="shared" si="14"/>
        <v>4</v>
      </c>
    </row>
    <row r="180" spans="1:8">
      <c r="A180" s="55">
        <v>45308.4844560185</v>
      </c>
      <c r="B180" s="56">
        <v>45308.4887962963</v>
      </c>
      <c r="C180" s="35">
        <v>185</v>
      </c>
      <c r="D180" s="65">
        <f t="shared" si="10"/>
        <v>11</v>
      </c>
      <c r="E180" s="65">
        <f t="shared" si="11"/>
        <v>17</v>
      </c>
      <c r="F180" s="65">
        <f t="shared" si="12"/>
        <v>3</v>
      </c>
      <c r="G180" s="109">
        <f t="shared" si="13"/>
        <v>45308.4844560185</v>
      </c>
      <c r="H180" s="110">
        <f t="shared" si="14"/>
        <v>4</v>
      </c>
    </row>
    <row r="181" spans="1:8">
      <c r="A181" s="55">
        <v>45316.6119560185</v>
      </c>
      <c r="B181" s="56">
        <v>45316.6308217593</v>
      </c>
      <c r="C181" s="35">
        <v>595</v>
      </c>
      <c r="D181" s="65">
        <f t="shared" si="10"/>
        <v>14</v>
      </c>
      <c r="E181" s="65">
        <f t="shared" si="11"/>
        <v>25</v>
      </c>
      <c r="F181" s="65">
        <f t="shared" si="12"/>
        <v>4</v>
      </c>
      <c r="G181" s="109">
        <f t="shared" si="13"/>
        <v>45316.6119560185</v>
      </c>
      <c r="H181" s="110">
        <f t="shared" si="14"/>
        <v>5</v>
      </c>
    </row>
    <row r="182" spans="1:8">
      <c r="A182" s="55">
        <v>45312.6460069444</v>
      </c>
      <c r="B182" s="56">
        <v>45312.665775463</v>
      </c>
      <c r="C182" s="35">
        <v>425</v>
      </c>
      <c r="D182" s="65">
        <f t="shared" si="10"/>
        <v>15</v>
      </c>
      <c r="E182" s="65">
        <f t="shared" si="11"/>
        <v>21</v>
      </c>
      <c r="F182" s="65">
        <f t="shared" si="12"/>
        <v>4</v>
      </c>
      <c r="G182" s="109">
        <f t="shared" si="13"/>
        <v>45312.6460069444</v>
      </c>
      <c r="H182" s="110">
        <f t="shared" si="14"/>
        <v>1</v>
      </c>
    </row>
    <row r="183" spans="1:8">
      <c r="A183" s="55">
        <v>45305.8952893519</v>
      </c>
      <c r="B183" s="56">
        <v>45305.9040393519</v>
      </c>
      <c r="C183" s="35">
        <v>157</v>
      </c>
      <c r="D183" s="65">
        <f t="shared" si="10"/>
        <v>21</v>
      </c>
      <c r="E183" s="65">
        <f t="shared" si="11"/>
        <v>14</v>
      </c>
      <c r="F183" s="65">
        <f t="shared" si="12"/>
        <v>3</v>
      </c>
      <c r="G183" s="109">
        <f t="shared" si="13"/>
        <v>45305.8952893519</v>
      </c>
      <c r="H183" s="110">
        <f t="shared" si="14"/>
        <v>1</v>
      </c>
    </row>
    <row r="184" spans="1:8">
      <c r="A184" s="55">
        <v>45296.7309606482</v>
      </c>
      <c r="B184" s="56">
        <v>45296.7341666667</v>
      </c>
      <c r="C184" s="35">
        <v>336</v>
      </c>
      <c r="D184" s="65">
        <f t="shared" si="10"/>
        <v>17</v>
      </c>
      <c r="E184" s="65">
        <f t="shared" si="11"/>
        <v>5</v>
      </c>
      <c r="F184" s="65">
        <f t="shared" si="12"/>
        <v>1</v>
      </c>
      <c r="G184" s="109">
        <f t="shared" si="13"/>
        <v>45296.7309606482</v>
      </c>
      <c r="H184" s="110">
        <f t="shared" si="14"/>
        <v>6</v>
      </c>
    </row>
    <row r="185" spans="1:8">
      <c r="A185" s="55">
        <v>45295.3044444444</v>
      </c>
      <c r="B185" s="56">
        <v>45295.3197222222</v>
      </c>
      <c r="C185" s="35">
        <v>438</v>
      </c>
      <c r="D185" s="65">
        <f t="shared" si="10"/>
        <v>7</v>
      </c>
      <c r="E185" s="65">
        <f t="shared" si="11"/>
        <v>4</v>
      </c>
      <c r="F185" s="65">
        <f t="shared" si="12"/>
        <v>1</v>
      </c>
      <c r="G185" s="109">
        <f t="shared" si="13"/>
        <v>45295.3044444444</v>
      </c>
      <c r="H185" s="110">
        <f t="shared" si="14"/>
        <v>5</v>
      </c>
    </row>
    <row r="186" spans="1:8">
      <c r="A186" s="55">
        <v>45298.4802314815</v>
      </c>
      <c r="B186" s="56">
        <v>45298.4919907407</v>
      </c>
      <c r="C186" s="35">
        <v>520</v>
      </c>
      <c r="D186" s="65">
        <f t="shared" si="10"/>
        <v>11</v>
      </c>
      <c r="E186" s="65">
        <f t="shared" si="11"/>
        <v>7</v>
      </c>
      <c r="F186" s="65">
        <f t="shared" si="12"/>
        <v>2</v>
      </c>
      <c r="G186" s="109">
        <f t="shared" si="13"/>
        <v>45298.4802314815</v>
      </c>
      <c r="H186" s="110">
        <f t="shared" si="14"/>
        <v>1</v>
      </c>
    </row>
    <row r="187" spans="1:8">
      <c r="A187" s="55">
        <v>45298.7104513889</v>
      </c>
      <c r="B187" s="56">
        <v>45298.7178125</v>
      </c>
      <c r="C187" s="35">
        <v>516</v>
      </c>
      <c r="D187" s="65">
        <f t="shared" si="10"/>
        <v>17</v>
      </c>
      <c r="E187" s="65">
        <f t="shared" si="11"/>
        <v>7</v>
      </c>
      <c r="F187" s="65">
        <f t="shared" si="12"/>
        <v>2</v>
      </c>
      <c r="G187" s="109">
        <f t="shared" si="13"/>
        <v>45298.7104513889</v>
      </c>
      <c r="H187" s="110">
        <f t="shared" si="14"/>
        <v>1</v>
      </c>
    </row>
    <row r="188" spans="1:8">
      <c r="A188" s="55">
        <v>45296.6155439815</v>
      </c>
      <c r="B188" s="56">
        <v>45296.6343402778</v>
      </c>
      <c r="C188" s="35">
        <v>422</v>
      </c>
      <c r="D188" s="65">
        <f t="shared" si="10"/>
        <v>14</v>
      </c>
      <c r="E188" s="65">
        <f t="shared" si="11"/>
        <v>5</v>
      </c>
      <c r="F188" s="65">
        <f t="shared" si="12"/>
        <v>1</v>
      </c>
      <c r="G188" s="109">
        <f t="shared" si="13"/>
        <v>45296.6155439815</v>
      </c>
      <c r="H188" s="110">
        <f t="shared" si="14"/>
        <v>6</v>
      </c>
    </row>
    <row r="189" spans="1:8">
      <c r="A189" s="55">
        <v>45301.3503703704</v>
      </c>
      <c r="B189" s="56">
        <v>45301.3617361111</v>
      </c>
      <c r="C189" s="35">
        <v>573</v>
      </c>
      <c r="D189" s="65">
        <f t="shared" si="10"/>
        <v>8</v>
      </c>
      <c r="E189" s="65">
        <f t="shared" si="11"/>
        <v>10</v>
      </c>
      <c r="F189" s="65">
        <f t="shared" si="12"/>
        <v>2</v>
      </c>
      <c r="G189" s="109">
        <f t="shared" si="13"/>
        <v>45301.3503703704</v>
      </c>
      <c r="H189" s="110">
        <f t="shared" si="14"/>
        <v>4</v>
      </c>
    </row>
    <row r="190" spans="1:8">
      <c r="A190" s="55">
        <v>45317.6912384259</v>
      </c>
      <c r="B190" s="56">
        <v>45317.7098263889</v>
      </c>
      <c r="C190" s="35">
        <v>157</v>
      </c>
      <c r="D190" s="65">
        <f t="shared" si="10"/>
        <v>16</v>
      </c>
      <c r="E190" s="65">
        <f t="shared" si="11"/>
        <v>26</v>
      </c>
      <c r="F190" s="65">
        <f t="shared" si="12"/>
        <v>4</v>
      </c>
      <c r="G190" s="109">
        <f t="shared" si="13"/>
        <v>45317.6912384259</v>
      </c>
      <c r="H190" s="110">
        <f t="shared" si="14"/>
        <v>6</v>
      </c>
    </row>
    <row r="191" spans="1:8">
      <c r="A191" s="55">
        <v>45317.8982523148</v>
      </c>
      <c r="B191" s="56">
        <v>45317.9024768519</v>
      </c>
      <c r="C191" s="35">
        <v>537</v>
      </c>
      <c r="D191" s="65">
        <f t="shared" si="10"/>
        <v>21</v>
      </c>
      <c r="E191" s="65">
        <f t="shared" si="11"/>
        <v>26</v>
      </c>
      <c r="F191" s="65">
        <f t="shared" si="12"/>
        <v>4</v>
      </c>
      <c r="G191" s="109">
        <f t="shared" si="13"/>
        <v>45317.8982523148</v>
      </c>
      <c r="H191" s="110">
        <f t="shared" si="14"/>
        <v>6</v>
      </c>
    </row>
    <row r="192" spans="1:8">
      <c r="A192" s="55">
        <v>45315.6509375</v>
      </c>
      <c r="B192" s="56">
        <v>45315.6636458333</v>
      </c>
      <c r="C192" s="35">
        <v>531</v>
      </c>
      <c r="D192" s="65">
        <f t="shared" si="10"/>
        <v>15</v>
      </c>
      <c r="E192" s="65">
        <f t="shared" si="11"/>
        <v>24</v>
      </c>
      <c r="F192" s="65">
        <f t="shared" si="12"/>
        <v>4</v>
      </c>
      <c r="G192" s="109">
        <f t="shared" si="13"/>
        <v>45315.6509375</v>
      </c>
      <c r="H192" s="110">
        <f t="shared" si="14"/>
        <v>4</v>
      </c>
    </row>
    <row r="193" spans="1:8">
      <c r="A193" s="55">
        <v>45292.7234143519</v>
      </c>
      <c r="B193" s="56">
        <v>45292.7267013889</v>
      </c>
      <c r="C193" s="35">
        <v>436</v>
      </c>
      <c r="D193" s="65">
        <f t="shared" si="10"/>
        <v>17</v>
      </c>
      <c r="E193" s="65">
        <f t="shared" si="11"/>
        <v>1</v>
      </c>
      <c r="F193" s="65">
        <f t="shared" si="12"/>
        <v>1</v>
      </c>
      <c r="G193" s="109">
        <f t="shared" si="13"/>
        <v>45292.7234143519</v>
      </c>
      <c r="H193" s="110">
        <f t="shared" si="14"/>
        <v>2</v>
      </c>
    </row>
    <row r="194" spans="1:8">
      <c r="A194" s="55">
        <v>45311.8865856481</v>
      </c>
      <c r="B194" s="56">
        <v>45311.9058333333</v>
      </c>
      <c r="C194" s="35">
        <v>243</v>
      </c>
      <c r="D194" s="65">
        <f t="shared" si="10"/>
        <v>21</v>
      </c>
      <c r="E194" s="65">
        <f t="shared" si="11"/>
        <v>20</v>
      </c>
      <c r="F194" s="65">
        <f t="shared" si="12"/>
        <v>3</v>
      </c>
      <c r="G194" s="109">
        <f t="shared" si="13"/>
        <v>45311.8865856481</v>
      </c>
      <c r="H194" s="110">
        <f t="shared" si="14"/>
        <v>7</v>
      </c>
    </row>
    <row r="195" spans="1:8">
      <c r="A195" s="55">
        <v>45316.7568518519</v>
      </c>
      <c r="B195" s="56">
        <v>45316.7736805556</v>
      </c>
      <c r="C195" s="35">
        <v>258</v>
      </c>
      <c r="D195" s="65">
        <f t="shared" ref="D195:D258" si="15">HOUR(A195)</f>
        <v>18</v>
      </c>
      <c r="E195" s="65">
        <f t="shared" ref="E195:E258" si="16">DAY(A195)</f>
        <v>25</v>
      </c>
      <c r="F195" s="65">
        <f t="shared" ref="F195:F258" si="17">WEEKNUM(A195)</f>
        <v>4</v>
      </c>
      <c r="G195" s="109">
        <f t="shared" ref="G195:G258" si="18">A195</f>
        <v>45316.7568518519</v>
      </c>
      <c r="H195" s="110">
        <f t="shared" ref="H195:H258" si="19">WEEKDAY(A195)</f>
        <v>5</v>
      </c>
    </row>
    <row r="196" spans="1:8">
      <c r="A196" s="55">
        <v>45314.5184259259</v>
      </c>
      <c r="B196" s="56">
        <v>45314.5374884259</v>
      </c>
      <c r="C196" s="35">
        <v>492</v>
      </c>
      <c r="D196" s="65">
        <f t="shared" si="15"/>
        <v>12</v>
      </c>
      <c r="E196" s="65">
        <f t="shared" si="16"/>
        <v>23</v>
      </c>
      <c r="F196" s="65">
        <f t="shared" si="17"/>
        <v>4</v>
      </c>
      <c r="G196" s="109">
        <f t="shared" si="18"/>
        <v>45314.5184259259</v>
      </c>
      <c r="H196" s="110">
        <f t="shared" si="19"/>
        <v>3</v>
      </c>
    </row>
    <row r="197" spans="1:8">
      <c r="A197" s="55">
        <v>45308.7640162037</v>
      </c>
      <c r="B197" s="56">
        <v>45308.7756018518</v>
      </c>
      <c r="C197" s="35">
        <v>555</v>
      </c>
      <c r="D197" s="65">
        <f t="shared" si="15"/>
        <v>18</v>
      </c>
      <c r="E197" s="65">
        <f t="shared" si="16"/>
        <v>17</v>
      </c>
      <c r="F197" s="65">
        <f t="shared" si="17"/>
        <v>3</v>
      </c>
      <c r="G197" s="109">
        <f t="shared" si="18"/>
        <v>45308.7640162037</v>
      </c>
      <c r="H197" s="110">
        <f t="shared" si="19"/>
        <v>4</v>
      </c>
    </row>
    <row r="198" spans="1:8">
      <c r="A198" s="55">
        <v>45312.6107638889</v>
      </c>
      <c r="B198" s="56">
        <v>45312.6160069444</v>
      </c>
      <c r="C198" s="35">
        <v>262</v>
      </c>
      <c r="D198" s="65">
        <f t="shared" si="15"/>
        <v>14</v>
      </c>
      <c r="E198" s="65">
        <f t="shared" si="16"/>
        <v>21</v>
      </c>
      <c r="F198" s="65">
        <f t="shared" si="17"/>
        <v>4</v>
      </c>
      <c r="G198" s="109">
        <f t="shared" si="18"/>
        <v>45312.6107638889</v>
      </c>
      <c r="H198" s="110">
        <f t="shared" si="19"/>
        <v>1</v>
      </c>
    </row>
    <row r="199" spans="1:8">
      <c r="A199" s="55">
        <v>45301.5310763889</v>
      </c>
      <c r="B199" s="56">
        <v>45301.5433564815</v>
      </c>
      <c r="C199" s="35">
        <v>334</v>
      </c>
      <c r="D199" s="65">
        <f t="shared" si="15"/>
        <v>12</v>
      </c>
      <c r="E199" s="65">
        <f t="shared" si="16"/>
        <v>10</v>
      </c>
      <c r="F199" s="65">
        <f t="shared" si="17"/>
        <v>2</v>
      </c>
      <c r="G199" s="109">
        <f t="shared" si="18"/>
        <v>45301.5310763889</v>
      </c>
      <c r="H199" s="110">
        <f t="shared" si="19"/>
        <v>4</v>
      </c>
    </row>
    <row r="200" spans="1:8">
      <c r="A200" s="55">
        <v>45301.4004976852</v>
      </c>
      <c r="B200" s="56">
        <v>45301.4140625</v>
      </c>
      <c r="C200" s="35">
        <v>398</v>
      </c>
      <c r="D200" s="65">
        <f t="shared" si="15"/>
        <v>9</v>
      </c>
      <c r="E200" s="65">
        <f t="shared" si="16"/>
        <v>10</v>
      </c>
      <c r="F200" s="65">
        <f t="shared" si="17"/>
        <v>2</v>
      </c>
      <c r="G200" s="109">
        <f t="shared" si="18"/>
        <v>45301.4004976852</v>
      </c>
      <c r="H200" s="110">
        <f t="shared" si="19"/>
        <v>4</v>
      </c>
    </row>
    <row r="201" spans="1:8">
      <c r="A201" s="55">
        <v>45294.7496296296</v>
      </c>
      <c r="B201" s="56">
        <v>45294.7658680556</v>
      </c>
      <c r="C201" s="35">
        <v>272</v>
      </c>
      <c r="D201" s="65">
        <f t="shared" si="15"/>
        <v>17</v>
      </c>
      <c r="E201" s="65">
        <f t="shared" si="16"/>
        <v>3</v>
      </c>
      <c r="F201" s="65">
        <f t="shared" si="17"/>
        <v>1</v>
      </c>
      <c r="G201" s="109">
        <f t="shared" si="18"/>
        <v>45294.7496296296</v>
      </c>
      <c r="H201" s="110">
        <f t="shared" si="19"/>
        <v>4</v>
      </c>
    </row>
    <row r="202" spans="1:8">
      <c r="A202" s="55">
        <v>45309.5889583333</v>
      </c>
      <c r="B202" s="56">
        <v>45309.6042361111</v>
      </c>
      <c r="C202" s="35">
        <v>255</v>
      </c>
      <c r="D202" s="65">
        <f t="shared" si="15"/>
        <v>14</v>
      </c>
      <c r="E202" s="65">
        <f t="shared" si="16"/>
        <v>18</v>
      </c>
      <c r="F202" s="65">
        <f t="shared" si="17"/>
        <v>3</v>
      </c>
      <c r="G202" s="109">
        <f t="shared" si="18"/>
        <v>45309.5889583333</v>
      </c>
      <c r="H202" s="110">
        <f t="shared" si="19"/>
        <v>5</v>
      </c>
    </row>
    <row r="203" spans="1:8">
      <c r="A203" s="55">
        <v>45299.2961342593</v>
      </c>
      <c r="B203" s="56">
        <v>45299.3046527778</v>
      </c>
      <c r="C203" s="35">
        <v>493</v>
      </c>
      <c r="D203" s="65">
        <f t="shared" si="15"/>
        <v>7</v>
      </c>
      <c r="E203" s="65">
        <f t="shared" si="16"/>
        <v>8</v>
      </c>
      <c r="F203" s="65">
        <f t="shared" si="17"/>
        <v>2</v>
      </c>
      <c r="G203" s="109">
        <f t="shared" si="18"/>
        <v>45299.2961342593</v>
      </c>
      <c r="H203" s="110">
        <f t="shared" si="19"/>
        <v>2</v>
      </c>
    </row>
    <row r="204" spans="1:8">
      <c r="A204" s="55">
        <v>45312.8963078704</v>
      </c>
      <c r="B204" s="56">
        <v>45312.901724537</v>
      </c>
      <c r="C204" s="35">
        <v>304</v>
      </c>
      <c r="D204" s="65">
        <f t="shared" si="15"/>
        <v>21</v>
      </c>
      <c r="E204" s="65">
        <f t="shared" si="16"/>
        <v>21</v>
      </c>
      <c r="F204" s="65">
        <f t="shared" si="17"/>
        <v>4</v>
      </c>
      <c r="G204" s="109">
        <f t="shared" si="18"/>
        <v>45312.8963078704</v>
      </c>
      <c r="H204" s="110">
        <f t="shared" si="19"/>
        <v>1</v>
      </c>
    </row>
    <row r="205" spans="1:8">
      <c r="A205" s="55">
        <v>45309.3326157407</v>
      </c>
      <c r="B205" s="56">
        <v>45309.3374537037</v>
      </c>
      <c r="C205" s="35">
        <v>437</v>
      </c>
      <c r="D205" s="65">
        <f t="shared" si="15"/>
        <v>7</v>
      </c>
      <c r="E205" s="65">
        <f t="shared" si="16"/>
        <v>18</v>
      </c>
      <c r="F205" s="65">
        <f t="shared" si="17"/>
        <v>3</v>
      </c>
      <c r="G205" s="109">
        <f t="shared" si="18"/>
        <v>45309.3326157407</v>
      </c>
      <c r="H205" s="110">
        <f t="shared" si="19"/>
        <v>5</v>
      </c>
    </row>
    <row r="206" spans="1:8">
      <c r="A206" s="55">
        <v>45315.663912037</v>
      </c>
      <c r="B206" s="56">
        <v>45315.6648148148</v>
      </c>
      <c r="C206" s="35">
        <v>315</v>
      </c>
      <c r="D206" s="65">
        <f t="shared" si="15"/>
        <v>15</v>
      </c>
      <c r="E206" s="65">
        <f t="shared" si="16"/>
        <v>24</v>
      </c>
      <c r="F206" s="65">
        <f t="shared" si="17"/>
        <v>4</v>
      </c>
      <c r="G206" s="109">
        <f t="shared" si="18"/>
        <v>45315.663912037</v>
      </c>
      <c r="H206" s="110">
        <f t="shared" si="19"/>
        <v>4</v>
      </c>
    </row>
    <row r="207" spans="1:8">
      <c r="A207" s="55">
        <v>45308.9139814815</v>
      </c>
      <c r="B207" s="56">
        <v>45308.9266203704</v>
      </c>
      <c r="C207" s="35">
        <v>489</v>
      </c>
      <c r="D207" s="65">
        <f t="shared" si="15"/>
        <v>21</v>
      </c>
      <c r="E207" s="65">
        <f t="shared" si="16"/>
        <v>17</v>
      </c>
      <c r="F207" s="65">
        <f t="shared" si="17"/>
        <v>3</v>
      </c>
      <c r="G207" s="109">
        <f t="shared" si="18"/>
        <v>45308.9139814815</v>
      </c>
      <c r="H207" s="110">
        <f t="shared" si="19"/>
        <v>4</v>
      </c>
    </row>
    <row r="208" spans="1:8">
      <c r="A208" s="55">
        <v>45312.6147106482</v>
      </c>
      <c r="B208" s="56">
        <v>45312.6157291667</v>
      </c>
      <c r="C208" s="35">
        <v>355</v>
      </c>
      <c r="D208" s="65">
        <f t="shared" si="15"/>
        <v>14</v>
      </c>
      <c r="E208" s="65">
        <f t="shared" si="16"/>
        <v>21</v>
      </c>
      <c r="F208" s="65">
        <f t="shared" si="17"/>
        <v>4</v>
      </c>
      <c r="G208" s="109">
        <f t="shared" si="18"/>
        <v>45312.6147106482</v>
      </c>
      <c r="H208" s="110">
        <f t="shared" si="19"/>
        <v>1</v>
      </c>
    </row>
    <row r="209" spans="1:8">
      <c r="A209" s="55">
        <v>45304.8141203704</v>
      </c>
      <c r="B209" s="56">
        <v>45304.8168634259</v>
      </c>
      <c r="C209" s="35">
        <v>420</v>
      </c>
      <c r="D209" s="65">
        <f t="shared" si="15"/>
        <v>19</v>
      </c>
      <c r="E209" s="65">
        <f t="shared" si="16"/>
        <v>13</v>
      </c>
      <c r="F209" s="65">
        <f t="shared" si="17"/>
        <v>2</v>
      </c>
      <c r="G209" s="109">
        <f t="shared" si="18"/>
        <v>45304.8141203704</v>
      </c>
      <c r="H209" s="110">
        <f t="shared" si="19"/>
        <v>7</v>
      </c>
    </row>
    <row r="210" spans="1:8">
      <c r="A210" s="55">
        <v>45300.7607407407</v>
      </c>
      <c r="B210" s="56">
        <v>45300.7792939815</v>
      </c>
      <c r="C210" s="35">
        <v>283</v>
      </c>
      <c r="D210" s="65">
        <f t="shared" si="15"/>
        <v>18</v>
      </c>
      <c r="E210" s="65">
        <f t="shared" si="16"/>
        <v>9</v>
      </c>
      <c r="F210" s="65">
        <f t="shared" si="17"/>
        <v>2</v>
      </c>
      <c r="G210" s="109">
        <f t="shared" si="18"/>
        <v>45300.7607407407</v>
      </c>
      <c r="H210" s="110">
        <f t="shared" si="19"/>
        <v>3</v>
      </c>
    </row>
    <row r="211" spans="1:8">
      <c r="A211" s="55">
        <v>45312.7390625</v>
      </c>
      <c r="B211" s="56">
        <v>45312.7412268519</v>
      </c>
      <c r="C211" s="35">
        <v>131</v>
      </c>
      <c r="D211" s="65">
        <f t="shared" si="15"/>
        <v>17</v>
      </c>
      <c r="E211" s="65">
        <f t="shared" si="16"/>
        <v>21</v>
      </c>
      <c r="F211" s="65">
        <f t="shared" si="17"/>
        <v>4</v>
      </c>
      <c r="G211" s="109">
        <f t="shared" si="18"/>
        <v>45312.7390625</v>
      </c>
      <c r="H211" s="110">
        <f t="shared" si="19"/>
        <v>1</v>
      </c>
    </row>
    <row r="212" spans="1:8">
      <c r="A212" s="55">
        <v>45314.6556365741</v>
      </c>
      <c r="B212" s="56">
        <v>45314.6714699074</v>
      </c>
      <c r="C212" s="35">
        <v>312</v>
      </c>
      <c r="D212" s="65">
        <f t="shared" si="15"/>
        <v>15</v>
      </c>
      <c r="E212" s="65">
        <f t="shared" si="16"/>
        <v>23</v>
      </c>
      <c r="F212" s="65">
        <f t="shared" si="17"/>
        <v>4</v>
      </c>
      <c r="G212" s="109">
        <f t="shared" si="18"/>
        <v>45314.6556365741</v>
      </c>
      <c r="H212" s="110">
        <f t="shared" si="19"/>
        <v>3</v>
      </c>
    </row>
    <row r="213" spans="1:8">
      <c r="A213" s="55">
        <v>45306.7268981481</v>
      </c>
      <c r="B213" s="56">
        <v>45306.7406018519</v>
      </c>
      <c r="C213" s="35">
        <v>492</v>
      </c>
      <c r="D213" s="65">
        <f t="shared" si="15"/>
        <v>17</v>
      </c>
      <c r="E213" s="65">
        <f t="shared" si="16"/>
        <v>15</v>
      </c>
      <c r="F213" s="65">
        <f t="shared" si="17"/>
        <v>3</v>
      </c>
      <c r="G213" s="109">
        <f t="shared" si="18"/>
        <v>45306.7268981481</v>
      </c>
      <c r="H213" s="110">
        <f t="shared" si="19"/>
        <v>2</v>
      </c>
    </row>
    <row r="214" spans="1:8">
      <c r="A214" s="55">
        <v>45317.3565740741</v>
      </c>
      <c r="B214" s="56">
        <v>45317.3697800926</v>
      </c>
      <c r="C214" s="35">
        <v>380</v>
      </c>
      <c r="D214" s="65">
        <f t="shared" si="15"/>
        <v>8</v>
      </c>
      <c r="E214" s="65">
        <f t="shared" si="16"/>
        <v>26</v>
      </c>
      <c r="F214" s="65">
        <f t="shared" si="17"/>
        <v>4</v>
      </c>
      <c r="G214" s="109">
        <f t="shared" si="18"/>
        <v>45317.3565740741</v>
      </c>
      <c r="H214" s="110">
        <f t="shared" si="19"/>
        <v>6</v>
      </c>
    </row>
    <row r="215" spans="1:8">
      <c r="A215" s="55">
        <v>45310.4238425926</v>
      </c>
      <c r="B215" s="56">
        <v>45310.4368634259</v>
      </c>
      <c r="C215" s="35">
        <v>462</v>
      </c>
      <c r="D215" s="65">
        <f t="shared" si="15"/>
        <v>10</v>
      </c>
      <c r="E215" s="65">
        <f t="shared" si="16"/>
        <v>19</v>
      </c>
      <c r="F215" s="65">
        <f t="shared" si="17"/>
        <v>3</v>
      </c>
      <c r="G215" s="109">
        <f t="shared" si="18"/>
        <v>45310.4238425926</v>
      </c>
      <c r="H215" s="110">
        <f t="shared" si="19"/>
        <v>6</v>
      </c>
    </row>
    <row r="216" spans="1:8">
      <c r="A216" s="55">
        <v>45308.8687847222</v>
      </c>
      <c r="B216" s="56">
        <v>45308.8802199074</v>
      </c>
      <c r="C216" s="35">
        <v>145</v>
      </c>
      <c r="D216" s="65">
        <f t="shared" si="15"/>
        <v>20</v>
      </c>
      <c r="E216" s="65">
        <f t="shared" si="16"/>
        <v>17</v>
      </c>
      <c r="F216" s="65">
        <f t="shared" si="17"/>
        <v>3</v>
      </c>
      <c r="G216" s="109">
        <f t="shared" si="18"/>
        <v>45308.8687847222</v>
      </c>
      <c r="H216" s="110">
        <f t="shared" si="19"/>
        <v>4</v>
      </c>
    </row>
    <row r="217" spans="1:8">
      <c r="A217" s="55">
        <v>45313.6569560185</v>
      </c>
      <c r="B217" s="56">
        <v>45313.667025463</v>
      </c>
      <c r="C217" s="35">
        <v>270</v>
      </c>
      <c r="D217" s="65">
        <f t="shared" si="15"/>
        <v>15</v>
      </c>
      <c r="E217" s="65">
        <f t="shared" si="16"/>
        <v>22</v>
      </c>
      <c r="F217" s="65">
        <f t="shared" si="17"/>
        <v>4</v>
      </c>
      <c r="G217" s="109">
        <f t="shared" si="18"/>
        <v>45313.6569560185</v>
      </c>
      <c r="H217" s="110">
        <f t="shared" si="19"/>
        <v>2</v>
      </c>
    </row>
    <row r="218" spans="1:8">
      <c r="A218" s="55">
        <v>45309.3332986111</v>
      </c>
      <c r="B218" s="56">
        <v>45309.335625</v>
      </c>
      <c r="C218" s="35">
        <v>493</v>
      </c>
      <c r="D218" s="65">
        <f t="shared" si="15"/>
        <v>7</v>
      </c>
      <c r="E218" s="65">
        <f t="shared" si="16"/>
        <v>18</v>
      </c>
      <c r="F218" s="65">
        <f t="shared" si="17"/>
        <v>3</v>
      </c>
      <c r="G218" s="109">
        <f t="shared" si="18"/>
        <v>45309.3332986111</v>
      </c>
      <c r="H218" s="110">
        <f t="shared" si="19"/>
        <v>5</v>
      </c>
    </row>
    <row r="219" spans="1:8">
      <c r="A219" s="55">
        <v>45312.8082986111</v>
      </c>
      <c r="B219" s="56">
        <v>45312.8180555556</v>
      </c>
      <c r="C219" s="35">
        <v>469</v>
      </c>
      <c r="D219" s="65">
        <f t="shared" si="15"/>
        <v>19</v>
      </c>
      <c r="E219" s="65">
        <f t="shared" si="16"/>
        <v>21</v>
      </c>
      <c r="F219" s="65">
        <f t="shared" si="17"/>
        <v>4</v>
      </c>
      <c r="G219" s="109">
        <f t="shared" si="18"/>
        <v>45312.8082986111</v>
      </c>
      <c r="H219" s="110">
        <f t="shared" si="19"/>
        <v>1</v>
      </c>
    </row>
    <row r="220" spans="1:8">
      <c r="A220" s="55">
        <v>45309.445775463</v>
      </c>
      <c r="B220" s="56">
        <v>45309.4547106481</v>
      </c>
      <c r="C220" s="35">
        <v>131</v>
      </c>
      <c r="D220" s="65">
        <f t="shared" si="15"/>
        <v>10</v>
      </c>
      <c r="E220" s="65">
        <f t="shared" si="16"/>
        <v>18</v>
      </c>
      <c r="F220" s="65">
        <f t="shared" si="17"/>
        <v>3</v>
      </c>
      <c r="G220" s="109">
        <f t="shared" si="18"/>
        <v>45309.445775463</v>
      </c>
      <c r="H220" s="110">
        <f t="shared" si="19"/>
        <v>5</v>
      </c>
    </row>
    <row r="221" spans="1:8">
      <c r="A221" s="55">
        <v>45292.6456365741</v>
      </c>
      <c r="B221" s="56">
        <v>45292.6633680556</v>
      </c>
      <c r="C221" s="35">
        <v>567</v>
      </c>
      <c r="D221" s="65">
        <f t="shared" si="15"/>
        <v>15</v>
      </c>
      <c r="E221" s="65">
        <f t="shared" si="16"/>
        <v>1</v>
      </c>
      <c r="F221" s="65">
        <f t="shared" si="17"/>
        <v>1</v>
      </c>
      <c r="G221" s="109">
        <f t="shared" si="18"/>
        <v>45292.6456365741</v>
      </c>
      <c r="H221" s="110">
        <f t="shared" si="19"/>
        <v>2</v>
      </c>
    </row>
    <row r="222" spans="1:8">
      <c r="A222" s="55">
        <v>45315.3769791667</v>
      </c>
      <c r="B222" s="56">
        <v>45315.3933217593</v>
      </c>
      <c r="C222" s="35">
        <v>439</v>
      </c>
      <c r="D222" s="65">
        <f t="shared" si="15"/>
        <v>9</v>
      </c>
      <c r="E222" s="65">
        <f t="shared" si="16"/>
        <v>24</v>
      </c>
      <c r="F222" s="65">
        <f t="shared" si="17"/>
        <v>4</v>
      </c>
      <c r="G222" s="109">
        <f t="shared" si="18"/>
        <v>45315.3769791667</v>
      </c>
      <c r="H222" s="110">
        <f t="shared" si="19"/>
        <v>4</v>
      </c>
    </row>
    <row r="223" spans="1:8">
      <c r="A223" s="55">
        <v>45311.3026273148</v>
      </c>
      <c r="B223" s="56">
        <v>45311.3043634259</v>
      </c>
      <c r="C223" s="35">
        <v>421</v>
      </c>
      <c r="D223" s="65">
        <f t="shared" si="15"/>
        <v>7</v>
      </c>
      <c r="E223" s="65">
        <f t="shared" si="16"/>
        <v>20</v>
      </c>
      <c r="F223" s="65">
        <f t="shared" si="17"/>
        <v>3</v>
      </c>
      <c r="G223" s="109">
        <f t="shared" si="18"/>
        <v>45311.3026273148</v>
      </c>
      <c r="H223" s="110">
        <f t="shared" si="19"/>
        <v>7</v>
      </c>
    </row>
    <row r="224" spans="1:8">
      <c r="A224" s="55">
        <v>45299.6921064815</v>
      </c>
      <c r="B224" s="56">
        <v>45299.7111111111</v>
      </c>
      <c r="C224" s="35">
        <v>338</v>
      </c>
      <c r="D224" s="65">
        <f t="shared" si="15"/>
        <v>16</v>
      </c>
      <c r="E224" s="65">
        <f t="shared" si="16"/>
        <v>8</v>
      </c>
      <c r="F224" s="65">
        <f t="shared" si="17"/>
        <v>2</v>
      </c>
      <c r="G224" s="109">
        <f t="shared" si="18"/>
        <v>45299.6921064815</v>
      </c>
      <c r="H224" s="110">
        <f t="shared" si="19"/>
        <v>2</v>
      </c>
    </row>
    <row r="225" spans="1:8">
      <c r="A225" s="55">
        <v>45305.6368402778</v>
      </c>
      <c r="B225" s="56">
        <v>45305.6507291667</v>
      </c>
      <c r="C225" s="35">
        <v>189</v>
      </c>
      <c r="D225" s="65">
        <f t="shared" si="15"/>
        <v>15</v>
      </c>
      <c r="E225" s="65">
        <f t="shared" si="16"/>
        <v>14</v>
      </c>
      <c r="F225" s="65">
        <f t="shared" si="17"/>
        <v>3</v>
      </c>
      <c r="G225" s="109">
        <f t="shared" si="18"/>
        <v>45305.6368402778</v>
      </c>
      <c r="H225" s="110">
        <f t="shared" si="19"/>
        <v>1</v>
      </c>
    </row>
    <row r="226" spans="1:8">
      <c r="A226" s="55">
        <v>45304.9310648148</v>
      </c>
      <c r="B226" s="56">
        <v>45304.9416203704</v>
      </c>
      <c r="C226" s="35">
        <v>428</v>
      </c>
      <c r="D226" s="65">
        <f t="shared" si="15"/>
        <v>22</v>
      </c>
      <c r="E226" s="65">
        <f t="shared" si="16"/>
        <v>13</v>
      </c>
      <c r="F226" s="65">
        <f t="shared" si="17"/>
        <v>2</v>
      </c>
      <c r="G226" s="109">
        <f t="shared" si="18"/>
        <v>45304.9310648148</v>
      </c>
      <c r="H226" s="110">
        <f t="shared" si="19"/>
        <v>7</v>
      </c>
    </row>
    <row r="227" spans="1:8">
      <c r="A227" s="55">
        <v>45299.6630208333</v>
      </c>
      <c r="B227" s="56">
        <v>45299.6671296296</v>
      </c>
      <c r="C227" s="35">
        <v>484</v>
      </c>
      <c r="D227" s="65">
        <f t="shared" si="15"/>
        <v>15</v>
      </c>
      <c r="E227" s="65">
        <f t="shared" si="16"/>
        <v>8</v>
      </c>
      <c r="F227" s="65">
        <f t="shared" si="17"/>
        <v>2</v>
      </c>
      <c r="G227" s="109">
        <f t="shared" si="18"/>
        <v>45299.6630208333</v>
      </c>
      <c r="H227" s="110">
        <f t="shared" si="19"/>
        <v>2</v>
      </c>
    </row>
    <row r="228" spans="1:8">
      <c r="A228" s="55">
        <v>45299.5926041667</v>
      </c>
      <c r="B228" s="56">
        <v>45299.6086226852</v>
      </c>
      <c r="C228" s="35">
        <v>90</v>
      </c>
      <c r="D228" s="65">
        <f t="shared" si="15"/>
        <v>14</v>
      </c>
      <c r="E228" s="65">
        <f t="shared" si="16"/>
        <v>8</v>
      </c>
      <c r="F228" s="65">
        <f t="shared" si="17"/>
        <v>2</v>
      </c>
      <c r="G228" s="109">
        <f t="shared" si="18"/>
        <v>45299.5926041667</v>
      </c>
      <c r="H228" s="110">
        <f t="shared" si="19"/>
        <v>2</v>
      </c>
    </row>
    <row r="229" spans="1:8">
      <c r="A229" s="55">
        <v>45300.7803009259</v>
      </c>
      <c r="B229" s="56">
        <v>45300.7952777778</v>
      </c>
      <c r="C229" s="35">
        <v>50</v>
      </c>
      <c r="D229" s="65">
        <f t="shared" si="15"/>
        <v>18</v>
      </c>
      <c r="E229" s="65">
        <f t="shared" si="16"/>
        <v>9</v>
      </c>
      <c r="F229" s="65">
        <f t="shared" si="17"/>
        <v>2</v>
      </c>
      <c r="G229" s="109">
        <f t="shared" si="18"/>
        <v>45300.7803009259</v>
      </c>
      <c r="H229" s="110">
        <f t="shared" si="19"/>
        <v>3</v>
      </c>
    </row>
    <row r="230" spans="1:8">
      <c r="A230" s="55">
        <v>45307.5388657407</v>
      </c>
      <c r="B230" s="56">
        <v>45307.5474421296</v>
      </c>
      <c r="C230" s="35">
        <v>320</v>
      </c>
      <c r="D230" s="65">
        <f t="shared" si="15"/>
        <v>12</v>
      </c>
      <c r="E230" s="65">
        <f t="shared" si="16"/>
        <v>16</v>
      </c>
      <c r="F230" s="65">
        <f t="shared" si="17"/>
        <v>3</v>
      </c>
      <c r="G230" s="109">
        <f t="shared" si="18"/>
        <v>45307.5388657407</v>
      </c>
      <c r="H230" s="110">
        <f t="shared" si="19"/>
        <v>3</v>
      </c>
    </row>
    <row r="231" spans="1:8">
      <c r="A231" s="55">
        <v>45316.9154513889</v>
      </c>
      <c r="B231" s="56">
        <v>45316.9326273148</v>
      </c>
      <c r="C231" s="35">
        <v>219</v>
      </c>
      <c r="D231" s="65">
        <f t="shared" si="15"/>
        <v>21</v>
      </c>
      <c r="E231" s="65">
        <f t="shared" si="16"/>
        <v>25</v>
      </c>
      <c r="F231" s="65">
        <f t="shared" si="17"/>
        <v>4</v>
      </c>
      <c r="G231" s="109">
        <f t="shared" si="18"/>
        <v>45316.9154513889</v>
      </c>
      <c r="H231" s="110">
        <f t="shared" si="19"/>
        <v>5</v>
      </c>
    </row>
    <row r="232" spans="1:8">
      <c r="A232" s="55">
        <v>45306.721712963</v>
      </c>
      <c r="B232" s="56">
        <v>45306.7309259259</v>
      </c>
      <c r="C232" s="35">
        <v>535</v>
      </c>
      <c r="D232" s="65">
        <f t="shared" si="15"/>
        <v>17</v>
      </c>
      <c r="E232" s="65">
        <f t="shared" si="16"/>
        <v>15</v>
      </c>
      <c r="F232" s="65">
        <f t="shared" si="17"/>
        <v>3</v>
      </c>
      <c r="G232" s="109">
        <f t="shared" si="18"/>
        <v>45306.721712963</v>
      </c>
      <c r="H232" s="110">
        <f t="shared" si="19"/>
        <v>2</v>
      </c>
    </row>
    <row r="233" spans="1:8">
      <c r="A233" s="55">
        <v>45316.7070949074</v>
      </c>
      <c r="B233" s="56">
        <v>45316.7165740741</v>
      </c>
      <c r="C233" s="35">
        <v>330</v>
      </c>
      <c r="D233" s="65">
        <f t="shared" si="15"/>
        <v>16</v>
      </c>
      <c r="E233" s="65">
        <f t="shared" si="16"/>
        <v>25</v>
      </c>
      <c r="F233" s="65">
        <f t="shared" si="17"/>
        <v>4</v>
      </c>
      <c r="G233" s="109">
        <f t="shared" si="18"/>
        <v>45316.7070949074</v>
      </c>
      <c r="H233" s="110">
        <f t="shared" si="19"/>
        <v>5</v>
      </c>
    </row>
    <row r="234" spans="1:8">
      <c r="A234" s="55">
        <v>45292.6083217593</v>
      </c>
      <c r="B234" s="56">
        <v>45292.6228587963</v>
      </c>
      <c r="C234" s="35">
        <v>437</v>
      </c>
      <c r="D234" s="65">
        <f t="shared" si="15"/>
        <v>14</v>
      </c>
      <c r="E234" s="65">
        <f t="shared" si="16"/>
        <v>1</v>
      </c>
      <c r="F234" s="65">
        <f t="shared" si="17"/>
        <v>1</v>
      </c>
      <c r="G234" s="109">
        <f t="shared" si="18"/>
        <v>45292.6083217593</v>
      </c>
      <c r="H234" s="110">
        <f t="shared" si="19"/>
        <v>2</v>
      </c>
    </row>
    <row r="235" spans="1:8">
      <c r="A235" s="55">
        <v>45318.563599537</v>
      </c>
      <c r="B235" s="56">
        <v>45318.5798032407</v>
      </c>
      <c r="C235" s="35">
        <v>355</v>
      </c>
      <c r="D235" s="65">
        <f t="shared" si="15"/>
        <v>13</v>
      </c>
      <c r="E235" s="65">
        <f t="shared" si="16"/>
        <v>27</v>
      </c>
      <c r="F235" s="65">
        <f t="shared" si="17"/>
        <v>4</v>
      </c>
      <c r="G235" s="109">
        <f t="shared" si="18"/>
        <v>45318.563599537</v>
      </c>
      <c r="H235" s="110">
        <f t="shared" si="19"/>
        <v>7</v>
      </c>
    </row>
    <row r="236" spans="1:8">
      <c r="A236" s="55">
        <v>45297.7153703704</v>
      </c>
      <c r="B236" s="56">
        <v>45297.7331365741</v>
      </c>
      <c r="C236" s="35">
        <v>569</v>
      </c>
      <c r="D236" s="65">
        <f t="shared" si="15"/>
        <v>17</v>
      </c>
      <c r="E236" s="65">
        <f t="shared" si="16"/>
        <v>6</v>
      </c>
      <c r="F236" s="65">
        <f t="shared" si="17"/>
        <v>1</v>
      </c>
      <c r="G236" s="109">
        <f t="shared" si="18"/>
        <v>45297.7153703704</v>
      </c>
      <c r="H236" s="110">
        <f t="shared" si="19"/>
        <v>7</v>
      </c>
    </row>
    <row r="237" spans="1:8">
      <c r="A237" s="55">
        <v>45293.3699305556</v>
      </c>
      <c r="B237" s="56">
        <v>45293.3717708333</v>
      </c>
      <c r="C237" s="35">
        <v>16</v>
      </c>
      <c r="D237" s="65">
        <f t="shared" si="15"/>
        <v>8</v>
      </c>
      <c r="E237" s="65">
        <f t="shared" si="16"/>
        <v>2</v>
      </c>
      <c r="F237" s="65">
        <f t="shared" si="17"/>
        <v>1</v>
      </c>
      <c r="G237" s="109">
        <f t="shared" si="18"/>
        <v>45293.3699305556</v>
      </c>
      <c r="H237" s="110">
        <f t="shared" si="19"/>
        <v>3</v>
      </c>
    </row>
    <row r="238" spans="1:8">
      <c r="A238" s="55">
        <v>45308.8493402778</v>
      </c>
      <c r="B238" s="56">
        <v>45308.8646759259</v>
      </c>
      <c r="C238" s="35">
        <v>504</v>
      </c>
      <c r="D238" s="65">
        <f t="shared" si="15"/>
        <v>20</v>
      </c>
      <c r="E238" s="65">
        <f t="shared" si="16"/>
        <v>17</v>
      </c>
      <c r="F238" s="65">
        <f t="shared" si="17"/>
        <v>3</v>
      </c>
      <c r="G238" s="109">
        <f t="shared" si="18"/>
        <v>45308.8493402778</v>
      </c>
      <c r="H238" s="110">
        <f t="shared" si="19"/>
        <v>4</v>
      </c>
    </row>
    <row r="239" spans="1:8">
      <c r="A239" s="55">
        <v>45292.9488078704</v>
      </c>
      <c r="B239" s="56">
        <v>45292.9621990741</v>
      </c>
      <c r="C239" s="35">
        <v>303</v>
      </c>
      <c r="D239" s="65">
        <f t="shared" si="15"/>
        <v>22</v>
      </c>
      <c r="E239" s="65">
        <f t="shared" si="16"/>
        <v>1</v>
      </c>
      <c r="F239" s="65">
        <f t="shared" si="17"/>
        <v>1</v>
      </c>
      <c r="G239" s="109">
        <f t="shared" si="18"/>
        <v>45292.9488078704</v>
      </c>
      <c r="H239" s="110">
        <f t="shared" si="19"/>
        <v>2</v>
      </c>
    </row>
    <row r="240" spans="1:8">
      <c r="A240" s="55">
        <v>45298.9283796296</v>
      </c>
      <c r="B240" s="56">
        <v>45298.9374652778</v>
      </c>
      <c r="C240" s="35">
        <v>283</v>
      </c>
      <c r="D240" s="65">
        <f t="shared" si="15"/>
        <v>22</v>
      </c>
      <c r="E240" s="65">
        <f t="shared" si="16"/>
        <v>7</v>
      </c>
      <c r="F240" s="65">
        <f t="shared" si="17"/>
        <v>2</v>
      </c>
      <c r="G240" s="109">
        <f t="shared" si="18"/>
        <v>45298.9283796296</v>
      </c>
      <c r="H240" s="110">
        <f t="shared" si="19"/>
        <v>1</v>
      </c>
    </row>
    <row r="241" spans="1:8">
      <c r="A241" s="55">
        <v>45299.5553587963</v>
      </c>
      <c r="B241" s="56">
        <v>45299.5756712963</v>
      </c>
      <c r="C241" s="35">
        <v>92</v>
      </c>
      <c r="D241" s="65">
        <f t="shared" si="15"/>
        <v>13</v>
      </c>
      <c r="E241" s="65">
        <f t="shared" si="16"/>
        <v>8</v>
      </c>
      <c r="F241" s="65">
        <f t="shared" si="17"/>
        <v>2</v>
      </c>
      <c r="G241" s="109">
        <f t="shared" si="18"/>
        <v>45299.5553587963</v>
      </c>
      <c r="H241" s="110">
        <f t="shared" si="19"/>
        <v>2</v>
      </c>
    </row>
    <row r="242" spans="1:8">
      <c r="A242" s="55">
        <v>45293.2806712963</v>
      </c>
      <c r="B242" s="56">
        <v>45293.2833217593</v>
      </c>
      <c r="C242" s="35">
        <v>521</v>
      </c>
      <c r="D242" s="65">
        <f t="shared" si="15"/>
        <v>6</v>
      </c>
      <c r="E242" s="65">
        <f t="shared" si="16"/>
        <v>2</v>
      </c>
      <c r="F242" s="65">
        <f t="shared" si="17"/>
        <v>1</v>
      </c>
      <c r="G242" s="109">
        <f t="shared" si="18"/>
        <v>45293.2806712963</v>
      </c>
      <c r="H242" s="110">
        <f t="shared" si="19"/>
        <v>3</v>
      </c>
    </row>
    <row r="243" spans="1:8">
      <c r="A243" s="55">
        <v>45308.3015393519</v>
      </c>
      <c r="B243" s="56">
        <v>45308.3186342593</v>
      </c>
      <c r="C243" s="35">
        <v>590</v>
      </c>
      <c r="D243" s="65">
        <f t="shared" si="15"/>
        <v>7</v>
      </c>
      <c r="E243" s="65">
        <f t="shared" si="16"/>
        <v>17</v>
      </c>
      <c r="F243" s="65">
        <f t="shared" si="17"/>
        <v>3</v>
      </c>
      <c r="G243" s="109">
        <f t="shared" si="18"/>
        <v>45308.3015393519</v>
      </c>
      <c r="H243" s="110">
        <f t="shared" si="19"/>
        <v>4</v>
      </c>
    </row>
    <row r="244" spans="1:8">
      <c r="A244" s="55">
        <v>45300.2999884259</v>
      </c>
      <c r="B244" s="56">
        <v>45300.3081365741</v>
      </c>
      <c r="C244" s="35">
        <v>26</v>
      </c>
      <c r="D244" s="65">
        <f t="shared" si="15"/>
        <v>7</v>
      </c>
      <c r="E244" s="65">
        <f t="shared" si="16"/>
        <v>9</v>
      </c>
      <c r="F244" s="65">
        <f t="shared" si="17"/>
        <v>2</v>
      </c>
      <c r="G244" s="109">
        <f t="shared" si="18"/>
        <v>45300.2999884259</v>
      </c>
      <c r="H244" s="110">
        <f t="shared" si="19"/>
        <v>3</v>
      </c>
    </row>
    <row r="245" spans="1:8">
      <c r="A245" s="55">
        <v>45297.5672800926</v>
      </c>
      <c r="B245" s="56">
        <v>45297.5881018518</v>
      </c>
      <c r="C245" s="35">
        <v>408</v>
      </c>
      <c r="D245" s="65">
        <f t="shared" si="15"/>
        <v>13</v>
      </c>
      <c r="E245" s="65">
        <f t="shared" si="16"/>
        <v>6</v>
      </c>
      <c r="F245" s="65">
        <f t="shared" si="17"/>
        <v>1</v>
      </c>
      <c r="G245" s="109">
        <f t="shared" si="18"/>
        <v>45297.5672800926</v>
      </c>
      <c r="H245" s="110">
        <f t="shared" si="19"/>
        <v>7</v>
      </c>
    </row>
    <row r="246" spans="1:8">
      <c r="A246" s="55">
        <v>45314.356099537</v>
      </c>
      <c r="B246" s="56">
        <v>45314.3649884259</v>
      </c>
      <c r="C246" s="35">
        <v>64</v>
      </c>
      <c r="D246" s="65">
        <f t="shared" si="15"/>
        <v>8</v>
      </c>
      <c r="E246" s="65">
        <f t="shared" si="16"/>
        <v>23</v>
      </c>
      <c r="F246" s="65">
        <f t="shared" si="17"/>
        <v>4</v>
      </c>
      <c r="G246" s="109">
        <f t="shared" si="18"/>
        <v>45314.356099537</v>
      </c>
      <c r="H246" s="110">
        <f t="shared" si="19"/>
        <v>3</v>
      </c>
    </row>
    <row r="247" spans="1:8">
      <c r="A247" s="55">
        <v>45316.7842592593</v>
      </c>
      <c r="B247" s="56">
        <v>45316.7856481482</v>
      </c>
      <c r="C247" s="35">
        <v>289</v>
      </c>
      <c r="D247" s="65">
        <f t="shared" si="15"/>
        <v>18</v>
      </c>
      <c r="E247" s="65">
        <f t="shared" si="16"/>
        <v>25</v>
      </c>
      <c r="F247" s="65">
        <f t="shared" si="17"/>
        <v>4</v>
      </c>
      <c r="G247" s="109">
        <f t="shared" si="18"/>
        <v>45316.7842592593</v>
      </c>
      <c r="H247" s="110">
        <f t="shared" si="19"/>
        <v>5</v>
      </c>
    </row>
    <row r="248" spans="1:8">
      <c r="A248" s="55">
        <v>45297.7540393519</v>
      </c>
      <c r="B248" s="56">
        <v>45297.7693865741</v>
      </c>
      <c r="C248" s="35">
        <v>312</v>
      </c>
      <c r="D248" s="65">
        <f t="shared" si="15"/>
        <v>18</v>
      </c>
      <c r="E248" s="65">
        <f t="shared" si="16"/>
        <v>6</v>
      </c>
      <c r="F248" s="65">
        <f t="shared" si="17"/>
        <v>1</v>
      </c>
      <c r="G248" s="109">
        <f t="shared" si="18"/>
        <v>45297.7540393519</v>
      </c>
      <c r="H248" s="110">
        <f t="shared" si="19"/>
        <v>7</v>
      </c>
    </row>
    <row r="249" spans="1:8">
      <c r="A249" s="55">
        <v>45317.4495833333</v>
      </c>
      <c r="B249" s="56">
        <v>45317.4577777778</v>
      </c>
      <c r="C249" s="35">
        <v>379</v>
      </c>
      <c r="D249" s="65">
        <f t="shared" si="15"/>
        <v>10</v>
      </c>
      <c r="E249" s="65">
        <f t="shared" si="16"/>
        <v>26</v>
      </c>
      <c r="F249" s="65">
        <f t="shared" si="17"/>
        <v>4</v>
      </c>
      <c r="G249" s="109">
        <f t="shared" si="18"/>
        <v>45317.4495833333</v>
      </c>
      <c r="H249" s="110">
        <f t="shared" si="19"/>
        <v>6</v>
      </c>
    </row>
    <row r="250" spans="1:8">
      <c r="A250" s="55">
        <v>45316.5875925926</v>
      </c>
      <c r="B250" s="56">
        <v>45316.5903472222</v>
      </c>
      <c r="C250" s="35">
        <v>201</v>
      </c>
      <c r="D250" s="65">
        <f t="shared" si="15"/>
        <v>14</v>
      </c>
      <c r="E250" s="65">
        <f t="shared" si="16"/>
        <v>25</v>
      </c>
      <c r="F250" s="65">
        <f t="shared" si="17"/>
        <v>4</v>
      </c>
      <c r="G250" s="109">
        <f t="shared" si="18"/>
        <v>45316.5875925926</v>
      </c>
      <c r="H250" s="110">
        <f t="shared" si="19"/>
        <v>5</v>
      </c>
    </row>
    <row r="251" spans="1:8">
      <c r="A251" s="55">
        <v>45292.3490162037</v>
      </c>
      <c r="B251" s="56">
        <v>45292.3519097222</v>
      </c>
      <c r="C251" s="35">
        <v>342</v>
      </c>
      <c r="D251" s="65">
        <f t="shared" si="15"/>
        <v>8</v>
      </c>
      <c r="E251" s="65">
        <f t="shared" si="16"/>
        <v>1</v>
      </c>
      <c r="F251" s="65">
        <f t="shared" si="17"/>
        <v>1</v>
      </c>
      <c r="G251" s="109">
        <f t="shared" si="18"/>
        <v>45292.3490162037</v>
      </c>
      <c r="H251" s="110">
        <f t="shared" si="19"/>
        <v>2</v>
      </c>
    </row>
    <row r="252" spans="1:8">
      <c r="A252" s="55">
        <v>45309.5670486111</v>
      </c>
      <c r="B252" s="56">
        <v>45309.5717592593</v>
      </c>
      <c r="C252" s="35">
        <v>399</v>
      </c>
      <c r="D252" s="65">
        <f t="shared" si="15"/>
        <v>13</v>
      </c>
      <c r="E252" s="65">
        <f t="shared" si="16"/>
        <v>18</v>
      </c>
      <c r="F252" s="65">
        <f t="shared" si="17"/>
        <v>3</v>
      </c>
      <c r="G252" s="109">
        <f t="shared" si="18"/>
        <v>45309.5670486111</v>
      </c>
      <c r="H252" s="110">
        <f t="shared" si="19"/>
        <v>5</v>
      </c>
    </row>
    <row r="253" spans="1:8">
      <c r="A253" s="55">
        <v>45294.4772800926</v>
      </c>
      <c r="B253" s="56">
        <v>45294.4879513889</v>
      </c>
      <c r="C253" s="35">
        <v>316</v>
      </c>
      <c r="D253" s="65">
        <f t="shared" si="15"/>
        <v>11</v>
      </c>
      <c r="E253" s="65">
        <f t="shared" si="16"/>
        <v>3</v>
      </c>
      <c r="F253" s="65">
        <f t="shared" si="17"/>
        <v>1</v>
      </c>
      <c r="G253" s="109">
        <f t="shared" si="18"/>
        <v>45294.4772800926</v>
      </c>
      <c r="H253" s="110">
        <f t="shared" si="19"/>
        <v>4</v>
      </c>
    </row>
    <row r="254" spans="1:8">
      <c r="A254" s="55">
        <v>45312.9018402778</v>
      </c>
      <c r="B254" s="56">
        <v>45312.9071643519</v>
      </c>
      <c r="C254" s="35">
        <v>478</v>
      </c>
      <c r="D254" s="65">
        <f t="shared" si="15"/>
        <v>21</v>
      </c>
      <c r="E254" s="65">
        <f t="shared" si="16"/>
        <v>21</v>
      </c>
      <c r="F254" s="65">
        <f t="shared" si="17"/>
        <v>4</v>
      </c>
      <c r="G254" s="109">
        <f t="shared" si="18"/>
        <v>45312.9018402778</v>
      </c>
      <c r="H254" s="110">
        <f t="shared" si="19"/>
        <v>1</v>
      </c>
    </row>
    <row r="255" spans="1:8">
      <c r="A255" s="55">
        <v>45304.6863541667</v>
      </c>
      <c r="B255" s="56">
        <v>45304.6972453704</v>
      </c>
      <c r="C255" s="35">
        <v>149</v>
      </c>
      <c r="D255" s="65">
        <f t="shared" si="15"/>
        <v>16</v>
      </c>
      <c r="E255" s="65">
        <f t="shared" si="16"/>
        <v>13</v>
      </c>
      <c r="F255" s="65">
        <f t="shared" si="17"/>
        <v>2</v>
      </c>
      <c r="G255" s="109">
        <f t="shared" si="18"/>
        <v>45304.6863541667</v>
      </c>
      <c r="H255" s="110">
        <f t="shared" si="19"/>
        <v>7</v>
      </c>
    </row>
    <row r="256" spans="1:8">
      <c r="A256" s="55">
        <v>45302.4759259259</v>
      </c>
      <c r="B256" s="56">
        <v>45302.4835185185</v>
      </c>
      <c r="C256" s="35">
        <v>512</v>
      </c>
      <c r="D256" s="65">
        <f t="shared" si="15"/>
        <v>11</v>
      </c>
      <c r="E256" s="65">
        <f t="shared" si="16"/>
        <v>11</v>
      </c>
      <c r="F256" s="65">
        <f t="shared" si="17"/>
        <v>2</v>
      </c>
      <c r="G256" s="109">
        <f t="shared" si="18"/>
        <v>45302.4759259259</v>
      </c>
      <c r="H256" s="110">
        <f t="shared" si="19"/>
        <v>5</v>
      </c>
    </row>
    <row r="257" spans="1:8">
      <c r="A257" s="55">
        <v>45295.526087963</v>
      </c>
      <c r="B257" s="56">
        <v>45295.5310416667</v>
      </c>
      <c r="C257" s="35">
        <v>573</v>
      </c>
      <c r="D257" s="65">
        <f t="shared" si="15"/>
        <v>12</v>
      </c>
      <c r="E257" s="65">
        <f t="shared" si="16"/>
        <v>4</v>
      </c>
      <c r="F257" s="65">
        <f t="shared" si="17"/>
        <v>1</v>
      </c>
      <c r="G257" s="109">
        <f t="shared" si="18"/>
        <v>45295.526087963</v>
      </c>
      <c r="H257" s="110">
        <f t="shared" si="19"/>
        <v>5</v>
      </c>
    </row>
    <row r="258" spans="1:8">
      <c r="A258" s="55">
        <v>45318.8218865741</v>
      </c>
      <c r="B258" s="56">
        <v>45318.8258796296</v>
      </c>
      <c r="C258" s="35">
        <v>320</v>
      </c>
      <c r="D258" s="65">
        <f t="shared" si="15"/>
        <v>19</v>
      </c>
      <c r="E258" s="65">
        <f t="shared" si="16"/>
        <v>27</v>
      </c>
      <c r="F258" s="65">
        <f t="shared" si="17"/>
        <v>4</v>
      </c>
      <c r="G258" s="109">
        <f t="shared" si="18"/>
        <v>45318.8218865741</v>
      </c>
      <c r="H258" s="110">
        <f t="shared" si="19"/>
        <v>7</v>
      </c>
    </row>
    <row r="259" spans="1:8">
      <c r="A259" s="55">
        <v>45306.9009837963</v>
      </c>
      <c r="B259" s="56">
        <v>45306.9143402778</v>
      </c>
      <c r="C259" s="35">
        <v>528</v>
      </c>
      <c r="D259" s="65">
        <f t="shared" ref="D259:D322" si="20">HOUR(A259)</f>
        <v>21</v>
      </c>
      <c r="E259" s="65">
        <f t="shared" ref="E259:E322" si="21">DAY(A259)</f>
        <v>15</v>
      </c>
      <c r="F259" s="65">
        <f t="shared" ref="F259:F322" si="22">WEEKNUM(A259)</f>
        <v>3</v>
      </c>
      <c r="G259" s="109">
        <f t="shared" ref="G259:G322" si="23">A259</f>
        <v>45306.9009837963</v>
      </c>
      <c r="H259" s="110">
        <f t="shared" ref="H259:H322" si="24">WEEKDAY(A259)</f>
        <v>2</v>
      </c>
    </row>
    <row r="260" spans="1:8">
      <c r="A260" s="55">
        <v>45312.3380671296</v>
      </c>
      <c r="B260" s="56">
        <v>45312.3446412037</v>
      </c>
      <c r="C260" s="35">
        <v>373</v>
      </c>
      <c r="D260" s="65">
        <f t="shared" si="20"/>
        <v>8</v>
      </c>
      <c r="E260" s="65">
        <f t="shared" si="21"/>
        <v>21</v>
      </c>
      <c r="F260" s="65">
        <f t="shared" si="22"/>
        <v>4</v>
      </c>
      <c r="G260" s="109">
        <f t="shared" si="23"/>
        <v>45312.3380671296</v>
      </c>
      <c r="H260" s="110">
        <f t="shared" si="24"/>
        <v>1</v>
      </c>
    </row>
    <row r="261" spans="1:8">
      <c r="A261" s="55">
        <v>45304.7017013889</v>
      </c>
      <c r="B261" s="56">
        <v>45304.7048958333</v>
      </c>
      <c r="C261" s="35">
        <v>20</v>
      </c>
      <c r="D261" s="65">
        <f t="shared" si="20"/>
        <v>16</v>
      </c>
      <c r="E261" s="65">
        <f t="shared" si="21"/>
        <v>13</v>
      </c>
      <c r="F261" s="65">
        <f t="shared" si="22"/>
        <v>2</v>
      </c>
      <c r="G261" s="109">
        <f t="shared" si="23"/>
        <v>45304.7017013889</v>
      </c>
      <c r="H261" s="110">
        <f t="shared" si="24"/>
        <v>7</v>
      </c>
    </row>
    <row r="262" spans="1:8">
      <c r="A262" s="55">
        <v>45310.5613773148</v>
      </c>
      <c r="B262" s="56">
        <v>45310.5713425926</v>
      </c>
      <c r="C262" s="35">
        <v>484</v>
      </c>
      <c r="D262" s="65">
        <f t="shared" si="20"/>
        <v>13</v>
      </c>
      <c r="E262" s="65">
        <f t="shared" si="21"/>
        <v>19</v>
      </c>
      <c r="F262" s="65">
        <f t="shared" si="22"/>
        <v>3</v>
      </c>
      <c r="G262" s="109">
        <f t="shared" si="23"/>
        <v>45310.5613773148</v>
      </c>
      <c r="H262" s="110">
        <f t="shared" si="24"/>
        <v>6</v>
      </c>
    </row>
    <row r="263" spans="1:8">
      <c r="A263" s="55">
        <v>45301.8320023148</v>
      </c>
      <c r="B263" s="56">
        <v>45301.8354398148</v>
      </c>
      <c r="C263" s="35">
        <v>155</v>
      </c>
      <c r="D263" s="65">
        <f t="shared" si="20"/>
        <v>19</v>
      </c>
      <c r="E263" s="65">
        <f t="shared" si="21"/>
        <v>10</v>
      </c>
      <c r="F263" s="65">
        <f t="shared" si="22"/>
        <v>2</v>
      </c>
      <c r="G263" s="109">
        <f t="shared" si="23"/>
        <v>45301.8320023148</v>
      </c>
      <c r="H263" s="110">
        <f t="shared" si="24"/>
        <v>4</v>
      </c>
    </row>
    <row r="264" spans="1:8">
      <c r="A264" s="55">
        <v>45307.7292361111</v>
      </c>
      <c r="B264" s="56">
        <v>45307.7403125</v>
      </c>
      <c r="C264" s="35">
        <v>473</v>
      </c>
      <c r="D264" s="65">
        <f t="shared" si="20"/>
        <v>17</v>
      </c>
      <c r="E264" s="65">
        <f t="shared" si="21"/>
        <v>16</v>
      </c>
      <c r="F264" s="65">
        <f t="shared" si="22"/>
        <v>3</v>
      </c>
      <c r="G264" s="109">
        <f t="shared" si="23"/>
        <v>45307.7292361111</v>
      </c>
      <c r="H264" s="110">
        <f t="shared" si="24"/>
        <v>3</v>
      </c>
    </row>
    <row r="265" spans="1:8">
      <c r="A265" s="55">
        <v>45302.4054513889</v>
      </c>
      <c r="B265" s="56">
        <v>45302.4100347222</v>
      </c>
      <c r="C265" s="35">
        <v>259</v>
      </c>
      <c r="D265" s="65">
        <f t="shared" si="20"/>
        <v>9</v>
      </c>
      <c r="E265" s="65">
        <f t="shared" si="21"/>
        <v>11</v>
      </c>
      <c r="F265" s="65">
        <f t="shared" si="22"/>
        <v>2</v>
      </c>
      <c r="G265" s="109">
        <f t="shared" si="23"/>
        <v>45302.4054513889</v>
      </c>
      <c r="H265" s="110">
        <f t="shared" si="24"/>
        <v>5</v>
      </c>
    </row>
    <row r="266" spans="1:8">
      <c r="A266" s="55">
        <v>45299.7779050926</v>
      </c>
      <c r="B266" s="56">
        <v>45299.7830092593</v>
      </c>
      <c r="C266" s="35">
        <v>452</v>
      </c>
      <c r="D266" s="65">
        <f t="shared" si="20"/>
        <v>18</v>
      </c>
      <c r="E266" s="65">
        <f t="shared" si="21"/>
        <v>8</v>
      </c>
      <c r="F266" s="65">
        <f t="shared" si="22"/>
        <v>2</v>
      </c>
      <c r="G266" s="109">
        <f t="shared" si="23"/>
        <v>45299.7779050926</v>
      </c>
      <c r="H266" s="110">
        <f t="shared" si="24"/>
        <v>2</v>
      </c>
    </row>
    <row r="267" spans="1:8">
      <c r="A267" s="55">
        <v>45310.8083333333</v>
      </c>
      <c r="B267" s="56">
        <v>45310.8257291667</v>
      </c>
      <c r="C267" s="35">
        <v>229</v>
      </c>
      <c r="D267" s="65">
        <f t="shared" si="20"/>
        <v>19</v>
      </c>
      <c r="E267" s="65">
        <f t="shared" si="21"/>
        <v>19</v>
      </c>
      <c r="F267" s="65">
        <f t="shared" si="22"/>
        <v>3</v>
      </c>
      <c r="G267" s="109">
        <f t="shared" si="23"/>
        <v>45310.8083333333</v>
      </c>
      <c r="H267" s="110">
        <f t="shared" si="24"/>
        <v>6</v>
      </c>
    </row>
    <row r="268" spans="1:8">
      <c r="A268" s="55">
        <v>45295.474537037</v>
      </c>
      <c r="B268" s="56">
        <v>45295.4798958333</v>
      </c>
      <c r="C268" s="35">
        <v>478</v>
      </c>
      <c r="D268" s="65">
        <f t="shared" si="20"/>
        <v>11</v>
      </c>
      <c r="E268" s="65">
        <f t="shared" si="21"/>
        <v>4</v>
      </c>
      <c r="F268" s="65">
        <f t="shared" si="22"/>
        <v>1</v>
      </c>
      <c r="G268" s="109">
        <f t="shared" si="23"/>
        <v>45295.474537037</v>
      </c>
      <c r="H268" s="110">
        <f t="shared" si="24"/>
        <v>5</v>
      </c>
    </row>
    <row r="269" spans="1:8">
      <c r="A269" s="55">
        <v>45302.7773726852</v>
      </c>
      <c r="B269" s="56">
        <v>45302.7919791667</v>
      </c>
      <c r="C269" s="35">
        <v>126</v>
      </c>
      <c r="D269" s="65">
        <f t="shared" si="20"/>
        <v>18</v>
      </c>
      <c r="E269" s="65">
        <f t="shared" si="21"/>
        <v>11</v>
      </c>
      <c r="F269" s="65">
        <f t="shared" si="22"/>
        <v>2</v>
      </c>
      <c r="G269" s="109">
        <f t="shared" si="23"/>
        <v>45302.7773726852</v>
      </c>
      <c r="H269" s="110">
        <f t="shared" si="24"/>
        <v>5</v>
      </c>
    </row>
    <row r="270" spans="1:8">
      <c r="A270" s="55">
        <v>45317.6657291667</v>
      </c>
      <c r="B270" s="56">
        <v>45317.6804050926</v>
      </c>
      <c r="C270" s="35">
        <v>96</v>
      </c>
      <c r="D270" s="65">
        <f t="shared" si="20"/>
        <v>15</v>
      </c>
      <c r="E270" s="65">
        <f t="shared" si="21"/>
        <v>26</v>
      </c>
      <c r="F270" s="65">
        <f t="shared" si="22"/>
        <v>4</v>
      </c>
      <c r="G270" s="109">
        <f t="shared" si="23"/>
        <v>45317.6657291667</v>
      </c>
      <c r="H270" s="110">
        <f t="shared" si="24"/>
        <v>6</v>
      </c>
    </row>
    <row r="271" spans="1:8">
      <c r="A271" s="55">
        <v>45296.9336342593</v>
      </c>
      <c r="B271" s="56">
        <v>45296.9484606481</v>
      </c>
      <c r="C271" s="35">
        <v>151</v>
      </c>
      <c r="D271" s="65">
        <f t="shared" si="20"/>
        <v>22</v>
      </c>
      <c r="E271" s="65">
        <f t="shared" si="21"/>
        <v>5</v>
      </c>
      <c r="F271" s="65">
        <f t="shared" si="22"/>
        <v>1</v>
      </c>
      <c r="G271" s="109">
        <f t="shared" si="23"/>
        <v>45296.9336342593</v>
      </c>
      <c r="H271" s="110">
        <f t="shared" si="24"/>
        <v>6</v>
      </c>
    </row>
    <row r="272" spans="1:8">
      <c r="A272" s="55">
        <v>45312.4827546296</v>
      </c>
      <c r="B272" s="56">
        <v>45312.4950462963</v>
      </c>
      <c r="C272" s="35">
        <v>305</v>
      </c>
      <c r="D272" s="65">
        <f t="shared" si="20"/>
        <v>11</v>
      </c>
      <c r="E272" s="65">
        <f t="shared" si="21"/>
        <v>21</v>
      </c>
      <c r="F272" s="65">
        <f t="shared" si="22"/>
        <v>4</v>
      </c>
      <c r="G272" s="109">
        <f t="shared" si="23"/>
        <v>45312.4827546296</v>
      </c>
      <c r="H272" s="110">
        <f t="shared" si="24"/>
        <v>1</v>
      </c>
    </row>
    <row r="273" spans="1:8">
      <c r="A273" s="55">
        <v>45319.7086921296</v>
      </c>
      <c r="B273" s="56">
        <v>45319.7126157407</v>
      </c>
      <c r="C273" s="35">
        <v>209</v>
      </c>
      <c r="D273" s="65">
        <f t="shared" si="20"/>
        <v>17</v>
      </c>
      <c r="E273" s="65">
        <f t="shared" si="21"/>
        <v>28</v>
      </c>
      <c r="F273" s="65">
        <f t="shared" si="22"/>
        <v>5</v>
      </c>
      <c r="G273" s="109">
        <f t="shared" si="23"/>
        <v>45319.7086921296</v>
      </c>
      <c r="H273" s="110">
        <f t="shared" si="24"/>
        <v>1</v>
      </c>
    </row>
    <row r="274" spans="1:8">
      <c r="A274" s="55">
        <v>45318.8549768518</v>
      </c>
      <c r="B274" s="56">
        <v>45318.8576273148</v>
      </c>
      <c r="C274" s="35">
        <v>588</v>
      </c>
      <c r="D274" s="65">
        <f t="shared" si="20"/>
        <v>20</v>
      </c>
      <c r="E274" s="65">
        <f t="shared" si="21"/>
        <v>27</v>
      </c>
      <c r="F274" s="65">
        <f t="shared" si="22"/>
        <v>4</v>
      </c>
      <c r="G274" s="109">
        <f t="shared" si="23"/>
        <v>45318.8549768518</v>
      </c>
      <c r="H274" s="110">
        <f t="shared" si="24"/>
        <v>7</v>
      </c>
    </row>
    <row r="275" spans="1:8">
      <c r="A275" s="55">
        <v>45316.8588773148</v>
      </c>
      <c r="B275" s="56">
        <v>45316.8778819444</v>
      </c>
      <c r="C275" s="35">
        <v>517</v>
      </c>
      <c r="D275" s="65">
        <f t="shared" si="20"/>
        <v>20</v>
      </c>
      <c r="E275" s="65">
        <f t="shared" si="21"/>
        <v>25</v>
      </c>
      <c r="F275" s="65">
        <f t="shared" si="22"/>
        <v>4</v>
      </c>
      <c r="G275" s="109">
        <f t="shared" si="23"/>
        <v>45316.8588773148</v>
      </c>
      <c r="H275" s="110">
        <f t="shared" si="24"/>
        <v>5</v>
      </c>
    </row>
    <row r="276" spans="1:8">
      <c r="A276" s="55">
        <v>45309.3255324074</v>
      </c>
      <c r="B276" s="56">
        <v>45309.3366782407</v>
      </c>
      <c r="C276" s="35">
        <v>569</v>
      </c>
      <c r="D276" s="65">
        <f t="shared" si="20"/>
        <v>7</v>
      </c>
      <c r="E276" s="65">
        <f t="shared" si="21"/>
        <v>18</v>
      </c>
      <c r="F276" s="65">
        <f t="shared" si="22"/>
        <v>3</v>
      </c>
      <c r="G276" s="109">
        <f t="shared" si="23"/>
        <v>45309.3255324074</v>
      </c>
      <c r="H276" s="110">
        <f t="shared" si="24"/>
        <v>5</v>
      </c>
    </row>
    <row r="277" spans="1:8">
      <c r="A277" s="55">
        <v>45299.6632175926</v>
      </c>
      <c r="B277" s="56">
        <v>45299.6745717593</v>
      </c>
      <c r="C277" s="35">
        <v>279</v>
      </c>
      <c r="D277" s="65">
        <f t="shared" si="20"/>
        <v>15</v>
      </c>
      <c r="E277" s="65">
        <f t="shared" si="21"/>
        <v>8</v>
      </c>
      <c r="F277" s="65">
        <f t="shared" si="22"/>
        <v>2</v>
      </c>
      <c r="G277" s="109">
        <f t="shared" si="23"/>
        <v>45299.6632175926</v>
      </c>
      <c r="H277" s="110">
        <f t="shared" si="24"/>
        <v>2</v>
      </c>
    </row>
    <row r="278" spans="1:8">
      <c r="A278" s="55">
        <v>45317.5512847222</v>
      </c>
      <c r="B278" s="56">
        <v>45317.5694560185</v>
      </c>
      <c r="C278" s="35">
        <v>369</v>
      </c>
      <c r="D278" s="65">
        <f t="shared" si="20"/>
        <v>13</v>
      </c>
      <c r="E278" s="65">
        <f t="shared" si="21"/>
        <v>26</v>
      </c>
      <c r="F278" s="65">
        <f t="shared" si="22"/>
        <v>4</v>
      </c>
      <c r="G278" s="109">
        <f t="shared" si="23"/>
        <v>45317.5512847222</v>
      </c>
      <c r="H278" s="110">
        <f t="shared" si="24"/>
        <v>6</v>
      </c>
    </row>
    <row r="279" spans="1:8">
      <c r="A279" s="55">
        <v>45298.3169212963</v>
      </c>
      <c r="B279" s="56">
        <v>45298.3302314815</v>
      </c>
      <c r="C279" s="35">
        <v>297</v>
      </c>
      <c r="D279" s="65">
        <f t="shared" si="20"/>
        <v>7</v>
      </c>
      <c r="E279" s="65">
        <f t="shared" si="21"/>
        <v>7</v>
      </c>
      <c r="F279" s="65">
        <f t="shared" si="22"/>
        <v>2</v>
      </c>
      <c r="G279" s="109">
        <f t="shared" si="23"/>
        <v>45298.3169212963</v>
      </c>
      <c r="H279" s="110">
        <f t="shared" si="24"/>
        <v>1</v>
      </c>
    </row>
    <row r="280" spans="1:8">
      <c r="A280" s="55">
        <v>45310.6212037037</v>
      </c>
      <c r="B280" s="56">
        <v>45310.6379976852</v>
      </c>
      <c r="C280" s="35">
        <v>107</v>
      </c>
      <c r="D280" s="65">
        <f t="shared" si="20"/>
        <v>14</v>
      </c>
      <c r="E280" s="65">
        <f t="shared" si="21"/>
        <v>19</v>
      </c>
      <c r="F280" s="65">
        <f t="shared" si="22"/>
        <v>3</v>
      </c>
      <c r="G280" s="109">
        <f t="shared" si="23"/>
        <v>45310.6212037037</v>
      </c>
      <c r="H280" s="110">
        <f t="shared" si="24"/>
        <v>6</v>
      </c>
    </row>
    <row r="281" spans="1:8">
      <c r="A281" s="55">
        <v>45314.4271875</v>
      </c>
      <c r="B281" s="56">
        <v>45314.4447337963</v>
      </c>
      <c r="C281" s="35">
        <v>339</v>
      </c>
      <c r="D281" s="65">
        <f t="shared" si="20"/>
        <v>10</v>
      </c>
      <c r="E281" s="65">
        <f t="shared" si="21"/>
        <v>23</v>
      </c>
      <c r="F281" s="65">
        <f t="shared" si="22"/>
        <v>4</v>
      </c>
      <c r="G281" s="109">
        <f t="shared" si="23"/>
        <v>45314.4271875</v>
      </c>
      <c r="H281" s="110">
        <f t="shared" si="24"/>
        <v>3</v>
      </c>
    </row>
    <row r="282" spans="1:8">
      <c r="A282" s="55">
        <v>45304.8365740741</v>
      </c>
      <c r="B282" s="56">
        <v>45304.856099537</v>
      </c>
      <c r="C282" s="35">
        <v>105</v>
      </c>
      <c r="D282" s="65">
        <f t="shared" si="20"/>
        <v>20</v>
      </c>
      <c r="E282" s="65">
        <f t="shared" si="21"/>
        <v>13</v>
      </c>
      <c r="F282" s="65">
        <f t="shared" si="22"/>
        <v>2</v>
      </c>
      <c r="G282" s="109">
        <f t="shared" si="23"/>
        <v>45304.8365740741</v>
      </c>
      <c r="H282" s="110">
        <f t="shared" si="24"/>
        <v>7</v>
      </c>
    </row>
    <row r="283" spans="1:8">
      <c r="A283" s="55">
        <v>45307.6923611111</v>
      </c>
      <c r="B283" s="56">
        <v>45307.711400463</v>
      </c>
      <c r="C283" s="35">
        <v>105</v>
      </c>
      <c r="D283" s="65">
        <f t="shared" si="20"/>
        <v>16</v>
      </c>
      <c r="E283" s="65">
        <f t="shared" si="21"/>
        <v>16</v>
      </c>
      <c r="F283" s="65">
        <f t="shared" si="22"/>
        <v>3</v>
      </c>
      <c r="G283" s="109">
        <f t="shared" si="23"/>
        <v>45307.6923611111</v>
      </c>
      <c r="H283" s="110">
        <f t="shared" si="24"/>
        <v>3</v>
      </c>
    </row>
    <row r="284" spans="1:8">
      <c r="A284" s="55">
        <v>45305.521724537</v>
      </c>
      <c r="B284" s="56">
        <v>45305.5300694444</v>
      </c>
      <c r="C284" s="35">
        <v>300</v>
      </c>
      <c r="D284" s="65">
        <f t="shared" si="20"/>
        <v>12</v>
      </c>
      <c r="E284" s="65">
        <f t="shared" si="21"/>
        <v>14</v>
      </c>
      <c r="F284" s="65">
        <f t="shared" si="22"/>
        <v>3</v>
      </c>
      <c r="G284" s="109">
        <f t="shared" si="23"/>
        <v>45305.521724537</v>
      </c>
      <c r="H284" s="110">
        <f t="shared" si="24"/>
        <v>1</v>
      </c>
    </row>
    <row r="285" spans="1:8">
      <c r="A285" s="55">
        <v>45313.293125</v>
      </c>
      <c r="B285" s="56">
        <v>45313.3086574074</v>
      </c>
      <c r="C285" s="35">
        <v>480</v>
      </c>
      <c r="D285" s="65">
        <f t="shared" si="20"/>
        <v>7</v>
      </c>
      <c r="E285" s="65">
        <f t="shared" si="21"/>
        <v>22</v>
      </c>
      <c r="F285" s="65">
        <f t="shared" si="22"/>
        <v>4</v>
      </c>
      <c r="G285" s="109">
        <f t="shared" si="23"/>
        <v>45313.293125</v>
      </c>
      <c r="H285" s="110">
        <f t="shared" si="24"/>
        <v>2</v>
      </c>
    </row>
    <row r="286" spans="1:8">
      <c r="A286" s="55">
        <v>45298.4560300926</v>
      </c>
      <c r="B286" s="56">
        <v>45298.4638773148</v>
      </c>
      <c r="C286" s="35">
        <v>172</v>
      </c>
      <c r="D286" s="65">
        <f t="shared" si="20"/>
        <v>10</v>
      </c>
      <c r="E286" s="65">
        <f t="shared" si="21"/>
        <v>7</v>
      </c>
      <c r="F286" s="65">
        <f t="shared" si="22"/>
        <v>2</v>
      </c>
      <c r="G286" s="109">
        <f t="shared" si="23"/>
        <v>45298.4560300926</v>
      </c>
      <c r="H286" s="110">
        <f t="shared" si="24"/>
        <v>1</v>
      </c>
    </row>
    <row r="287" spans="1:8">
      <c r="A287" s="55">
        <v>45313.4607060185</v>
      </c>
      <c r="B287" s="56">
        <v>45313.4762268519</v>
      </c>
      <c r="C287" s="35">
        <v>322</v>
      </c>
      <c r="D287" s="65">
        <f t="shared" si="20"/>
        <v>11</v>
      </c>
      <c r="E287" s="65">
        <f t="shared" si="21"/>
        <v>22</v>
      </c>
      <c r="F287" s="65">
        <f t="shared" si="22"/>
        <v>4</v>
      </c>
      <c r="G287" s="109">
        <f t="shared" si="23"/>
        <v>45313.4607060185</v>
      </c>
      <c r="H287" s="110">
        <f t="shared" si="24"/>
        <v>2</v>
      </c>
    </row>
    <row r="288" spans="1:8">
      <c r="A288" s="55">
        <v>45294.4425231482</v>
      </c>
      <c r="B288" s="56">
        <v>45294.4555208333</v>
      </c>
      <c r="C288" s="35">
        <v>465</v>
      </c>
      <c r="D288" s="65">
        <f t="shared" si="20"/>
        <v>10</v>
      </c>
      <c r="E288" s="65">
        <f t="shared" si="21"/>
        <v>3</v>
      </c>
      <c r="F288" s="65">
        <f t="shared" si="22"/>
        <v>1</v>
      </c>
      <c r="G288" s="109">
        <f t="shared" si="23"/>
        <v>45294.4425231482</v>
      </c>
      <c r="H288" s="110">
        <f t="shared" si="24"/>
        <v>4</v>
      </c>
    </row>
    <row r="289" spans="1:8">
      <c r="A289" s="55">
        <v>45305.4375462963</v>
      </c>
      <c r="B289" s="56">
        <v>45305.4436574074</v>
      </c>
      <c r="C289" s="35">
        <v>402</v>
      </c>
      <c r="D289" s="65">
        <f t="shared" si="20"/>
        <v>10</v>
      </c>
      <c r="E289" s="65">
        <f t="shared" si="21"/>
        <v>14</v>
      </c>
      <c r="F289" s="65">
        <f t="shared" si="22"/>
        <v>3</v>
      </c>
      <c r="G289" s="109">
        <f t="shared" si="23"/>
        <v>45305.4375462963</v>
      </c>
      <c r="H289" s="110">
        <f t="shared" si="24"/>
        <v>1</v>
      </c>
    </row>
    <row r="290" spans="1:8">
      <c r="A290" s="55">
        <v>45304.4456365741</v>
      </c>
      <c r="B290" s="56">
        <v>45304.4497106482</v>
      </c>
      <c r="C290" s="35">
        <v>80</v>
      </c>
      <c r="D290" s="65">
        <f t="shared" si="20"/>
        <v>10</v>
      </c>
      <c r="E290" s="65">
        <f t="shared" si="21"/>
        <v>13</v>
      </c>
      <c r="F290" s="65">
        <f t="shared" si="22"/>
        <v>2</v>
      </c>
      <c r="G290" s="109">
        <f t="shared" si="23"/>
        <v>45304.4456365741</v>
      </c>
      <c r="H290" s="110">
        <f t="shared" si="24"/>
        <v>7</v>
      </c>
    </row>
    <row r="291" spans="1:8">
      <c r="A291" s="55">
        <v>45315.5283217593</v>
      </c>
      <c r="B291" s="56">
        <v>45315.5326041667</v>
      </c>
      <c r="C291" s="35">
        <v>431</v>
      </c>
      <c r="D291" s="65">
        <f t="shared" si="20"/>
        <v>12</v>
      </c>
      <c r="E291" s="65">
        <f t="shared" si="21"/>
        <v>24</v>
      </c>
      <c r="F291" s="65">
        <f t="shared" si="22"/>
        <v>4</v>
      </c>
      <c r="G291" s="109">
        <f t="shared" si="23"/>
        <v>45315.5283217593</v>
      </c>
      <c r="H291" s="110">
        <f t="shared" si="24"/>
        <v>4</v>
      </c>
    </row>
    <row r="292" spans="1:8">
      <c r="A292" s="55">
        <v>45310.7655902778</v>
      </c>
      <c r="B292" s="56">
        <v>45310.7737384259</v>
      </c>
      <c r="C292" s="35">
        <v>153</v>
      </c>
      <c r="D292" s="65">
        <f t="shared" si="20"/>
        <v>18</v>
      </c>
      <c r="E292" s="65">
        <f t="shared" si="21"/>
        <v>19</v>
      </c>
      <c r="F292" s="65">
        <f t="shared" si="22"/>
        <v>3</v>
      </c>
      <c r="G292" s="109">
        <f t="shared" si="23"/>
        <v>45310.7655902778</v>
      </c>
      <c r="H292" s="110">
        <f t="shared" si="24"/>
        <v>6</v>
      </c>
    </row>
    <row r="293" spans="1:8">
      <c r="A293" s="55">
        <v>45311.659537037</v>
      </c>
      <c r="B293" s="56">
        <v>45311.6608564815</v>
      </c>
      <c r="C293" s="35">
        <v>318</v>
      </c>
      <c r="D293" s="65">
        <f t="shared" si="20"/>
        <v>15</v>
      </c>
      <c r="E293" s="65">
        <f t="shared" si="21"/>
        <v>20</v>
      </c>
      <c r="F293" s="65">
        <f t="shared" si="22"/>
        <v>3</v>
      </c>
      <c r="G293" s="109">
        <f t="shared" si="23"/>
        <v>45311.659537037</v>
      </c>
      <c r="H293" s="110">
        <f t="shared" si="24"/>
        <v>7</v>
      </c>
    </row>
    <row r="294" spans="1:8">
      <c r="A294" s="55">
        <v>45317.5634722222</v>
      </c>
      <c r="B294" s="56">
        <v>45317.5668287037</v>
      </c>
      <c r="C294" s="35">
        <v>256</v>
      </c>
      <c r="D294" s="65">
        <f t="shared" si="20"/>
        <v>13</v>
      </c>
      <c r="E294" s="65">
        <f t="shared" si="21"/>
        <v>26</v>
      </c>
      <c r="F294" s="65">
        <f t="shared" si="22"/>
        <v>4</v>
      </c>
      <c r="G294" s="109">
        <f t="shared" si="23"/>
        <v>45317.5634722222</v>
      </c>
      <c r="H294" s="110">
        <f t="shared" si="24"/>
        <v>6</v>
      </c>
    </row>
    <row r="295" spans="1:8">
      <c r="A295" s="55">
        <v>45302.4339699074</v>
      </c>
      <c r="B295" s="56">
        <v>45302.4545486111</v>
      </c>
      <c r="C295" s="35">
        <v>592</v>
      </c>
      <c r="D295" s="65">
        <f t="shared" si="20"/>
        <v>10</v>
      </c>
      <c r="E295" s="65">
        <f t="shared" si="21"/>
        <v>11</v>
      </c>
      <c r="F295" s="65">
        <f t="shared" si="22"/>
        <v>2</v>
      </c>
      <c r="G295" s="109">
        <f t="shared" si="23"/>
        <v>45302.4339699074</v>
      </c>
      <c r="H295" s="110">
        <f t="shared" si="24"/>
        <v>5</v>
      </c>
    </row>
    <row r="296" spans="1:8">
      <c r="A296" s="55">
        <v>45294.2757407407</v>
      </c>
      <c r="B296" s="56">
        <v>45294.2767592593</v>
      </c>
      <c r="C296" s="35">
        <v>278</v>
      </c>
      <c r="D296" s="65">
        <f t="shared" si="20"/>
        <v>6</v>
      </c>
      <c r="E296" s="65">
        <f t="shared" si="21"/>
        <v>3</v>
      </c>
      <c r="F296" s="65">
        <f t="shared" si="22"/>
        <v>1</v>
      </c>
      <c r="G296" s="109">
        <f t="shared" si="23"/>
        <v>45294.2757407407</v>
      </c>
      <c r="H296" s="110">
        <f t="shared" si="24"/>
        <v>4</v>
      </c>
    </row>
    <row r="297" spans="1:8">
      <c r="A297" s="55">
        <v>45301.9509953704</v>
      </c>
      <c r="B297" s="56">
        <v>45301.961724537</v>
      </c>
      <c r="C297" s="35">
        <v>421</v>
      </c>
      <c r="D297" s="65">
        <f t="shared" si="20"/>
        <v>22</v>
      </c>
      <c r="E297" s="65">
        <f t="shared" si="21"/>
        <v>10</v>
      </c>
      <c r="F297" s="65">
        <f t="shared" si="22"/>
        <v>2</v>
      </c>
      <c r="G297" s="109">
        <f t="shared" si="23"/>
        <v>45301.9509953704</v>
      </c>
      <c r="H297" s="110">
        <f t="shared" si="24"/>
        <v>4</v>
      </c>
    </row>
    <row r="298" spans="1:8">
      <c r="A298" s="55">
        <v>45317.4405092593</v>
      </c>
      <c r="B298" s="56">
        <v>45317.450462963</v>
      </c>
      <c r="C298" s="35">
        <v>77</v>
      </c>
      <c r="D298" s="65">
        <f t="shared" si="20"/>
        <v>10</v>
      </c>
      <c r="E298" s="65">
        <f t="shared" si="21"/>
        <v>26</v>
      </c>
      <c r="F298" s="65">
        <f t="shared" si="22"/>
        <v>4</v>
      </c>
      <c r="G298" s="109">
        <f t="shared" si="23"/>
        <v>45317.4405092593</v>
      </c>
      <c r="H298" s="110">
        <f t="shared" si="24"/>
        <v>6</v>
      </c>
    </row>
    <row r="299" spans="1:8">
      <c r="A299" s="55">
        <v>45299.3746180556</v>
      </c>
      <c r="B299" s="56">
        <v>45299.3780555556</v>
      </c>
      <c r="C299" s="35">
        <v>474</v>
      </c>
      <c r="D299" s="65">
        <f t="shared" si="20"/>
        <v>8</v>
      </c>
      <c r="E299" s="65">
        <f t="shared" si="21"/>
        <v>8</v>
      </c>
      <c r="F299" s="65">
        <f t="shared" si="22"/>
        <v>2</v>
      </c>
      <c r="G299" s="109">
        <f t="shared" si="23"/>
        <v>45299.3746180556</v>
      </c>
      <c r="H299" s="110">
        <f t="shared" si="24"/>
        <v>2</v>
      </c>
    </row>
    <row r="300" spans="1:8">
      <c r="A300" s="55">
        <v>45297.3755208333</v>
      </c>
      <c r="B300" s="56">
        <v>45297.3794675926</v>
      </c>
      <c r="C300" s="35">
        <v>21</v>
      </c>
      <c r="D300" s="65">
        <f t="shared" si="20"/>
        <v>9</v>
      </c>
      <c r="E300" s="65">
        <f t="shared" si="21"/>
        <v>6</v>
      </c>
      <c r="F300" s="65">
        <f t="shared" si="22"/>
        <v>1</v>
      </c>
      <c r="G300" s="109">
        <f t="shared" si="23"/>
        <v>45297.3755208333</v>
      </c>
      <c r="H300" s="110">
        <f t="shared" si="24"/>
        <v>7</v>
      </c>
    </row>
    <row r="301" spans="1:8">
      <c r="A301" s="55">
        <v>45297.7144328704</v>
      </c>
      <c r="B301" s="56">
        <v>45297.7336342593</v>
      </c>
      <c r="C301" s="35">
        <v>285</v>
      </c>
      <c r="D301" s="65">
        <f t="shared" si="20"/>
        <v>17</v>
      </c>
      <c r="E301" s="65">
        <f t="shared" si="21"/>
        <v>6</v>
      </c>
      <c r="F301" s="65">
        <f t="shared" si="22"/>
        <v>1</v>
      </c>
      <c r="G301" s="109">
        <f t="shared" si="23"/>
        <v>45297.7144328704</v>
      </c>
      <c r="H301" s="110">
        <f t="shared" si="24"/>
        <v>7</v>
      </c>
    </row>
    <row r="302" spans="1:8">
      <c r="A302" s="55">
        <v>45294.615</v>
      </c>
      <c r="B302" s="56">
        <v>45294.6305671296</v>
      </c>
      <c r="C302" s="35">
        <v>88</v>
      </c>
      <c r="D302" s="65">
        <f t="shared" si="20"/>
        <v>14</v>
      </c>
      <c r="E302" s="65">
        <f t="shared" si="21"/>
        <v>3</v>
      </c>
      <c r="F302" s="65">
        <f t="shared" si="22"/>
        <v>1</v>
      </c>
      <c r="G302" s="109">
        <f t="shared" si="23"/>
        <v>45294.615</v>
      </c>
      <c r="H302" s="110">
        <f t="shared" si="24"/>
        <v>4</v>
      </c>
    </row>
    <row r="303" spans="1:8">
      <c r="A303" s="55">
        <v>45310.4744212963</v>
      </c>
      <c r="B303" s="56">
        <v>45310.4811574074</v>
      </c>
      <c r="C303" s="35">
        <v>115</v>
      </c>
      <c r="D303" s="65">
        <f t="shared" si="20"/>
        <v>11</v>
      </c>
      <c r="E303" s="65">
        <f t="shared" si="21"/>
        <v>19</v>
      </c>
      <c r="F303" s="65">
        <f t="shared" si="22"/>
        <v>3</v>
      </c>
      <c r="G303" s="109">
        <f t="shared" si="23"/>
        <v>45310.4744212963</v>
      </c>
      <c r="H303" s="110">
        <f t="shared" si="24"/>
        <v>6</v>
      </c>
    </row>
    <row r="304" spans="1:8">
      <c r="A304" s="55">
        <v>45319.2604398148</v>
      </c>
      <c r="B304" s="56">
        <v>45319.2723148148</v>
      </c>
      <c r="C304" s="35">
        <v>382</v>
      </c>
      <c r="D304" s="65">
        <f t="shared" si="20"/>
        <v>6</v>
      </c>
      <c r="E304" s="65">
        <f t="shared" si="21"/>
        <v>28</v>
      </c>
      <c r="F304" s="65">
        <f t="shared" si="22"/>
        <v>5</v>
      </c>
      <c r="G304" s="109">
        <f t="shared" si="23"/>
        <v>45319.2604398148</v>
      </c>
      <c r="H304" s="110">
        <f t="shared" si="24"/>
        <v>1</v>
      </c>
    </row>
    <row r="305" spans="1:8">
      <c r="A305" s="55">
        <v>45317.8016203704</v>
      </c>
      <c r="B305" s="56">
        <v>45317.8081944444</v>
      </c>
      <c r="C305" s="35">
        <v>436</v>
      </c>
      <c r="D305" s="65">
        <f t="shared" si="20"/>
        <v>19</v>
      </c>
      <c r="E305" s="65">
        <f t="shared" si="21"/>
        <v>26</v>
      </c>
      <c r="F305" s="65">
        <f t="shared" si="22"/>
        <v>4</v>
      </c>
      <c r="G305" s="109">
        <f t="shared" si="23"/>
        <v>45317.8016203704</v>
      </c>
      <c r="H305" s="110">
        <f t="shared" si="24"/>
        <v>6</v>
      </c>
    </row>
    <row r="306" spans="1:8">
      <c r="A306" s="55">
        <v>45313.2994675926</v>
      </c>
      <c r="B306" s="56">
        <v>45313.319224537</v>
      </c>
      <c r="C306" s="35">
        <v>538</v>
      </c>
      <c r="D306" s="65">
        <f t="shared" si="20"/>
        <v>7</v>
      </c>
      <c r="E306" s="65">
        <f t="shared" si="21"/>
        <v>22</v>
      </c>
      <c r="F306" s="65">
        <f t="shared" si="22"/>
        <v>4</v>
      </c>
      <c r="G306" s="109">
        <f t="shared" si="23"/>
        <v>45313.2994675926</v>
      </c>
      <c r="H306" s="110">
        <f t="shared" si="24"/>
        <v>2</v>
      </c>
    </row>
    <row r="307" spans="1:8">
      <c r="A307" s="55">
        <v>45319.6389467593</v>
      </c>
      <c r="B307" s="56">
        <v>45319.6527430556</v>
      </c>
      <c r="C307" s="35">
        <v>477</v>
      </c>
      <c r="D307" s="65">
        <f t="shared" si="20"/>
        <v>15</v>
      </c>
      <c r="E307" s="65">
        <f t="shared" si="21"/>
        <v>28</v>
      </c>
      <c r="F307" s="65">
        <f t="shared" si="22"/>
        <v>5</v>
      </c>
      <c r="G307" s="109">
        <f t="shared" si="23"/>
        <v>45319.6389467593</v>
      </c>
      <c r="H307" s="110">
        <f t="shared" si="24"/>
        <v>1</v>
      </c>
    </row>
    <row r="308" spans="1:8">
      <c r="A308" s="55">
        <v>45311.5620717593</v>
      </c>
      <c r="B308" s="56">
        <v>45311.5767824074</v>
      </c>
      <c r="C308" s="35">
        <v>515</v>
      </c>
      <c r="D308" s="65">
        <f t="shared" si="20"/>
        <v>13</v>
      </c>
      <c r="E308" s="65">
        <f t="shared" si="21"/>
        <v>20</v>
      </c>
      <c r="F308" s="65">
        <f t="shared" si="22"/>
        <v>3</v>
      </c>
      <c r="G308" s="109">
        <f t="shared" si="23"/>
        <v>45311.5620717593</v>
      </c>
      <c r="H308" s="110">
        <f t="shared" si="24"/>
        <v>7</v>
      </c>
    </row>
    <row r="309" spans="1:8">
      <c r="A309" s="55">
        <v>45303.2645833333</v>
      </c>
      <c r="B309" s="56">
        <v>45303.2832638889</v>
      </c>
      <c r="C309" s="35">
        <v>395</v>
      </c>
      <c r="D309" s="65">
        <f t="shared" si="20"/>
        <v>6</v>
      </c>
      <c r="E309" s="65">
        <f t="shared" si="21"/>
        <v>12</v>
      </c>
      <c r="F309" s="65">
        <f t="shared" si="22"/>
        <v>2</v>
      </c>
      <c r="G309" s="109">
        <f t="shared" si="23"/>
        <v>45303.2645833333</v>
      </c>
      <c r="H309" s="110">
        <f t="shared" si="24"/>
        <v>6</v>
      </c>
    </row>
    <row r="310" spans="1:8">
      <c r="A310" s="55">
        <v>45307.2984375</v>
      </c>
      <c r="B310" s="56">
        <v>45307.3057638889</v>
      </c>
      <c r="C310" s="35">
        <v>105</v>
      </c>
      <c r="D310" s="65">
        <f t="shared" si="20"/>
        <v>7</v>
      </c>
      <c r="E310" s="65">
        <f t="shared" si="21"/>
        <v>16</v>
      </c>
      <c r="F310" s="65">
        <f t="shared" si="22"/>
        <v>3</v>
      </c>
      <c r="G310" s="109">
        <f t="shared" si="23"/>
        <v>45307.2984375</v>
      </c>
      <c r="H310" s="110">
        <f t="shared" si="24"/>
        <v>3</v>
      </c>
    </row>
    <row r="311" spans="1:8">
      <c r="A311" s="55">
        <v>45315.3590972222</v>
      </c>
      <c r="B311" s="56">
        <v>45315.3717708333</v>
      </c>
      <c r="C311" s="35">
        <v>146</v>
      </c>
      <c r="D311" s="65">
        <f t="shared" si="20"/>
        <v>8</v>
      </c>
      <c r="E311" s="65">
        <f t="shared" si="21"/>
        <v>24</v>
      </c>
      <c r="F311" s="65">
        <f t="shared" si="22"/>
        <v>4</v>
      </c>
      <c r="G311" s="109">
        <f t="shared" si="23"/>
        <v>45315.3590972222</v>
      </c>
      <c r="H311" s="110">
        <f t="shared" si="24"/>
        <v>4</v>
      </c>
    </row>
    <row r="312" spans="1:8">
      <c r="A312" s="55">
        <v>45296.5543518519</v>
      </c>
      <c r="B312" s="56">
        <v>45296.5625115741</v>
      </c>
      <c r="C312" s="35">
        <v>412</v>
      </c>
      <c r="D312" s="65">
        <f t="shared" si="20"/>
        <v>13</v>
      </c>
      <c r="E312" s="65">
        <f t="shared" si="21"/>
        <v>5</v>
      </c>
      <c r="F312" s="65">
        <f t="shared" si="22"/>
        <v>1</v>
      </c>
      <c r="G312" s="109">
        <f t="shared" si="23"/>
        <v>45296.5543518519</v>
      </c>
      <c r="H312" s="110">
        <f t="shared" si="24"/>
        <v>6</v>
      </c>
    </row>
    <row r="313" spans="1:8">
      <c r="A313" s="55">
        <v>45296.3813194444</v>
      </c>
      <c r="B313" s="56">
        <v>45296.3859027778</v>
      </c>
      <c r="C313" s="35">
        <v>470</v>
      </c>
      <c r="D313" s="65">
        <f t="shared" si="20"/>
        <v>9</v>
      </c>
      <c r="E313" s="65">
        <f t="shared" si="21"/>
        <v>5</v>
      </c>
      <c r="F313" s="65">
        <f t="shared" si="22"/>
        <v>1</v>
      </c>
      <c r="G313" s="109">
        <f t="shared" si="23"/>
        <v>45296.3813194444</v>
      </c>
      <c r="H313" s="110">
        <f t="shared" si="24"/>
        <v>6</v>
      </c>
    </row>
    <row r="314" spans="1:8">
      <c r="A314" s="55">
        <v>45306.6453240741</v>
      </c>
      <c r="B314" s="56">
        <v>45306.6488541667</v>
      </c>
      <c r="C314" s="35">
        <v>102</v>
      </c>
      <c r="D314" s="65">
        <f t="shared" si="20"/>
        <v>15</v>
      </c>
      <c r="E314" s="65">
        <f t="shared" si="21"/>
        <v>15</v>
      </c>
      <c r="F314" s="65">
        <f t="shared" si="22"/>
        <v>3</v>
      </c>
      <c r="G314" s="109">
        <f t="shared" si="23"/>
        <v>45306.6453240741</v>
      </c>
      <c r="H314" s="110">
        <f t="shared" si="24"/>
        <v>2</v>
      </c>
    </row>
    <row r="315" spans="1:8">
      <c r="A315" s="55">
        <v>45318.672974537</v>
      </c>
      <c r="B315" s="56">
        <v>45318.6905208333</v>
      </c>
      <c r="C315" s="35">
        <v>264</v>
      </c>
      <c r="D315" s="65">
        <f t="shared" si="20"/>
        <v>16</v>
      </c>
      <c r="E315" s="65">
        <f t="shared" si="21"/>
        <v>27</v>
      </c>
      <c r="F315" s="65">
        <f t="shared" si="22"/>
        <v>4</v>
      </c>
      <c r="G315" s="109">
        <f t="shared" si="23"/>
        <v>45318.672974537</v>
      </c>
      <c r="H315" s="110">
        <f t="shared" si="24"/>
        <v>7</v>
      </c>
    </row>
    <row r="316" spans="1:8">
      <c r="A316" s="55">
        <v>45292.7878240741</v>
      </c>
      <c r="B316" s="56">
        <v>45292.8016898148</v>
      </c>
      <c r="C316" s="35">
        <v>573</v>
      </c>
      <c r="D316" s="65">
        <f t="shared" si="20"/>
        <v>18</v>
      </c>
      <c r="E316" s="65">
        <f t="shared" si="21"/>
        <v>1</v>
      </c>
      <c r="F316" s="65">
        <f t="shared" si="22"/>
        <v>1</v>
      </c>
      <c r="G316" s="109">
        <f t="shared" si="23"/>
        <v>45292.7878240741</v>
      </c>
      <c r="H316" s="110">
        <f t="shared" si="24"/>
        <v>2</v>
      </c>
    </row>
    <row r="317" spans="1:8">
      <c r="A317" s="55">
        <v>45318.5473611111</v>
      </c>
      <c r="B317" s="56">
        <v>45318.5675694444</v>
      </c>
      <c r="C317" s="35">
        <v>420</v>
      </c>
      <c r="D317" s="65">
        <f t="shared" si="20"/>
        <v>13</v>
      </c>
      <c r="E317" s="65">
        <f t="shared" si="21"/>
        <v>27</v>
      </c>
      <c r="F317" s="65">
        <f t="shared" si="22"/>
        <v>4</v>
      </c>
      <c r="G317" s="109">
        <f t="shared" si="23"/>
        <v>45318.5473611111</v>
      </c>
      <c r="H317" s="110">
        <f t="shared" si="24"/>
        <v>7</v>
      </c>
    </row>
    <row r="318" spans="1:8">
      <c r="A318" s="55">
        <v>45294.5400578704</v>
      </c>
      <c r="B318" s="56">
        <v>45294.5512615741</v>
      </c>
      <c r="C318" s="35">
        <v>141</v>
      </c>
      <c r="D318" s="65">
        <f t="shared" si="20"/>
        <v>12</v>
      </c>
      <c r="E318" s="65">
        <f t="shared" si="21"/>
        <v>3</v>
      </c>
      <c r="F318" s="65">
        <f t="shared" si="22"/>
        <v>1</v>
      </c>
      <c r="G318" s="109">
        <f t="shared" si="23"/>
        <v>45294.5400578704</v>
      </c>
      <c r="H318" s="110">
        <f t="shared" si="24"/>
        <v>4</v>
      </c>
    </row>
    <row r="319" spans="1:8">
      <c r="A319" s="55">
        <v>45310.8283101852</v>
      </c>
      <c r="B319" s="56">
        <v>45310.8383564815</v>
      </c>
      <c r="C319" s="35">
        <v>518</v>
      </c>
      <c r="D319" s="65">
        <f t="shared" si="20"/>
        <v>19</v>
      </c>
      <c r="E319" s="65">
        <f t="shared" si="21"/>
        <v>19</v>
      </c>
      <c r="F319" s="65">
        <f t="shared" si="22"/>
        <v>3</v>
      </c>
      <c r="G319" s="109">
        <f t="shared" si="23"/>
        <v>45310.8283101852</v>
      </c>
      <c r="H319" s="110">
        <f t="shared" si="24"/>
        <v>6</v>
      </c>
    </row>
    <row r="320" spans="1:8">
      <c r="A320" s="55">
        <v>45297.595462963</v>
      </c>
      <c r="B320" s="56">
        <v>45297.5996759259</v>
      </c>
      <c r="C320" s="35">
        <v>45</v>
      </c>
      <c r="D320" s="65">
        <f t="shared" si="20"/>
        <v>14</v>
      </c>
      <c r="E320" s="65">
        <f t="shared" si="21"/>
        <v>6</v>
      </c>
      <c r="F320" s="65">
        <f t="shared" si="22"/>
        <v>1</v>
      </c>
      <c r="G320" s="109">
        <f t="shared" si="23"/>
        <v>45297.595462963</v>
      </c>
      <c r="H320" s="110">
        <f t="shared" si="24"/>
        <v>7</v>
      </c>
    </row>
    <row r="321" spans="1:8">
      <c r="A321" s="55">
        <v>45309.8771412037</v>
      </c>
      <c r="B321" s="56">
        <v>45309.8844560185</v>
      </c>
      <c r="C321" s="35">
        <v>402</v>
      </c>
      <c r="D321" s="65">
        <f t="shared" si="20"/>
        <v>21</v>
      </c>
      <c r="E321" s="65">
        <f t="shared" si="21"/>
        <v>18</v>
      </c>
      <c r="F321" s="65">
        <f t="shared" si="22"/>
        <v>3</v>
      </c>
      <c r="G321" s="109">
        <f t="shared" si="23"/>
        <v>45309.8771412037</v>
      </c>
      <c r="H321" s="110">
        <f t="shared" si="24"/>
        <v>5</v>
      </c>
    </row>
    <row r="322" spans="1:8">
      <c r="A322" s="55">
        <v>45312.2672453704</v>
      </c>
      <c r="B322" s="56">
        <v>45312.284837963</v>
      </c>
      <c r="C322" s="35">
        <v>377</v>
      </c>
      <c r="D322" s="65">
        <f t="shared" si="20"/>
        <v>6</v>
      </c>
      <c r="E322" s="65">
        <f t="shared" si="21"/>
        <v>21</v>
      </c>
      <c r="F322" s="65">
        <f t="shared" si="22"/>
        <v>4</v>
      </c>
      <c r="G322" s="109">
        <f t="shared" si="23"/>
        <v>45312.2672453704</v>
      </c>
      <c r="H322" s="110">
        <f t="shared" si="24"/>
        <v>1</v>
      </c>
    </row>
    <row r="323" spans="1:8">
      <c r="A323" s="55">
        <v>45304.5909837963</v>
      </c>
      <c r="B323" s="56">
        <v>45304.5992361111</v>
      </c>
      <c r="C323" s="35">
        <v>234</v>
      </c>
      <c r="D323" s="65">
        <f t="shared" ref="D323:D386" si="25">HOUR(A323)</f>
        <v>14</v>
      </c>
      <c r="E323" s="65">
        <f t="shared" ref="E323:E386" si="26">DAY(A323)</f>
        <v>13</v>
      </c>
      <c r="F323" s="65">
        <f t="shared" ref="F323:F386" si="27">WEEKNUM(A323)</f>
        <v>2</v>
      </c>
      <c r="G323" s="109">
        <f t="shared" ref="G323:G386" si="28">A323</f>
        <v>45304.5909837963</v>
      </c>
      <c r="H323" s="110">
        <f t="shared" ref="H323:H386" si="29">WEEKDAY(A323)</f>
        <v>7</v>
      </c>
    </row>
    <row r="324" spans="1:8">
      <c r="A324" s="55">
        <v>45303.5486805556</v>
      </c>
      <c r="B324" s="56">
        <v>45303.5552430556</v>
      </c>
      <c r="C324" s="35">
        <v>256</v>
      </c>
      <c r="D324" s="65">
        <f t="shared" si="25"/>
        <v>13</v>
      </c>
      <c r="E324" s="65">
        <f t="shared" si="26"/>
        <v>12</v>
      </c>
      <c r="F324" s="65">
        <f t="shared" si="27"/>
        <v>2</v>
      </c>
      <c r="G324" s="109">
        <f t="shared" si="28"/>
        <v>45303.5486805556</v>
      </c>
      <c r="H324" s="110">
        <f t="shared" si="29"/>
        <v>6</v>
      </c>
    </row>
    <row r="325" spans="1:8">
      <c r="A325" s="55">
        <v>45318.4661458333</v>
      </c>
      <c r="B325" s="56">
        <v>45318.4808796296</v>
      </c>
      <c r="C325" s="35">
        <v>335</v>
      </c>
      <c r="D325" s="65">
        <f t="shared" si="25"/>
        <v>11</v>
      </c>
      <c r="E325" s="65">
        <f t="shared" si="26"/>
        <v>27</v>
      </c>
      <c r="F325" s="65">
        <f t="shared" si="27"/>
        <v>4</v>
      </c>
      <c r="G325" s="109">
        <f t="shared" si="28"/>
        <v>45318.4661458333</v>
      </c>
      <c r="H325" s="110">
        <f t="shared" si="29"/>
        <v>7</v>
      </c>
    </row>
    <row r="326" spans="1:8">
      <c r="A326" s="55">
        <v>45296.5373958333</v>
      </c>
      <c r="B326" s="56">
        <v>45296.5497569444</v>
      </c>
      <c r="C326" s="35">
        <v>565</v>
      </c>
      <c r="D326" s="65">
        <f t="shared" si="25"/>
        <v>12</v>
      </c>
      <c r="E326" s="65">
        <f t="shared" si="26"/>
        <v>5</v>
      </c>
      <c r="F326" s="65">
        <f t="shared" si="27"/>
        <v>1</v>
      </c>
      <c r="G326" s="109">
        <f t="shared" si="28"/>
        <v>45296.5373958333</v>
      </c>
      <c r="H326" s="110">
        <f t="shared" si="29"/>
        <v>6</v>
      </c>
    </row>
    <row r="327" spans="1:8">
      <c r="A327" s="55">
        <v>45292.9375</v>
      </c>
      <c r="B327" s="56">
        <v>45292.9460532407</v>
      </c>
      <c r="C327" s="35">
        <v>216</v>
      </c>
      <c r="D327" s="65">
        <f t="shared" si="25"/>
        <v>22</v>
      </c>
      <c r="E327" s="65">
        <f t="shared" si="26"/>
        <v>1</v>
      </c>
      <c r="F327" s="65">
        <f t="shared" si="27"/>
        <v>1</v>
      </c>
      <c r="G327" s="109">
        <f t="shared" si="28"/>
        <v>45292.9375</v>
      </c>
      <c r="H327" s="110">
        <f t="shared" si="29"/>
        <v>2</v>
      </c>
    </row>
    <row r="328" spans="1:8">
      <c r="A328" s="55">
        <v>45310.450775463</v>
      </c>
      <c r="B328" s="56">
        <v>45310.4715277778</v>
      </c>
      <c r="C328" s="35">
        <v>548</v>
      </c>
      <c r="D328" s="65">
        <f t="shared" si="25"/>
        <v>10</v>
      </c>
      <c r="E328" s="65">
        <f t="shared" si="26"/>
        <v>19</v>
      </c>
      <c r="F328" s="65">
        <f t="shared" si="27"/>
        <v>3</v>
      </c>
      <c r="G328" s="109">
        <f t="shared" si="28"/>
        <v>45310.450775463</v>
      </c>
      <c r="H328" s="110">
        <f t="shared" si="29"/>
        <v>6</v>
      </c>
    </row>
    <row r="329" spans="1:8">
      <c r="A329" s="55">
        <v>45310.3898032407</v>
      </c>
      <c r="B329" s="56">
        <v>45310.3981365741</v>
      </c>
      <c r="C329" s="35">
        <v>149</v>
      </c>
      <c r="D329" s="65">
        <f t="shared" si="25"/>
        <v>9</v>
      </c>
      <c r="E329" s="65">
        <f t="shared" si="26"/>
        <v>19</v>
      </c>
      <c r="F329" s="65">
        <f t="shared" si="27"/>
        <v>3</v>
      </c>
      <c r="G329" s="109">
        <f t="shared" si="28"/>
        <v>45310.3898032407</v>
      </c>
      <c r="H329" s="110">
        <f t="shared" si="29"/>
        <v>6</v>
      </c>
    </row>
    <row r="330" spans="1:8">
      <c r="A330" s="55">
        <v>45297.7185416667</v>
      </c>
      <c r="B330" s="56">
        <v>45297.7331944444</v>
      </c>
      <c r="C330" s="35">
        <v>189</v>
      </c>
      <c r="D330" s="65">
        <f t="shared" si="25"/>
        <v>17</v>
      </c>
      <c r="E330" s="65">
        <f t="shared" si="26"/>
        <v>6</v>
      </c>
      <c r="F330" s="65">
        <f t="shared" si="27"/>
        <v>1</v>
      </c>
      <c r="G330" s="109">
        <f t="shared" si="28"/>
        <v>45297.7185416667</v>
      </c>
      <c r="H330" s="110">
        <f t="shared" si="29"/>
        <v>7</v>
      </c>
    </row>
    <row r="331" spans="1:8">
      <c r="A331" s="55">
        <v>45315.2809722222</v>
      </c>
      <c r="B331" s="56">
        <v>45315.2909375</v>
      </c>
      <c r="C331" s="35">
        <v>591</v>
      </c>
      <c r="D331" s="65">
        <f t="shared" si="25"/>
        <v>6</v>
      </c>
      <c r="E331" s="65">
        <f t="shared" si="26"/>
        <v>24</v>
      </c>
      <c r="F331" s="65">
        <f t="shared" si="27"/>
        <v>4</v>
      </c>
      <c r="G331" s="109">
        <f t="shared" si="28"/>
        <v>45315.2809722222</v>
      </c>
      <c r="H331" s="110">
        <f t="shared" si="29"/>
        <v>4</v>
      </c>
    </row>
    <row r="332" spans="1:8">
      <c r="A332" s="55">
        <v>45312.4163310185</v>
      </c>
      <c r="B332" s="56">
        <v>45312.4203587963</v>
      </c>
      <c r="C332" s="35">
        <v>349</v>
      </c>
      <c r="D332" s="65">
        <f t="shared" si="25"/>
        <v>9</v>
      </c>
      <c r="E332" s="65">
        <f t="shared" si="26"/>
        <v>21</v>
      </c>
      <c r="F332" s="65">
        <f t="shared" si="27"/>
        <v>4</v>
      </c>
      <c r="G332" s="109">
        <f t="shared" si="28"/>
        <v>45312.4163310185</v>
      </c>
      <c r="H332" s="110">
        <f t="shared" si="29"/>
        <v>1</v>
      </c>
    </row>
    <row r="333" spans="1:8">
      <c r="A333" s="55">
        <v>45294.6861111111</v>
      </c>
      <c r="B333" s="56">
        <v>45294.6930902778</v>
      </c>
      <c r="C333" s="35">
        <v>224</v>
      </c>
      <c r="D333" s="65">
        <f t="shared" si="25"/>
        <v>16</v>
      </c>
      <c r="E333" s="65">
        <f t="shared" si="26"/>
        <v>3</v>
      </c>
      <c r="F333" s="65">
        <f t="shared" si="27"/>
        <v>1</v>
      </c>
      <c r="G333" s="109">
        <f t="shared" si="28"/>
        <v>45294.6861111111</v>
      </c>
      <c r="H333" s="110">
        <f t="shared" si="29"/>
        <v>4</v>
      </c>
    </row>
    <row r="334" spans="1:8">
      <c r="A334" s="55">
        <v>45292.3086574074</v>
      </c>
      <c r="B334" s="56">
        <v>45292.326712963</v>
      </c>
      <c r="C334" s="35">
        <v>439</v>
      </c>
      <c r="D334" s="65">
        <f t="shared" si="25"/>
        <v>7</v>
      </c>
      <c r="E334" s="65">
        <f t="shared" si="26"/>
        <v>1</v>
      </c>
      <c r="F334" s="65">
        <f t="shared" si="27"/>
        <v>1</v>
      </c>
      <c r="G334" s="109">
        <f t="shared" si="28"/>
        <v>45292.3086574074</v>
      </c>
      <c r="H334" s="110">
        <f t="shared" si="29"/>
        <v>2</v>
      </c>
    </row>
    <row r="335" spans="1:8">
      <c r="A335" s="55">
        <v>45304.4121527778</v>
      </c>
      <c r="B335" s="56">
        <v>45304.4315393519</v>
      </c>
      <c r="C335" s="35">
        <v>240</v>
      </c>
      <c r="D335" s="65">
        <f t="shared" si="25"/>
        <v>9</v>
      </c>
      <c r="E335" s="65">
        <f t="shared" si="26"/>
        <v>13</v>
      </c>
      <c r="F335" s="65">
        <f t="shared" si="27"/>
        <v>2</v>
      </c>
      <c r="G335" s="109">
        <f t="shared" si="28"/>
        <v>45304.4121527778</v>
      </c>
      <c r="H335" s="110">
        <f t="shared" si="29"/>
        <v>7</v>
      </c>
    </row>
    <row r="336" spans="1:8">
      <c r="A336" s="55">
        <v>45292.6778472222</v>
      </c>
      <c r="B336" s="56">
        <v>45292.6802893519</v>
      </c>
      <c r="C336" s="35">
        <v>360</v>
      </c>
      <c r="D336" s="65">
        <f t="shared" si="25"/>
        <v>16</v>
      </c>
      <c r="E336" s="65">
        <f t="shared" si="26"/>
        <v>1</v>
      </c>
      <c r="F336" s="65">
        <f t="shared" si="27"/>
        <v>1</v>
      </c>
      <c r="G336" s="109">
        <f t="shared" si="28"/>
        <v>45292.6778472222</v>
      </c>
      <c r="H336" s="110">
        <f t="shared" si="29"/>
        <v>2</v>
      </c>
    </row>
    <row r="337" spans="1:8">
      <c r="A337" s="55">
        <v>45294.6935069444</v>
      </c>
      <c r="B337" s="56">
        <v>45294.7056365741</v>
      </c>
      <c r="C337" s="35">
        <v>41</v>
      </c>
      <c r="D337" s="65">
        <f t="shared" si="25"/>
        <v>16</v>
      </c>
      <c r="E337" s="65">
        <f t="shared" si="26"/>
        <v>3</v>
      </c>
      <c r="F337" s="65">
        <f t="shared" si="27"/>
        <v>1</v>
      </c>
      <c r="G337" s="109">
        <f t="shared" si="28"/>
        <v>45294.6935069444</v>
      </c>
      <c r="H337" s="110">
        <f t="shared" si="29"/>
        <v>4</v>
      </c>
    </row>
    <row r="338" spans="1:8">
      <c r="A338" s="55">
        <v>45295.6758333333</v>
      </c>
      <c r="B338" s="56">
        <v>45295.6862268519</v>
      </c>
      <c r="C338" s="35">
        <v>577</v>
      </c>
      <c r="D338" s="65">
        <f t="shared" si="25"/>
        <v>16</v>
      </c>
      <c r="E338" s="65">
        <f t="shared" si="26"/>
        <v>4</v>
      </c>
      <c r="F338" s="65">
        <f t="shared" si="27"/>
        <v>1</v>
      </c>
      <c r="G338" s="109">
        <f t="shared" si="28"/>
        <v>45295.6758333333</v>
      </c>
      <c r="H338" s="110">
        <f t="shared" si="29"/>
        <v>5</v>
      </c>
    </row>
    <row r="339" spans="1:8">
      <c r="A339" s="55">
        <v>45293.7754050926</v>
      </c>
      <c r="B339" s="56">
        <v>45293.7960069444</v>
      </c>
      <c r="C339" s="35">
        <v>512</v>
      </c>
      <c r="D339" s="65">
        <f t="shared" si="25"/>
        <v>18</v>
      </c>
      <c r="E339" s="65">
        <f t="shared" si="26"/>
        <v>2</v>
      </c>
      <c r="F339" s="65">
        <f t="shared" si="27"/>
        <v>1</v>
      </c>
      <c r="G339" s="109">
        <f t="shared" si="28"/>
        <v>45293.7754050926</v>
      </c>
      <c r="H339" s="110">
        <f t="shared" si="29"/>
        <v>3</v>
      </c>
    </row>
    <row r="340" spans="1:8">
      <c r="A340" s="55">
        <v>45312.8834027778</v>
      </c>
      <c r="B340" s="56">
        <v>45312.8846990741</v>
      </c>
      <c r="C340" s="35">
        <v>221</v>
      </c>
      <c r="D340" s="65">
        <f t="shared" si="25"/>
        <v>21</v>
      </c>
      <c r="E340" s="65">
        <f t="shared" si="26"/>
        <v>21</v>
      </c>
      <c r="F340" s="65">
        <f t="shared" si="27"/>
        <v>4</v>
      </c>
      <c r="G340" s="109">
        <f t="shared" si="28"/>
        <v>45312.8834027778</v>
      </c>
      <c r="H340" s="110">
        <f t="shared" si="29"/>
        <v>1</v>
      </c>
    </row>
    <row r="341" spans="1:8">
      <c r="A341" s="55">
        <v>45317.7711921296</v>
      </c>
      <c r="B341" s="56">
        <v>45317.7875462963</v>
      </c>
      <c r="C341" s="35">
        <v>281</v>
      </c>
      <c r="D341" s="65">
        <f t="shared" si="25"/>
        <v>18</v>
      </c>
      <c r="E341" s="65">
        <f t="shared" si="26"/>
        <v>26</v>
      </c>
      <c r="F341" s="65">
        <f t="shared" si="27"/>
        <v>4</v>
      </c>
      <c r="G341" s="109">
        <f t="shared" si="28"/>
        <v>45317.7711921296</v>
      </c>
      <c r="H341" s="110">
        <f t="shared" si="29"/>
        <v>6</v>
      </c>
    </row>
    <row r="342" spans="1:8">
      <c r="A342" s="55">
        <v>45297.8349074074</v>
      </c>
      <c r="B342" s="56">
        <v>45297.8460185185</v>
      </c>
      <c r="C342" s="35">
        <v>486</v>
      </c>
      <c r="D342" s="65">
        <f t="shared" si="25"/>
        <v>20</v>
      </c>
      <c r="E342" s="65">
        <f t="shared" si="26"/>
        <v>6</v>
      </c>
      <c r="F342" s="65">
        <f t="shared" si="27"/>
        <v>1</v>
      </c>
      <c r="G342" s="109">
        <f t="shared" si="28"/>
        <v>45297.8349074074</v>
      </c>
      <c r="H342" s="110">
        <f t="shared" si="29"/>
        <v>7</v>
      </c>
    </row>
    <row r="343" spans="1:8">
      <c r="A343" s="55">
        <v>45314.3789583333</v>
      </c>
      <c r="B343" s="56">
        <v>45314.3878009259</v>
      </c>
      <c r="C343" s="35">
        <v>564</v>
      </c>
      <c r="D343" s="65">
        <f t="shared" si="25"/>
        <v>9</v>
      </c>
      <c r="E343" s="65">
        <f t="shared" si="26"/>
        <v>23</v>
      </c>
      <c r="F343" s="65">
        <f t="shared" si="27"/>
        <v>4</v>
      </c>
      <c r="G343" s="109">
        <f t="shared" si="28"/>
        <v>45314.3789583333</v>
      </c>
      <c r="H343" s="110">
        <f t="shared" si="29"/>
        <v>3</v>
      </c>
    </row>
    <row r="344" spans="1:8">
      <c r="A344" s="55">
        <v>45309.9006481481</v>
      </c>
      <c r="B344" s="56">
        <v>45309.9069212963</v>
      </c>
      <c r="C344" s="35">
        <v>497</v>
      </c>
      <c r="D344" s="65">
        <f t="shared" si="25"/>
        <v>21</v>
      </c>
      <c r="E344" s="65">
        <f t="shared" si="26"/>
        <v>18</v>
      </c>
      <c r="F344" s="65">
        <f t="shared" si="27"/>
        <v>3</v>
      </c>
      <c r="G344" s="109">
        <f t="shared" si="28"/>
        <v>45309.9006481481</v>
      </c>
      <c r="H344" s="110">
        <f t="shared" si="29"/>
        <v>5</v>
      </c>
    </row>
    <row r="345" spans="1:8">
      <c r="A345" s="55">
        <v>45308.9525</v>
      </c>
      <c r="B345" s="56">
        <v>45308.9692476852</v>
      </c>
      <c r="C345" s="35">
        <v>160</v>
      </c>
      <c r="D345" s="65">
        <f t="shared" si="25"/>
        <v>22</v>
      </c>
      <c r="E345" s="65">
        <f t="shared" si="26"/>
        <v>17</v>
      </c>
      <c r="F345" s="65">
        <f t="shared" si="27"/>
        <v>3</v>
      </c>
      <c r="G345" s="109">
        <f t="shared" si="28"/>
        <v>45308.9525</v>
      </c>
      <c r="H345" s="110">
        <f t="shared" si="29"/>
        <v>4</v>
      </c>
    </row>
    <row r="346" spans="1:8">
      <c r="A346" s="55">
        <v>45317.5055787037</v>
      </c>
      <c r="B346" s="56">
        <v>45317.5163078704</v>
      </c>
      <c r="C346" s="35">
        <v>90</v>
      </c>
      <c r="D346" s="65">
        <f t="shared" si="25"/>
        <v>12</v>
      </c>
      <c r="E346" s="65">
        <f t="shared" si="26"/>
        <v>26</v>
      </c>
      <c r="F346" s="65">
        <f t="shared" si="27"/>
        <v>4</v>
      </c>
      <c r="G346" s="109">
        <f t="shared" si="28"/>
        <v>45317.5055787037</v>
      </c>
      <c r="H346" s="110">
        <f t="shared" si="29"/>
        <v>6</v>
      </c>
    </row>
    <row r="347" spans="1:8">
      <c r="A347" s="55">
        <v>45315.3370833333</v>
      </c>
      <c r="B347" s="56">
        <v>45315.3509606481</v>
      </c>
      <c r="C347" s="35">
        <v>416</v>
      </c>
      <c r="D347" s="65">
        <f t="shared" si="25"/>
        <v>8</v>
      </c>
      <c r="E347" s="65">
        <f t="shared" si="26"/>
        <v>24</v>
      </c>
      <c r="F347" s="65">
        <f t="shared" si="27"/>
        <v>4</v>
      </c>
      <c r="G347" s="109">
        <f t="shared" si="28"/>
        <v>45315.3370833333</v>
      </c>
      <c r="H347" s="110">
        <f t="shared" si="29"/>
        <v>4</v>
      </c>
    </row>
    <row r="348" spans="1:8">
      <c r="A348" s="55">
        <v>45314.9516898148</v>
      </c>
      <c r="B348" s="56">
        <v>45314.9550462963</v>
      </c>
      <c r="C348" s="35">
        <v>434</v>
      </c>
      <c r="D348" s="65">
        <f t="shared" si="25"/>
        <v>22</v>
      </c>
      <c r="E348" s="65">
        <f t="shared" si="26"/>
        <v>23</v>
      </c>
      <c r="F348" s="65">
        <f t="shared" si="27"/>
        <v>4</v>
      </c>
      <c r="G348" s="109">
        <f t="shared" si="28"/>
        <v>45314.9516898148</v>
      </c>
      <c r="H348" s="110">
        <f t="shared" si="29"/>
        <v>3</v>
      </c>
    </row>
    <row r="349" spans="1:8">
      <c r="A349" s="55">
        <v>45295.4099305556</v>
      </c>
      <c r="B349" s="56">
        <v>45295.4233101852</v>
      </c>
      <c r="C349" s="35">
        <v>362</v>
      </c>
      <c r="D349" s="65">
        <f t="shared" si="25"/>
        <v>9</v>
      </c>
      <c r="E349" s="65">
        <f t="shared" si="26"/>
        <v>4</v>
      </c>
      <c r="F349" s="65">
        <f t="shared" si="27"/>
        <v>1</v>
      </c>
      <c r="G349" s="109">
        <f t="shared" si="28"/>
        <v>45295.4099305556</v>
      </c>
      <c r="H349" s="110">
        <f t="shared" si="29"/>
        <v>5</v>
      </c>
    </row>
    <row r="350" spans="1:8">
      <c r="A350" s="55">
        <v>45307.2995023148</v>
      </c>
      <c r="B350" s="56">
        <v>45307.3097453704</v>
      </c>
      <c r="C350" s="35">
        <v>157</v>
      </c>
      <c r="D350" s="65">
        <f t="shared" si="25"/>
        <v>7</v>
      </c>
      <c r="E350" s="65">
        <f t="shared" si="26"/>
        <v>16</v>
      </c>
      <c r="F350" s="65">
        <f t="shared" si="27"/>
        <v>3</v>
      </c>
      <c r="G350" s="109">
        <f t="shared" si="28"/>
        <v>45307.2995023148</v>
      </c>
      <c r="H350" s="110">
        <f t="shared" si="29"/>
        <v>3</v>
      </c>
    </row>
    <row r="351" spans="1:8">
      <c r="A351" s="55">
        <v>45299.3246527778</v>
      </c>
      <c r="B351" s="56">
        <v>45299.331712963</v>
      </c>
      <c r="C351" s="35">
        <v>391</v>
      </c>
      <c r="D351" s="65">
        <f t="shared" si="25"/>
        <v>7</v>
      </c>
      <c r="E351" s="65">
        <f t="shared" si="26"/>
        <v>8</v>
      </c>
      <c r="F351" s="65">
        <f t="shared" si="27"/>
        <v>2</v>
      </c>
      <c r="G351" s="109">
        <f t="shared" si="28"/>
        <v>45299.3246527778</v>
      </c>
      <c r="H351" s="110">
        <f t="shared" si="29"/>
        <v>2</v>
      </c>
    </row>
    <row r="352" spans="1:8">
      <c r="A352" s="55">
        <v>45314.4133564815</v>
      </c>
      <c r="B352" s="56">
        <v>45314.4172337963</v>
      </c>
      <c r="C352" s="35">
        <v>317</v>
      </c>
      <c r="D352" s="65">
        <f t="shared" si="25"/>
        <v>9</v>
      </c>
      <c r="E352" s="65">
        <f t="shared" si="26"/>
        <v>23</v>
      </c>
      <c r="F352" s="65">
        <f t="shared" si="27"/>
        <v>4</v>
      </c>
      <c r="G352" s="109">
        <f t="shared" si="28"/>
        <v>45314.4133564815</v>
      </c>
      <c r="H352" s="110">
        <f t="shared" si="29"/>
        <v>3</v>
      </c>
    </row>
    <row r="353" spans="1:8">
      <c r="A353" s="55">
        <v>45294.5195949074</v>
      </c>
      <c r="B353" s="56">
        <v>45294.5398148148</v>
      </c>
      <c r="C353" s="35">
        <v>426</v>
      </c>
      <c r="D353" s="65">
        <f t="shared" si="25"/>
        <v>12</v>
      </c>
      <c r="E353" s="65">
        <f t="shared" si="26"/>
        <v>3</v>
      </c>
      <c r="F353" s="65">
        <f t="shared" si="27"/>
        <v>1</v>
      </c>
      <c r="G353" s="109">
        <f t="shared" si="28"/>
        <v>45294.5195949074</v>
      </c>
      <c r="H353" s="110">
        <f t="shared" si="29"/>
        <v>4</v>
      </c>
    </row>
    <row r="354" spans="1:8">
      <c r="A354" s="55">
        <v>45301.9341203704</v>
      </c>
      <c r="B354" s="56">
        <v>45301.9533101852</v>
      </c>
      <c r="C354" s="35">
        <v>546</v>
      </c>
      <c r="D354" s="65">
        <f t="shared" si="25"/>
        <v>22</v>
      </c>
      <c r="E354" s="65">
        <f t="shared" si="26"/>
        <v>10</v>
      </c>
      <c r="F354" s="65">
        <f t="shared" si="27"/>
        <v>2</v>
      </c>
      <c r="G354" s="109">
        <f t="shared" si="28"/>
        <v>45301.9341203704</v>
      </c>
      <c r="H354" s="110">
        <f t="shared" si="29"/>
        <v>4</v>
      </c>
    </row>
    <row r="355" spans="1:8">
      <c r="A355" s="55">
        <v>45293.836087963</v>
      </c>
      <c r="B355" s="56">
        <v>45293.8453240741</v>
      </c>
      <c r="C355" s="35">
        <v>213</v>
      </c>
      <c r="D355" s="65">
        <f t="shared" si="25"/>
        <v>20</v>
      </c>
      <c r="E355" s="65">
        <f t="shared" si="26"/>
        <v>2</v>
      </c>
      <c r="F355" s="65">
        <f t="shared" si="27"/>
        <v>1</v>
      </c>
      <c r="G355" s="109">
        <f t="shared" si="28"/>
        <v>45293.836087963</v>
      </c>
      <c r="H355" s="110">
        <f t="shared" si="29"/>
        <v>3</v>
      </c>
    </row>
    <row r="356" spans="1:8">
      <c r="A356" s="55">
        <v>45295.2606828704</v>
      </c>
      <c r="B356" s="56">
        <v>45295.272962963</v>
      </c>
      <c r="C356" s="35">
        <v>466</v>
      </c>
      <c r="D356" s="65">
        <f t="shared" si="25"/>
        <v>6</v>
      </c>
      <c r="E356" s="65">
        <f t="shared" si="26"/>
        <v>4</v>
      </c>
      <c r="F356" s="65">
        <f t="shared" si="27"/>
        <v>1</v>
      </c>
      <c r="G356" s="109">
        <f t="shared" si="28"/>
        <v>45295.2606828704</v>
      </c>
      <c r="H356" s="110">
        <f t="shared" si="29"/>
        <v>5</v>
      </c>
    </row>
    <row r="357" spans="1:8">
      <c r="A357" s="55">
        <v>45318.6165856481</v>
      </c>
      <c r="B357" s="56">
        <v>45318.633599537</v>
      </c>
      <c r="C357" s="35">
        <v>102</v>
      </c>
      <c r="D357" s="65">
        <f t="shared" si="25"/>
        <v>14</v>
      </c>
      <c r="E357" s="65">
        <f t="shared" si="26"/>
        <v>27</v>
      </c>
      <c r="F357" s="65">
        <f t="shared" si="27"/>
        <v>4</v>
      </c>
      <c r="G357" s="109">
        <f t="shared" si="28"/>
        <v>45318.6165856481</v>
      </c>
      <c r="H357" s="110">
        <f t="shared" si="29"/>
        <v>7</v>
      </c>
    </row>
    <row r="358" spans="1:8">
      <c r="A358" s="55">
        <v>45319.5703009259</v>
      </c>
      <c r="B358" s="56">
        <v>45319.5870486111</v>
      </c>
      <c r="C358" s="35">
        <v>221</v>
      </c>
      <c r="D358" s="65">
        <f t="shared" si="25"/>
        <v>13</v>
      </c>
      <c r="E358" s="65">
        <f t="shared" si="26"/>
        <v>28</v>
      </c>
      <c r="F358" s="65">
        <f t="shared" si="27"/>
        <v>5</v>
      </c>
      <c r="G358" s="109">
        <f t="shared" si="28"/>
        <v>45319.5703009259</v>
      </c>
      <c r="H358" s="110">
        <f t="shared" si="29"/>
        <v>1</v>
      </c>
    </row>
    <row r="359" spans="1:8">
      <c r="A359" s="55">
        <v>45296.4853125</v>
      </c>
      <c r="B359" s="56">
        <v>45296.4862037037</v>
      </c>
      <c r="C359" s="35">
        <v>239</v>
      </c>
      <c r="D359" s="65">
        <f t="shared" si="25"/>
        <v>11</v>
      </c>
      <c r="E359" s="65">
        <f t="shared" si="26"/>
        <v>5</v>
      </c>
      <c r="F359" s="65">
        <f t="shared" si="27"/>
        <v>1</v>
      </c>
      <c r="G359" s="109">
        <f t="shared" si="28"/>
        <v>45296.4853125</v>
      </c>
      <c r="H359" s="110">
        <f t="shared" si="29"/>
        <v>6</v>
      </c>
    </row>
    <row r="360" spans="1:8">
      <c r="A360" s="55">
        <v>45305.7877546296</v>
      </c>
      <c r="B360" s="56">
        <v>45305.7993287037</v>
      </c>
      <c r="C360" s="35">
        <v>268</v>
      </c>
      <c r="D360" s="65">
        <f t="shared" si="25"/>
        <v>18</v>
      </c>
      <c r="E360" s="65">
        <f t="shared" si="26"/>
        <v>14</v>
      </c>
      <c r="F360" s="65">
        <f t="shared" si="27"/>
        <v>3</v>
      </c>
      <c r="G360" s="109">
        <f t="shared" si="28"/>
        <v>45305.7877546296</v>
      </c>
      <c r="H360" s="110">
        <f t="shared" si="29"/>
        <v>1</v>
      </c>
    </row>
    <row r="361" spans="1:8">
      <c r="A361" s="55">
        <v>45310.3753703704</v>
      </c>
      <c r="B361" s="56">
        <v>45310.3917592593</v>
      </c>
      <c r="C361" s="35">
        <v>393</v>
      </c>
      <c r="D361" s="65">
        <f t="shared" si="25"/>
        <v>9</v>
      </c>
      <c r="E361" s="65">
        <f t="shared" si="26"/>
        <v>19</v>
      </c>
      <c r="F361" s="65">
        <f t="shared" si="27"/>
        <v>3</v>
      </c>
      <c r="G361" s="109">
        <f t="shared" si="28"/>
        <v>45310.3753703704</v>
      </c>
      <c r="H361" s="110">
        <f t="shared" si="29"/>
        <v>6</v>
      </c>
    </row>
    <row r="362" spans="1:8">
      <c r="A362" s="55">
        <v>45302.6113425926</v>
      </c>
      <c r="B362" s="56">
        <v>45302.618599537</v>
      </c>
      <c r="C362" s="35">
        <v>277</v>
      </c>
      <c r="D362" s="65">
        <f t="shared" si="25"/>
        <v>14</v>
      </c>
      <c r="E362" s="65">
        <f t="shared" si="26"/>
        <v>11</v>
      </c>
      <c r="F362" s="65">
        <f t="shared" si="27"/>
        <v>2</v>
      </c>
      <c r="G362" s="109">
        <f t="shared" si="28"/>
        <v>45302.6113425926</v>
      </c>
      <c r="H362" s="110">
        <f t="shared" si="29"/>
        <v>5</v>
      </c>
    </row>
    <row r="363" spans="1:8">
      <c r="A363" s="55">
        <v>45293.7793981481</v>
      </c>
      <c r="B363" s="56">
        <v>45293.7962268519</v>
      </c>
      <c r="C363" s="35">
        <v>153</v>
      </c>
      <c r="D363" s="65">
        <f t="shared" si="25"/>
        <v>18</v>
      </c>
      <c r="E363" s="65">
        <f t="shared" si="26"/>
        <v>2</v>
      </c>
      <c r="F363" s="65">
        <f t="shared" si="27"/>
        <v>1</v>
      </c>
      <c r="G363" s="109">
        <f t="shared" si="28"/>
        <v>45293.7793981481</v>
      </c>
      <c r="H363" s="110">
        <f t="shared" si="29"/>
        <v>3</v>
      </c>
    </row>
    <row r="364" spans="1:8">
      <c r="A364" s="55">
        <v>45304.3178819444</v>
      </c>
      <c r="B364" s="56">
        <v>45304.3321296296</v>
      </c>
      <c r="C364" s="35">
        <v>204</v>
      </c>
      <c r="D364" s="65">
        <f t="shared" si="25"/>
        <v>7</v>
      </c>
      <c r="E364" s="65">
        <f t="shared" si="26"/>
        <v>13</v>
      </c>
      <c r="F364" s="65">
        <f t="shared" si="27"/>
        <v>2</v>
      </c>
      <c r="G364" s="109">
        <f t="shared" si="28"/>
        <v>45304.3178819444</v>
      </c>
      <c r="H364" s="110">
        <f t="shared" si="29"/>
        <v>7</v>
      </c>
    </row>
    <row r="365" spans="1:8">
      <c r="A365" s="55">
        <v>45313.730775463</v>
      </c>
      <c r="B365" s="56">
        <v>45313.7515046296</v>
      </c>
      <c r="C365" s="35">
        <v>184</v>
      </c>
      <c r="D365" s="65">
        <f t="shared" si="25"/>
        <v>17</v>
      </c>
      <c r="E365" s="65">
        <f t="shared" si="26"/>
        <v>22</v>
      </c>
      <c r="F365" s="65">
        <f t="shared" si="27"/>
        <v>4</v>
      </c>
      <c r="G365" s="109">
        <f t="shared" si="28"/>
        <v>45313.730775463</v>
      </c>
      <c r="H365" s="110">
        <f t="shared" si="29"/>
        <v>2</v>
      </c>
    </row>
    <row r="366" spans="1:8">
      <c r="A366" s="55">
        <v>45317.4888541667</v>
      </c>
      <c r="B366" s="56">
        <v>45317.4975</v>
      </c>
      <c r="C366" s="35">
        <v>101</v>
      </c>
      <c r="D366" s="65">
        <f t="shared" si="25"/>
        <v>11</v>
      </c>
      <c r="E366" s="65">
        <f t="shared" si="26"/>
        <v>26</v>
      </c>
      <c r="F366" s="65">
        <f t="shared" si="27"/>
        <v>4</v>
      </c>
      <c r="G366" s="109">
        <f t="shared" si="28"/>
        <v>45317.4888541667</v>
      </c>
      <c r="H366" s="110">
        <f t="shared" si="29"/>
        <v>6</v>
      </c>
    </row>
    <row r="367" spans="1:8">
      <c r="A367" s="55">
        <v>45317.6828240741</v>
      </c>
      <c r="B367" s="56">
        <v>45317.6973958333</v>
      </c>
      <c r="C367" s="35">
        <v>311</v>
      </c>
      <c r="D367" s="65">
        <f t="shared" si="25"/>
        <v>16</v>
      </c>
      <c r="E367" s="65">
        <f t="shared" si="26"/>
        <v>26</v>
      </c>
      <c r="F367" s="65">
        <f t="shared" si="27"/>
        <v>4</v>
      </c>
      <c r="G367" s="109">
        <f t="shared" si="28"/>
        <v>45317.6828240741</v>
      </c>
      <c r="H367" s="110">
        <f t="shared" si="29"/>
        <v>6</v>
      </c>
    </row>
    <row r="368" spans="1:8">
      <c r="A368" s="55">
        <v>45294.9140277778</v>
      </c>
      <c r="B368" s="56">
        <v>45294.9265740741</v>
      </c>
      <c r="C368" s="35">
        <v>132</v>
      </c>
      <c r="D368" s="65">
        <f t="shared" si="25"/>
        <v>21</v>
      </c>
      <c r="E368" s="65">
        <f t="shared" si="26"/>
        <v>3</v>
      </c>
      <c r="F368" s="65">
        <f t="shared" si="27"/>
        <v>1</v>
      </c>
      <c r="G368" s="109">
        <f t="shared" si="28"/>
        <v>45294.9140277778</v>
      </c>
      <c r="H368" s="110">
        <f t="shared" si="29"/>
        <v>4</v>
      </c>
    </row>
    <row r="369" spans="1:8">
      <c r="A369" s="55">
        <v>45302.8173263889</v>
      </c>
      <c r="B369" s="56">
        <v>45302.8288657407</v>
      </c>
      <c r="C369" s="35">
        <v>156</v>
      </c>
      <c r="D369" s="65">
        <f t="shared" si="25"/>
        <v>19</v>
      </c>
      <c r="E369" s="65">
        <f t="shared" si="26"/>
        <v>11</v>
      </c>
      <c r="F369" s="65">
        <f t="shared" si="27"/>
        <v>2</v>
      </c>
      <c r="G369" s="109">
        <f t="shared" si="28"/>
        <v>45302.8173263889</v>
      </c>
      <c r="H369" s="110">
        <f t="shared" si="29"/>
        <v>5</v>
      </c>
    </row>
    <row r="370" spans="1:8">
      <c r="A370" s="55">
        <v>45302.2919907407</v>
      </c>
      <c r="B370" s="56">
        <v>45302.2991666667</v>
      </c>
      <c r="C370" s="35">
        <v>224</v>
      </c>
      <c r="D370" s="65">
        <f t="shared" si="25"/>
        <v>7</v>
      </c>
      <c r="E370" s="65">
        <f t="shared" si="26"/>
        <v>11</v>
      </c>
      <c r="F370" s="65">
        <f t="shared" si="27"/>
        <v>2</v>
      </c>
      <c r="G370" s="109">
        <f t="shared" si="28"/>
        <v>45302.2919907407</v>
      </c>
      <c r="H370" s="110">
        <f t="shared" si="29"/>
        <v>5</v>
      </c>
    </row>
    <row r="371" spans="1:8">
      <c r="A371" s="55">
        <v>45311.8197569444</v>
      </c>
      <c r="B371" s="56">
        <v>45311.8300115741</v>
      </c>
      <c r="C371" s="35">
        <v>449</v>
      </c>
      <c r="D371" s="65">
        <f t="shared" si="25"/>
        <v>19</v>
      </c>
      <c r="E371" s="65">
        <f t="shared" si="26"/>
        <v>20</v>
      </c>
      <c r="F371" s="65">
        <f t="shared" si="27"/>
        <v>3</v>
      </c>
      <c r="G371" s="109">
        <f t="shared" si="28"/>
        <v>45311.8197569444</v>
      </c>
      <c r="H371" s="110">
        <f t="shared" si="29"/>
        <v>7</v>
      </c>
    </row>
    <row r="372" spans="1:8">
      <c r="A372" s="55">
        <v>45302.9250115741</v>
      </c>
      <c r="B372" s="56">
        <v>45302.9417361111</v>
      </c>
      <c r="C372" s="35">
        <v>14</v>
      </c>
      <c r="D372" s="65">
        <f t="shared" si="25"/>
        <v>22</v>
      </c>
      <c r="E372" s="65">
        <f t="shared" si="26"/>
        <v>11</v>
      </c>
      <c r="F372" s="65">
        <f t="shared" si="27"/>
        <v>2</v>
      </c>
      <c r="G372" s="109">
        <f t="shared" si="28"/>
        <v>45302.9250115741</v>
      </c>
      <c r="H372" s="110">
        <f t="shared" si="29"/>
        <v>5</v>
      </c>
    </row>
    <row r="373" spans="1:8">
      <c r="A373" s="55">
        <v>45295.772650463</v>
      </c>
      <c r="B373" s="56">
        <v>45295.7805902778</v>
      </c>
      <c r="C373" s="35">
        <v>181</v>
      </c>
      <c r="D373" s="65">
        <f t="shared" si="25"/>
        <v>18</v>
      </c>
      <c r="E373" s="65">
        <f t="shared" si="26"/>
        <v>4</v>
      </c>
      <c r="F373" s="65">
        <f t="shared" si="27"/>
        <v>1</v>
      </c>
      <c r="G373" s="109">
        <f t="shared" si="28"/>
        <v>45295.772650463</v>
      </c>
      <c r="H373" s="110">
        <f t="shared" si="29"/>
        <v>5</v>
      </c>
    </row>
    <row r="374" spans="1:8">
      <c r="A374" s="55">
        <v>45308.9315625</v>
      </c>
      <c r="B374" s="56">
        <v>45308.9485300926</v>
      </c>
      <c r="C374" s="35">
        <v>147</v>
      </c>
      <c r="D374" s="65">
        <f t="shared" si="25"/>
        <v>22</v>
      </c>
      <c r="E374" s="65">
        <f t="shared" si="26"/>
        <v>17</v>
      </c>
      <c r="F374" s="65">
        <f t="shared" si="27"/>
        <v>3</v>
      </c>
      <c r="G374" s="109">
        <f t="shared" si="28"/>
        <v>45308.9315625</v>
      </c>
      <c r="H374" s="110">
        <f t="shared" si="29"/>
        <v>4</v>
      </c>
    </row>
    <row r="375" spans="1:8">
      <c r="A375" s="55">
        <v>45317.7508564815</v>
      </c>
      <c r="B375" s="56">
        <v>45317.7568634259</v>
      </c>
      <c r="C375" s="35">
        <v>144</v>
      </c>
      <c r="D375" s="65">
        <f t="shared" si="25"/>
        <v>18</v>
      </c>
      <c r="E375" s="65">
        <f t="shared" si="26"/>
        <v>26</v>
      </c>
      <c r="F375" s="65">
        <f t="shared" si="27"/>
        <v>4</v>
      </c>
      <c r="G375" s="109">
        <f t="shared" si="28"/>
        <v>45317.7508564815</v>
      </c>
      <c r="H375" s="110">
        <f t="shared" si="29"/>
        <v>6</v>
      </c>
    </row>
    <row r="376" spans="1:8">
      <c r="A376" s="55">
        <v>45314.3089814815</v>
      </c>
      <c r="B376" s="56">
        <v>45314.324849537</v>
      </c>
      <c r="C376" s="35">
        <v>271</v>
      </c>
      <c r="D376" s="65">
        <f t="shared" si="25"/>
        <v>7</v>
      </c>
      <c r="E376" s="65">
        <f t="shared" si="26"/>
        <v>23</v>
      </c>
      <c r="F376" s="65">
        <f t="shared" si="27"/>
        <v>4</v>
      </c>
      <c r="G376" s="109">
        <f t="shared" si="28"/>
        <v>45314.3089814815</v>
      </c>
      <c r="H376" s="110">
        <f t="shared" si="29"/>
        <v>3</v>
      </c>
    </row>
    <row r="377" spans="1:8">
      <c r="A377" s="55">
        <v>45312.2525925926</v>
      </c>
      <c r="B377" s="56">
        <v>45312.2560300926</v>
      </c>
      <c r="C377" s="35">
        <v>436</v>
      </c>
      <c r="D377" s="65">
        <f t="shared" si="25"/>
        <v>6</v>
      </c>
      <c r="E377" s="65">
        <f t="shared" si="26"/>
        <v>21</v>
      </c>
      <c r="F377" s="65">
        <f t="shared" si="27"/>
        <v>4</v>
      </c>
      <c r="G377" s="109">
        <f t="shared" si="28"/>
        <v>45312.2525925926</v>
      </c>
      <c r="H377" s="110">
        <f t="shared" si="29"/>
        <v>1</v>
      </c>
    </row>
    <row r="378" spans="1:8">
      <c r="A378" s="55">
        <v>45296.5310532407</v>
      </c>
      <c r="B378" s="56">
        <v>45296.5466782407</v>
      </c>
      <c r="C378" s="35">
        <v>19</v>
      </c>
      <c r="D378" s="65">
        <f t="shared" si="25"/>
        <v>12</v>
      </c>
      <c r="E378" s="65">
        <f t="shared" si="26"/>
        <v>5</v>
      </c>
      <c r="F378" s="65">
        <f t="shared" si="27"/>
        <v>1</v>
      </c>
      <c r="G378" s="109">
        <f t="shared" si="28"/>
        <v>45296.5310532407</v>
      </c>
      <c r="H378" s="110">
        <f t="shared" si="29"/>
        <v>6</v>
      </c>
    </row>
    <row r="379" spans="1:8">
      <c r="A379" s="55">
        <v>45314.4353356482</v>
      </c>
      <c r="B379" s="56">
        <v>45314.4385069444</v>
      </c>
      <c r="C379" s="35">
        <v>533</v>
      </c>
      <c r="D379" s="65">
        <f t="shared" si="25"/>
        <v>10</v>
      </c>
      <c r="E379" s="65">
        <f t="shared" si="26"/>
        <v>23</v>
      </c>
      <c r="F379" s="65">
        <f t="shared" si="27"/>
        <v>4</v>
      </c>
      <c r="G379" s="109">
        <f t="shared" si="28"/>
        <v>45314.4353356482</v>
      </c>
      <c r="H379" s="110">
        <f t="shared" si="29"/>
        <v>3</v>
      </c>
    </row>
    <row r="380" spans="1:8">
      <c r="A380" s="55">
        <v>45298.6205208333</v>
      </c>
      <c r="B380" s="56">
        <v>45298.6259953704</v>
      </c>
      <c r="C380" s="35">
        <v>376</v>
      </c>
      <c r="D380" s="65">
        <f t="shared" si="25"/>
        <v>14</v>
      </c>
      <c r="E380" s="65">
        <f t="shared" si="26"/>
        <v>7</v>
      </c>
      <c r="F380" s="65">
        <f t="shared" si="27"/>
        <v>2</v>
      </c>
      <c r="G380" s="109">
        <f t="shared" si="28"/>
        <v>45298.6205208333</v>
      </c>
      <c r="H380" s="110">
        <f t="shared" si="29"/>
        <v>1</v>
      </c>
    </row>
    <row r="381" spans="1:8">
      <c r="A381" s="55">
        <v>45307.6770833333</v>
      </c>
      <c r="B381" s="56">
        <v>45307.6780787037</v>
      </c>
      <c r="C381" s="35">
        <v>101</v>
      </c>
      <c r="D381" s="65">
        <f t="shared" si="25"/>
        <v>16</v>
      </c>
      <c r="E381" s="65">
        <f t="shared" si="26"/>
        <v>16</v>
      </c>
      <c r="F381" s="65">
        <f t="shared" si="27"/>
        <v>3</v>
      </c>
      <c r="G381" s="109">
        <f t="shared" si="28"/>
        <v>45307.6770833333</v>
      </c>
      <c r="H381" s="110">
        <f t="shared" si="29"/>
        <v>3</v>
      </c>
    </row>
    <row r="382" spans="1:8">
      <c r="A382" s="55">
        <v>45315.4147685185</v>
      </c>
      <c r="B382" s="56">
        <v>45315.4307291667</v>
      </c>
      <c r="C382" s="35">
        <v>246</v>
      </c>
      <c r="D382" s="65">
        <f t="shared" si="25"/>
        <v>9</v>
      </c>
      <c r="E382" s="65">
        <f t="shared" si="26"/>
        <v>24</v>
      </c>
      <c r="F382" s="65">
        <f t="shared" si="27"/>
        <v>4</v>
      </c>
      <c r="G382" s="109">
        <f t="shared" si="28"/>
        <v>45315.4147685185</v>
      </c>
      <c r="H382" s="110">
        <f t="shared" si="29"/>
        <v>4</v>
      </c>
    </row>
    <row r="383" spans="1:8">
      <c r="A383" s="55">
        <v>45297.329375</v>
      </c>
      <c r="B383" s="56">
        <v>45297.338599537</v>
      </c>
      <c r="C383" s="35">
        <v>330</v>
      </c>
      <c r="D383" s="65">
        <f t="shared" si="25"/>
        <v>7</v>
      </c>
      <c r="E383" s="65">
        <f t="shared" si="26"/>
        <v>6</v>
      </c>
      <c r="F383" s="65">
        <f t="shared" si="27"/>
        <v>1</v>
      </c>
      <c r="G383" s="109">
        <f t="shared" si="28"/>
        <v>45297.329375</v>
      </c>
      <c r="H383" s="110">
        <f t="shared" si="29"/>
        <v>7</v>
      </c>
    </row>
    <row r="384" spans="1:8">
      <c r="A384" s="55">
        <v>45319.4463078704</v>
      </c>
      <c r="B384" s="56">
        <v>45319.4510416667</v>
      </c>
      <c r="C384" s="35">
        <v>346</v>
      </c>
      <c r="D384" s="65">
        <f t="shared" si="25"/>
        <v>10</v>
      </c>
      <c r="E384" s="65">
        <f t="shared" si="26"/>
        <v>28</v>
      </c>
      <c r="F384" s="65">
        <f t="shared" si="27"/>
        <v>5</v>
      </c>
      <c r="G384" s="109">
        <f t="shared" si="28"/>
        <v>45319.4463078704</v>
      </c>
      <c r="H384" s="110">
        <f t="shared" si="29"/>
        <v>1</v>
      </c>
    </row>
    <row r="385" spans="1:8">
      <c r="A385" s="55">
        <v>45303.6743865741</v>
      </c>
      <c r="B385" s="56">
        <v>45303.6845717593</v>
      </c>
      <c r="C385" s="35">
        <v>419</v>
      </c>
      <c r="D385" s="65">
        <f t="shared" si="25"/>
        <v>16</v>
      </c>
      <c r="E385" s="65">
        <f t="shared" si="26"/>
        <v>12</v>
      </c>
      <c r="F385" s="65">
        <f t="shared" si="27"/>
        <v>2</v>
      </c>
      <c r="G385" s="109">
        <f t="shared" si="28"/>
        <v>45303.6743865741</v>
      </c>
      <c r="H385" s="110">
        <f t="shared" si="29"/>
        <v>6</v>
      </c>
    </row>
    <row r="386" spans="1:8">
      <c r="A386" s="55">
        <v>45305.463287037</v>
      </c>
      <c r="B386" s="56">
        <v>45305.480474537</v>
      </c>
      <c r="C386" s="35">
        <v>70</v>
      </c>
      <c r="D386" s="65">
        <f t="shared" si="25"/>
        <v>11</v>
      </c>
      <c r="E386" s="65">
        <f t="shared" si="26"/>
        <v>14</v>
      </c>
      <c r="F386" s="65">
        <f t="shared" si="27"/>
        <v>3</v>
      </c>
      <c r="G386" s="109">
        <f t="shared" si="28"/>
        <v>45305.463287037</v>
      </c>
      <c r="H386" s="110">
        <f t="shared" si="29"/>
        <v>1</v>
      </c>
    </row>
    <row r="387" spans="1:8">
      <c r="A387" s="55">
        <v>45310.8414236111</v>
      </c>
      <c r="B387" s="56">
        <v>45310.8511111111</v>
      </c>
      <c r="C387" s="35">
        <v>377</v>
      </c>
      <c r="D387" s="65">
        <f t="shared" ref="D387:D450" si="30">HOUR(A387)</f>
        <v>20</v>
      </c>
      <c r="E387" s="65">
        <f t="shared" ref="E387:E450" si="31">DAY(A387)</f>
        <v>19</v>
      </c>
      <c r="F387" s="65">
        <f t="shared" ref="F387:F450" si="32">WEEKNUM(A387)</f>
        <v>3</v>
      </c>
      <c r="G387" s="109">
        <f t="shared" ref="G387:G450" si="33">A387</f>
        <v>45310.8414236111</v>
      </c>
      <c r="H387" s="110">
        <f t="shared" ref="H387:H450" si="34">WEEKDAY(A387)</f>
        <v>6</v>
      </c>
    </row>
    <row r="388" spans="1:8">
      <c r="A388" s="55">
        <v>45296.9156365741</v>
      </c>
      <c r="B388" s="56">
        <v>45296.9190046296</v>
      </c>
      <c r="C388" s="35">
        <v>431</v>
      </c>
      <c r="D388" s="65">
        <f t="shared" si="30"/>
        <v>21</v>
      </c>
      <c r="E388" s="65">
        <f t="shared" si="31"/>
        <v>5</v>
      </c>
      <c r="F388" s="65">
        <f t="shared" si="32"/>
        <v>1</v>
      </c>
      <c r="G388" s="109">
        <f t="shared" si="33"/>
        <v>45296.9156365741</v>
      </c>
      <c r="H388" s="110">
        <f t="shared" si="34"/>
        <v>6</v>
      </c>
    </row>
    <row r="389" spans="1:8">
      <c r="A389" s="55">
        <v>45314.9512384259</v>
      </c>
      <c r="B389" s="56">
        <v>45314.9655902778</v>
      </c>
      <c r="C389" s="35">
        <v>588</v>
      </c>
      <c r="D389" s="65">
        <f t="shared" si="30"/>
        <v>22</v>
      </c>
      <c r="E389" s="65">
        <f t="shared" si="31"/>
        <v>23</v>
      </c>
      <c r="F389" s="65">
        <f t="shared" si="32"/>
        <v>4</v>
      </c>
      <c r="G389" s="109">
        <f t="shared" si="33"/>
        <v>45314.9512384259</v>
      </c>
      <c r="H389" s="110">
        <f t="shared" si="34"/>
        <v>3</v>
      </c>
    </row>
    <row r="390" spans="1:8">
      <c r="A390" s="55">
        <v>45295.8213657407</v>
      </c>
      <c r="B390" s="56">
        <v>45295.8279513889</v>
      </c>
      <c r="C390" s="35">
        <v>503</v>
      </c>
      <c r="D390" s="65">
        <f t="shared" si="30"/>
        <v>19</v>
      </c>
      <c r="E390" s="65">
        <f t="shared" si="31"/>
        <v>4</v>
      </c>
      <c r="F390" s="65">
        <f t="shared" si="32"/>
        <v>1</v>
      </c>
      <c r="G390" s="109">
        <f t="shared" si="33"/>
        <v>45295.8213657407</v>
      </c>
      <c r="H390" s="110">
        <f t="shared" si="34"/>
        <v>5</v>
      </c>
    </row>
    <row r="391" spans="1:8">
      <c r="A391" s="55">
        <v>45311.2921412037</v>
      </c>
      <c r="B391" s="56">
        <v>45311.2965509259</v>
      </c>
      <c r="C391" s="35">
        <v>527</v>
      </c>
      <c r="D391" s="65">
        <f t="shared" si="30"/>
        <v>7</v>
      </c>
      <c r="E391" s="65">
        <f t="shared" si="31"/>
        <v>20</v>
      </c>
      <c r="F391" s="65">
        <f t="shared" si="32"/>
        <v>3</v>
      </c>
      <c r="G391" s="109">
        <f t="shared" si="33"/>
        <v>45311.2921412037</v>
      </c>
      <c r="H391" s="110">
        <f t="shared" si="34"/>
        <v>7</v>
      </c>
    </row>
    <row r="392" spans="1:8">
      <c r="A392" s="55">
        <v>45300.3140509259</v>
      </c>
      <c r="B392" s="56">
        <v>45300.3277893519</v>
      </c>
      <c r="C392" s="35">
        <v>397</v>
      </c>
      <c r="D392" s="65">
        <f t="shared" si="30"/>
        <v>7</v>
      </c>
      <c r="E392" s="65">
        <f t="shared" si="31"/>
        <v>9</v>
      </c>
      <c r="F392" s="65">
        <f t="shared" si="32"/>
        <v>2</v>
      </c>
      <c r="G392" s="109">
        <f t="shared" si="33"/>
        <v>45300.3140509259</v>
      </c>
      <c r="H392" s="110">
        <f t="shared" si="34"/>
        <v>3</v>
      </c>
    </row>
    <row r="393" spans="1:8">
      <c r="A393" s="55">
        <v>45294.8946759259</v>
      </c>
      <c r="B393" s="56">
        <v>45294.8981828704</v>
      </c>
      <c r="C393" s="35">
        <v>519</v>
      </c>
      <c r="D393" s="65">
        <f t="shared" si="30"/>
        <v>21</v>
      </c>
      <c r="E393" s="65">
        <f t="shared" si="31"/>
        <v>3</v>
      </c>
      <c r="F393" s="65">
        <f t="shared" si="32"/>
        <v>1</v>
      </c>
      <c r="G393" s="109">
        <f t="shared" si="33"/>
        <v>45294.8946759259</v>
      </c>
      <c r="H393" s="110">
        <f t="shared" si="34"/>
        <v>4</v>
      </c>
    </row>
    <row r="394" spans="1:8">
      <c r="A394" s="55">
        <v>45292.3684953704</v>
      </c>
      <c r="B394" s="56">
        <v>45292.3838541667</v>
      </c>
      <c r="C394" s="35">
        <v>321</v>
      </c>
      <c r="D394" s="65">
        <f t="shared" si="30"/>
        <v>8</v>
      </c>
      <c r="E394" s="65">
        <f t="shared" si="31"/>
        <v>1</v>
      </c>
      <c r="F394" s="65">
        <f t="shared" si="32"/>
        <v>1</v>
      </c>
      <c r="G394" s="109">
        <f t="shared" si="33"/>
        <v>45292.3684953704</v>
      </c>
      <c r="H394" s="110">
        <f t="shared" si="34"/>
        <v>2</v>
      </c>
    </row>
    <row r="395" spans="1:8">
      <c r="A395" s="55">
        <v>45318.3279398148</v>
      </c>
      <c r="B395" s="56">
        <v>45318.3486458333</v>
      </c>
      <c r="C395" s="35">
        <v>475</v>
      </c>
      <c r="D395" s="65">
        <f t="shared" si="30"/>
        <v>7</v>
      </c>
      <c r="E395" s="65">
        <f t="shared" si="31"/>
        <v>27</v>
      </c>
      <c r="F395" s="65">
        <f t="shared" si="32"/>
        <v>4</v>
      </c>
      <c r="G395" s="109">
        <f t="shared" si="33"/>
        <v>45318.3279398148</v>
      </c>
      <c r="H395" s="110">
        <f t="shared" si="34"/>
        <v>7</v>
      </c>
    </row>
    <row r="396" spans="1:8">
      <c r="A396" s="55">
        <v>45295.4088194444</v>
      </c>
      <c r="B396" s="56">
        <v>45295.4147685185</v>
      </c>
      <c r="C396" s="35">
        <v>12</v>
      </c>
      <c r="D396" s="65">
        <f t="shared" si="30"/>
        <v>9</v>
      </c>
      <c r="E396" s="65">
        <f t="shared" si="31"/>
        <v>4</v>
      </c>
      <c r="F396" s="65">
        <f t="shared" si="32"/>
        <v>1</v>
      </c>
      <c r="G396" s="109">
        <f t="shared" si="33"/>
        <v>45295.4088194444</v>
      </c>
      <c r="H396" s="110">
        <f t="shared" si="34"/>
        <v>5</v>
      </c>
    </row>
    <row r="397" spans="1:8">
      <c r="A397" s="55">
        <v>45308.7389583333</v>
      </c>
      <c r="B397" s="56">
        <v>45308.7407291667</v>
      </c>
      <c r="C397" s="35">
        <v>178</v>
      </c>
      <c r="D397" s="65">
        <f t="shared" si="30"/>
        <v>17</v>
      </c>
      <c r="E397" s="65">
        <f t="shared" si="31"/>
        <v>17</v>
      </c>
      <c r="F397" s="65">
        <f t="shared" si="32"/>
        <v>3</v>
      </c>
      <c r="G397" s="109">
        <f t="shared" si="33"/>
        <v>45308.7389583333</v>
      </c>
      <c r="H397" s="110">
        <f t="shared" si="34"/>
        <v>4</v>
      </c>
    </row>
    <row r="398" spans="1:8">
      <c r="A398" s="55">
        <v>45300.5084143519</v>
      </c>
      <c r="B398" s="56">
        <v>45300.5184143518</v>
      </c>
      <c r="C398" s="35">
        <v>230</v>
      </c>
      <c r="D398" s="65">
        <f t="shared" si="30"/>
        <v>12</v>
      </c>
      <c r="E398" s="65">
        <f t="shared" si="31"/>
        <v>9</v>
      </c>
      <c r="F398" s="65">
        <f t="shared" si="32"/>
        <v>2</v>
      </c>
      <c r="G398" s="109">
        <f t="shared" si="33"/>
        <v>45300.5084143519</v>
      </c>
      <c r="H398" s="110">
        <f t="shared" si="34"/>
        <v>3</v>
      </c>
    </row>
    <row r="399" spans="1:8">
      <c r="A399" s="55">
        <v>45312.4096875</v>
      </c>
      <c r="B399" s="56">
        <v>45312.4210532407</v>
      </c>
      <c r="C399" s="35">
        <v>478</v>
      </c>
      <c r="D399" s="65">
        <f t="shared" si="30"/>
        <v>9</v>
      </c>
      <c r="E399" s="65">
        <f t="shared" si="31"/>
        <v>21</v>
      </c>
      <c r="F399" s="65">
        <f t="shared" si="32"/>
        <v>4</v>
      </c>
      <c r="G399" s="109">
        <f t="shared" si="33"/>
        <v>45312.4096875</v>
      </c>
      <c r="H399" s="110">
        <f t="shared" si="34"/>
        <v>1</v>
      </c>
    </row>
    <row r="400" spans="1:8">
      <c r="A400" s="55">
        <v>45305.9163425926</v>
      </c>
      <c r="B400" s="56">
        <v>45305.9355439815</v>
      </c>
      <c r="C400" s="35">
        <v>191</v>
      </c>
      <c r="D400" s="65">
        <f t="shared" si="30"/>
        <v>21</v>
      </c>
      <c r="E400" s="65">
        <f t="shared" si="31"/>
        <v>14</v>
      </c>
      <c r="F400" s="65">
        <f t="shared" si="32"/>
        <v>3</v>
      </c>
      <c r="G400" s="109">
        <f t="shared" si="33"/>
        <v>45305.9163425926</v>
      </c>
      <c r="H400" s="110">
        <f t="shared" si="34"/>
        <v>1</v>
      </c>
    </row>
    <row r="401" spans="1:8">
      <c r="A401" s="55">
        <v>45313.689537037</v>
      </c>
      <c r="B401" s="56">
        <v>45313.6993402778</v>
      </c>
      <c r="C401" s="35">
        <v>438</v>
      </c>
      <c r="D401" s="65">
        <f t="shared" si="30"/>
        <v>16</v>
      </c>
      <c r="E401" s="65">
        <f t="shared" si="31"/>
        <v>22</v>
      </c>
      <c r="F401" s="65">
        <f t="shared" si="32"/>
        <v>4</v>
      </c>
      <c r="G401" s="109">
        <f t="shared" si="33"/>
        <v>45313.689537037</v>
      </c>
      <c r="H401" s="110">
        <f t="shared" si="34"/>
        <v>2</v>
      </c>
    </row>
    <row r="402" spans="1:8">
      <c r="A402" s="55">
        <v>45306.4225231481</v>
      </c>
      <c r="B402" s="56">
        <v>45306.4374884259</v>
      </c>
      <c r="C402" s="35">
        <v>534</v>
      </c>
      <c r="D402" s="65">
        <f t="shared" si="30"/>
        <v>10</v>
      </c>
      <c r="E402" s="65">
        <f t="shared" si="31"/>
        <v>15</v>
      </c>
      <c r="F402" s="65">
        <f t="shared" si="32"/>
        <v>3</v>
      </c>
      <c r="G402" s="109">
        <f t="shared" si="33"/>
        <v>45306.4225231481</v>
      </c>
      <c r="H402" s="110">
        <f t="shared" si="34"/>
        <v>2</v>
      </c>
    </row>
    <row r="403" spans="1:8">
      <c r="A403" s="55">
        <v>45298.5094791667</v>
      </c>
      <c r="B403" s="56">
        <v>45298.5271064815</v>
      </c>
      <c r="C403" s="35">
        <v>307</v>
      </c>
      <c r="D403" s="65">
        <f t="shared" si="30"/>
        <v>12</v>
      </c>
      <c r="E403" s="65">
        <f t="shared" si="31"/>
        <v>7</v>
      </c>
      <c r="F403" s="65">
        <f t="shared" si="32"/>
        <v>2</v>
      </c>
      <c r="G403" s="109">
        <f t="shared" si="33"/>
        <v>45298.5094791667</v>
      </c>
      <c r="H403" s="110">
        <f t="shared" si="34"/>
        <v>1</v>
      </c>
    </row>
    <row r="404" spans="1:8">
      <c r="A404" s="55">
        <v>45309.6979976852</v>
      </c>
      <c r="B404" s="56">
        <v>45309.716724537</v>
      </c>
      <c r="C404" s="35">
        <v>370</v>
      </c>
      <c r="D404" s="65">
        <f t="shared" si="30"/>
        <v>16</v>
      </c>
      <c r="E404" s="65">
        <f t="shared" si="31"/>
        <v>18</v>
      </c>
      <c r="F404" s="65">
        <f t="shared" si="32"/>
        <v>3</v>
      </c>
      <c r="G404" s="109">
        <f t="shared" si="33"/>
        <v>45309.6979976852</v>
      </c>
      <c r="H404" s="110">
        <f t="shared" si="34"/>
        <v>5</v>
      </c>
    </row>
    <row r="405" spans="1:8">
      <c r="A405" s="55">
        <v>45305.6645138889</v>
      </c>
      <c r="B405" s="56">
        <v>45305.6752199074</v>
      </c>
      <c r="C405" s="35">
        <v>23</v>
      </c>
      <c r="D405" s="65">
        <f t="shared" si="30"/>
        <v>15</v>
      </c>
      <c r="E405" s="65">
        <f t="shared" si="31"/>
        <v>14</v>
      </c>
      <c r="F405" s="65">
        <f t="shared" si="32"/>
        <v>3</v>
      </c>
      <c r="G405" s="109">
        <f t="shared" si="33"/>
        <v>45305.6645138889</v>
      </c>
      <c r="H405" s="110">
        <f t="shared" si="34"/>
        <v>1</v>
      </c>
    </row>
    <row r="406" spans="1:8">
      <c r="A406" s="55">
        <v>45293.5123611111</v>
      </c>
      <c r="B406" s="56">
        <v>45293.5316666667</v>
      </c>
      <c r="C406" s="35">
        <v>174</v>
      </c>
      <c r="D406" s="65">
        <f t="shared" si="30"/>
        <v>12</v>
      </c>
      <c r="E406" s="65">
        <f t="shared" si="31"/>
        <v>2</v>
      </c>
      <c r="F406" s="65">
        <f t="shared" si="32"/>
        <v>1</v>
      </c>
      <c r="G406" s="109">
        <f t="shared" si="33"/>
        <v>45293.5123611111</v>
      </c>
      <c r="H406" s="110">
        <f t="shared" si="34"/>
        <v>3</v>
      </c>
    </row>
    <row r="407" spans="1:8">
      <c r="A407" s="55">
        <v>45301.5337268518</v>
      </c>
      <c r="B407" s="56">
        <v>45301.5351851852</v>
      </c>
      <c r="C407" s="35">
        <v>377</v>
      </c>
      <c r="D407" s="65">
        <f t="shared" si="30"/>
        <v>12</v>
      </c>
      <c r="E407" s="65">
        <f t="shared" si="31"/>
        <v>10</v>
      </c>
      <c r="F407" s="65">
        <f t="shared" si="32"/>
        <v>2</v>
      </c>
      <c r="G407" s="109">
        <f t="shared" si="33"/>
        <v>45301.5337268518</v>
      </c>
      <c r="H407" s="110">
        <f t="shared" si="34"/>
        <v>4</v>
      </c>
    </row>
    <row r="408" spans="1:8">
      <c r="A408" s="55">
        <v>45319.5747800926</v>
      </c>
      <c r="B408" s="56">
        <v>45319.5887731481</v>
      </c>
      <c r="C408" s="35">
        <v>408</v>
      </c>
      <c r="D408" s="65">
        <f t="shared" si="30"/>
        <v>13</v>
      </c>
      <c r="E408" s="65">
        <f t="shared" si="31"/>
        <v>28</v>
      </c>
      <c r="F408" s="65">
        <f t="shared" si="32"/>
        <v>5</v>
      </c>
      <c r="G408" s="109">
        <f t="shared" si="33"/>
        <v>45319.5747800926</v>
      </c>
      <c r="H408" s="110">
        <f t="shared" si="34"/>
        <v>1</v>
      </c>
    </row>
    <row r="409" spans="1:8">
      <c r="A409" s="55">
        <v>45305.6910069444</v>
      </c>
      <c r="B409" s="56">
        <v>45305.6920023148</v>
      </c>
      <c r="C409" s="35">
        <v>267</v>
      </c>
      <c r="D409" s="65">
        <f t="shared" si="30"/>
        <v>16</v>
      </c>
      <c r="E409" s="65">
        <f t="shared" si="31"/>
        <v>14</v>
      </c>
      <c r="F409" s="65">
        <f t="shared" si="32"/>
        <v>3</v>
      </c>
      <c r="G409" s="109">
        <f t="shared" si="33"/>
        <v>45305.6910069444</v>
      </c>
      <c r="H409" s="110">
        <f t="shared" si="34"/>
        <v>1</v>
      </c>
    </row>
    <row r="410" spans="1:8">
      <c r="A410" s="55">
        <v>45312.7420949074</v>
      </c>
      <c r="B410" s="56">
        <v>45312.7557407407</v>
      </c>
      <c r="C410" s="35">
        <v>211</v>
      </c>
      <c r="D410" s="65">
        <f t="shared" si="30"/>
        <v>17</v>
      </c>
      <c r="E410" s="65">
        <f t="shared" si="31"/>
        <v>21</v>
      </c>
      <c r="F410" s="65">
        <f t="shared" si="32"/>
        <v>4</v>
      </c>
      <c r="G410" s="109">
        <f t="shared" si="33"/>
        <v>45312.7420949074</v>
      </c>
      <c r="H410" s="110">
        <f t="shared" si="34"/>
        <v>1</v>
      </c>
    </row>
    <row r="411" spans="1:8">
      <c r="A411" s="55">
        <v>45315.9218055556</v>
      </c>
      <c r="B411" s="56">
        <v>45315.9234606481</v>
      </c>
      <c r="C411" s="35">
        <v>448</v>
      </c>
      <c r="D411" s="65">
        <f t="shared" si="30"/>
        <v>22</v>
      </c>
      <c r="E411" s="65">
        <f t="shared" si="31"/>
        <v>24</v>
      </c>
      <c r="F411" s="65">
        <f t="shared" si="32"/>
        <v>4</v>
      </c>
      <c r="G411" s="109">
        <f t="shared" si="33"/>
        <v>45315.9218055556</v>
      </c>
      <c r="H411" s="110">
        <f t="shared" si="34"/>
        <v>4</v>
      </c>
    </row>
    <row r="412" spans="1:8">
      <c r="A412" s="55">
        <v>45314.4181597222</v>
      </c>
      <c r="B412" s="56">
        <v>45314.4264930556</v>
      </c>
      <c r="C412" s="35">
        <v>62</v>
      </c>
      <c r="D412" s="65">
        <f t="shared" si="30"/>
        <v>10</v>
      </c>
      <c r="E412" s="65">
        <f t="shared" si="31"/>
        <v>23</v>
      </c>
      <c r="F412" s="65">
        <f t="shared" si="32"/>
        <v>4</v>
      </c>
      <c r="G412" s="109">
        <f t="shared" si="33"/>
        <v>45314.4181597222</v>
      </c>
      <c r="H412" s="110">
        <f t="shared" si="34"/>
        <v>3</v>
      </c>
    </row>
    <row r="413" spans="1:8">
      <c r="A413" s="55">
        <v>45294.6897453704</v>
      </c>
      <c r="B413" s="56">
        <v>45294.6947916667</v>
      </c>
      <c r="C413" s="35">
        <v>543</v>
      </c>
      <c r="D413" s="65">
        <f t="shared" si="30"/>
        <v>16</v>
      </c>
      <c r="E413" s="65">
        <f t="shared" si="31"/>
        <v>3</v>
      </c>
      <c r="F413" s="65">
        <f t="shared" si="32"/>
        <v>1</v>
      </c>
      <c r="G413" s="109">
        <f t="shared" si="33"/>
        <v>45294.6897453704</v>
      </c>
      <c r="H413" s="110">
        <f t="shared" si="34"/>
        <v>4</v>
      </c>
    </row>
    <row r="414" spans="1:8">
      <c r="A414" s="55">
        <v>45303.5807060185</v>
      </c>
      <c r="B414" s="56">
        <v>45303.5971180556</v>
      </c>
      <c r="C414" s="35">
        <v>349</v>
      </c>
      <c r="D414" s="65">
        <f t="shared" si="30"/>
        <v>13</v>
      </c>
      <c r="E414" s="65">
        <f t="shared" si="31"/>
        <v>12</v>
      </c>
      <c r="F414" s="65">
        <f t="shared" si="32"/>
        <v>2</v>
      </c>
      <c r="G414" s="109">
        <f t="shared" si="33"/>
        <v>45303.5807060185</v>
      </c>
      <c r="H414" s="110">
        <f t="shared" si="34"/>
        <v>6</v>
      </c>
    </row>
    <row r="415" spans="1:8">
      <c r="A415" s="55">
        <v>45318.2553472222</v>
      </c>
      <c r="B415" s="56">
        <v>45318.2642361111</v>
      </c>
      <c r="C415" s="35">
        <v>466</v>
      </c>
      <c r="D415" s="65">
        <f t="shared" si="30"/>
        <v>6</v>
      </c>
      <c r="E415" s="65">
        <f t="shared" si="31"/>
        <v>27</v>
      </c>
      <c r="F415" s="65">
        <f t="shared" si="32"/>
        <v>4</v>
      </c>
      <c r="G415" s="109">
        <f t="shared" si="33"/>
        <v>45318.2553472222</v>
      </c>
      <c r="H415" s="110">
        <f t="shared" si="34"/>
        <v>7</v>
      </c>
    </row>
    <row r="416" spans="1:8">
      <c r="A416" s="55">
        <v>45317.3918518519</v>
      </c>
      <c r="B416" s="56">
        <v>45317.4053472222</v>
      </c>
      <c r="C416" s="35">
        <v>299</v>
      </c>
      <c r="D416" s="65">
        <f t="shared" si="30"/>
        <v>9</v>
      </c>
      <c r="E416" s="65">
        <f t="shared" si="31"/>
        <v>26</v>
      </c>
      <c r="F416" s="65">
        <f t="shared" si="32"/>
        <v>4</v>
      </c>
      <c r="G416" s="109">
        <f t="shared" si="33"/>
        <v>45317.3918518519</v>
      </c>
      <c r="H416" s="110">
        <f t="shared" si="34"/>
        <v>6</v>
      </c>
    </row>
    <row r="417" spans="1:8">
      <c r="A417" s="55">
        <v>45293.6650578704</v>
      </c>
      <c r="B417" s="56">
        <v>45293.6703125</v>
      </c>
      <c r="C417" s="35">
        <v>338</v>
      </c>
      <c r="D417" s="65">
        <f t="shared" si="30"/>
        <v>15</v>
      </c>
      <c r="E417" s="65">
        <f t="shared" si="31"/>
        <v>2</v>
      </c>
      <c r="F417" s="65">
        <f t="shared" si="32"/>
        <v>1</v>
      </c>
      <c r="G417" s="109">
        <f t="shared" si="33"/>
        <v>45293.6650578704</v>
      </c>
      <c r="H417" s="110">
        <f t="shared" si="34"/>
        <v>3</v>
      </c>
    </row>
    <row r="418" spans="1:8">
      <c r="A418" s="55">
        <v>45294.5296296296</v>
      </c>
      <c r="B418" s="56">
        <v>45294.5486574074</v>
      </c>
      <c r="C418" s="35">
        <v>228</v>
      </c>
      <c r="D418" s="65">
        <f t="shared" si="30"/>
        <v>12</v>
      </c>
      <c r="E418" s="65">
        <f t="shared" si="31"/>
        <v>3</v>
      </c>
      <c r="F418" s="65">
        <f t="shared" si="32"/>
        <v>1</v>
      </c>
      <c r="G418" s="109">
        <f t="shared" si="33"/>
        <v>45294.5296296296</v>
      </c>
      <c r="H418" s="110">
        <f t="shared" si="34"/>
        <v>4</v>
      </c>
    </row>
    <row r="419" spans="1:8">
      <c r="A419" s="55">
        <v>45315.8207407407</v>
      </c>
      <c r="B419" s="56">
        <v>45315.8231365741</v>
      </c>
      <c r="C419" s="35">
        <v>167</v>
      </c>
      <c r="D419" s="65">
        <f t="shared" si="30"/>
        <v>19</v>
      </c>
      <c r="E419" s="65">
        <f t="shared" si="31"/>
        <v>24</v>
      </c>
      <c r="F419" s="65">
        <f t="shared" si="32"/>
        <v>4</v>
      </c>
      <c r="G419" s="109">
        <f t="shared" si="33"/>
        <v>45315.8207407407</v>
      </c>
      <c r="H419" s="110">
        <f t="shared" si="34"/>
        <v>4</v>
      </c>
    </row>
    <row r="420" spans="1:8">
      <c r="A420" s="55">
        <v>45293.4932407407</v>
      </c>
      <c r="B420" s="56">
        <v>45293.5071527778</v>
      </c>
      <c r="C420" s="35">
        <v>82</v>
      </c>
      <c r="D420" s="65">
        <f t="shared" si="30"/>
        <v>11</v>
      </c>
      <c r="E420" s="65">
        <f t="shared" si="31"/>
        <v>2</v>
      </c>
      <c r="F420" s="65">
        <f t="shared" si="32"/>
        <v>1</v>
      </c>
      <c r="G420" s="109">
        <f t="shared" si="33"/>
        <v>45293.4932407407</v>
      </c>
      <c r="H420" s="110">
        <f t="shared" si="34"/>
        <v>3</v>
      </c>
    </row>
    <row r="421" spans="1:8">
      <c r="A421" s="55">
        <v>45304.8055671296</v>
      </c>
      <c r="B421" s="56">
        <v>45304.8154861111</v>
      </c>
      <c r="C421" s="35">
        <v>131</v>
      </c>
      <c r="D421" s="65">
        <f t="shared" si="30"/>
        <v>19</v>
      </c>
      <c r="E421" s="65">
        <f t="shared" si="31"/>
        <v>13</v>
      </c>
      <c r="F421" s="65">
        <f t="shared" si="32"/>
        <v>2</v>
      </c>
      <c r="G421" s="109">
        <f t="shared" si="33"/>
        <v>45304.8055671296</v>
      </c>
      <c r="H421" s="110">
        <f t="shared" si="34"/>
        <v>7</v>
      </c>
    </row>
    <row r="422" spans="1:8">
      <c r="A422" s="55">
        <v>45315.3228472222</v>
      </c>
      <c r="B422" s="56">
        <v>45315.3252546296</v>
      </c>
      <c r="C422" s="35">
        <v>376</v>
      </c>
      <c r="D422" s="65">
        <f t="shared" si="30"/>
        <v>7</v>
      </c>
      <c r="E422" s="65">
        <f t="shared" si="31"/>
        <v>24</v>
      </c>
      <c r="F422" s="65">
        <f t="shared" si="32"/>
        <v>4</v>
      </c>
      <c r="G422" s="109">
        <f t="shared" si="33"/>
        <v>45315.3228472222</v>
      </c>
      <c r="H422" s="110">
        <f t="shared" si="34"/>
        <v>4</v>
      </c>
    </row>
    <row r="423" spans="1:8">
      <c r="A423" s="55">
        <v>45294.6590162037</v>
      </c>
      <c r="B423" s="56">
        <v>45294.6700810185</v>
      </c>
      <c r="C423" s="35">
        <v>400</v>
      </c>
      <c r="D423" s="65">
        <f t="shared" si="30"/>
        <v>15</v>
      </c>
      <c r="E423" s="65">
        <f t="shared" si="31"/>
        <v>3</v>
      </c>
      <c r="F423" s="65">
        <f t="shared" si="32"/>
        <v>1</v>
      </c>
      <c r="G423" s="109">
        <f t="shared" si="33"/>
        <v>45294.6590162037</v>
      </c>
      <c r="H423" s="110">
        <f t="shared" si="34"/>
        <v>4</v>
      </c>
    </row>
    <row r="424" spans="1:8">
      <c r="A424" s="55">
        <v>45317.6528819444</v>
      </c>
      <c r="B424" s="56">
        <v>45317.6606365741</v>
      </c>
      <c r="C424" s="35">
        <v>392</v>
      </c>
      <c r="D424" s="65">
        <f t="shared" si="30"/>
        <v>15</v>
      </c>
      <c r="E424" s="65">
        <f t="shared" si="31"/>
        <v>26</v>
      </c>
      <c r="F424" s="65">
        <f t="shared" si="32"/>
        <v>4</v>
      </c>
      <c r="G424" s="109">
        <f t="shared" si="33"/>
        <v>45317.6528819444</v>
      </c>
      <c r="H424" s="110">
        <f t="shared" si="34"/>
        <v>6</v>
      </c>
    </row>
    <row r="425" spans="1:8">
      <c r="A425" s="55">
        <v>45309.3466782407</v>
      </c>
      <c r="B425" s="56">
        <v>45309.3651041667</v>
      </c>
      <c r="C425" s="35">
        <v>362</v>
      </c>
      <c r="D425" s="65">
        <f t="shared" si="30"/>
        <v>8</v>
      </c>
      <c r="E425" s="65">
        <f t="shared" si="31"/>
        <v>18</v>
      </c>
      <c r="F425" s="65">
        <f t="shared" si="32"/>
        <v>3</v>
      </c>
      <c r="G425" s="109">
        <f t="shared" si="33"/>
        <v>45309.3466782407</v>
      </c>
      <c r="H425" s="110">
        <f t="shared" si="34"/>
        <v>5</v>
      </c>
    </row>
    <row r="426" spans="1:8">
      <c r="A426" s="55">
        <v>45297.5693634259</v>
      </c>
      <c r="B426" s="56">
        <v>45297.5760416667</v>
      </c>
      <c r="C426" s="35">
        <v>208</v>
      </c>
      <c r="D426" s="65">
        <f t="shared" si="30"/>
        <v>13</v>
      </c>
      <c r="E426" s="65">
        <f t="shared" si="31"/>
        <v>6</v>
      </c>
      <c r="F426" s="65">
        <f t="shared" si="32"/>
        <v>1</v>
      </c>
      <c r="G426" s="109">
        <f t="shared" si="33"/>
        <v>45297.5693634259</v>
      </c>
      <c r="H426" s="110">
        <f t="shared" si="34"/>
        <v>7</v>
      </c>
    </row>
    <row r="427" spans="1:8">
      <c r="A427" s="55">
        <v>45316.8622106481</v>
      </c>
      <c r="B427" s="56">
        <v>45316.8646296296</v>
      </c>
      <c r="C427" s="35">
        <v>307</v>
      </c>
      <c r="D427" s="65">
        <f t="shared" si="30"/>
        <v>20</v>
      </c>
      <c r="E427" s="65">
        <f t="shared" si="31"/>
        <v>25</v>
      </c>
      <c r="F427" s="65">
        <f t="shared" si="32"/>
        <v>4</v>
      </c>
      <c r="G427" s="109">
        <f t="shared" si="33"/>
        <v>45316.8622106481</v>
      </c>
      <c r="H427" s="110">
        <f t="shared" si="34"/>
        <v>5</v>
      </c>
    </row>
    <row r="428" spans="1:8">
      <c r="A428" s="55">
        <v>45303.4463078704</v>
      </c>
      <c r="B428" s="56">
        <v>45303.4525578704</v>
      </c>
      <c r="C428" s="35">
        <v>112</v>
      </c>
      <c r="D428" s="65">
        <f t="shared" si="30"/>
        <v>10</v>
      </c>
      <c r="E428" s="65">
        <f t="shared" si="31"/>
        <v>12</v>
      </c>
      <c r="F428" s="65">
        <f t="shared" si="32"/>
        <v>2</v>
      </c>
      <c r="G428" s="109">
        <f t="shared" si="33"/>
        <v>45303.4463078704</v>
      </c>
      <c r="H428" s="110">
        <f t="shared" si="34"/>
        <v>6</v>
      </c>
    </row>
    <row r="429" spans="1:8">
      <c r="A429" s="55">
        <v>45311.6559837963</v>
      </c>
      <c r="B429" s="56">
        <v>45311.6602893519</v>
      </c>
      <c r="C429" s="35">
        <v>589</v>
      </c>
      <c r="D429" s="65">
        <f t="shared" si="30"/>
        <v>15</v>
      </c>
      <c r="E429" s="65">
        <f t="shared" si="31"/>
        <v>20</v>
      </c>
      <c r="F429" s="65">
        <f t="shared" si="32"/>
        <v>3</v>
      </c>
      <c r="G429" s="109">
        <f t="shared" si="33"/>
        <v>45311.6559837963</v>
      </c>
      <c r="H429" s="110">
        <f t="shared" si="34"/>
        <v>7</v>
      </c>
    </row>
    <row r="430" spans="1:8">
      <c r="A430" s="55">
        <v>45302.5765509259</v>
      </c>
      <c r="B430" s="56">
        <v>45302.5941203704</v>
      </c>
      <c r="C430" s="35">
        <v>456</v>
      </c>
      <c r="D430" s="65">
        <f t="shared" si="30"/>
        <v>13</v>
      </c>
      <c r="E430" s="65">
        <f t="shared" si="31"/>
        <v>11</v>
      </c>
      <c r="F430" s="65">
        <f t="shared" si="32"/>
        <v>2</v>
      </c>
      <c r="G430" s="109">
        <f t="shared" si="33"/>
        <v>45302.5765509259</v>
      </c>
      <c r="H430" s="110">
        <f t="shared" si="34"/>
        <v>5</v>
      </c>
    </row>
    <row r="431" spans="1:8">
      <c r="A431" s="55">
        <v>45307.8530324074</v>
      </c>
      <c r="B431" s="56">
        <v>45307.8720833333</v>
      </c>
      <c r="C431" s="35">
        <v>322</v>
      </c>
      <c r="D431" s="65">
        <f t="shared" si="30"/>
        <v>20</v>
      </c>
      <c r="E431" s="65">
        <f t="shared" si="31"/>
        <v>16</v>
      </c>
      <c r="F431" s="65">
        <f t="shared" si="32"/>
        <v>3</v>
      </c>
      <c r="G431" s="109">
        <f t="shared" si="33"/>
        <v>45307.8530324074</v>
      </c>
      <c r="H431" s="110">
        <f t="shared" si="34"/>
        <v>3</v>
      </c>
    </row>
    <row r="432" spans="1:8">
      <c r="A432" s="55">
        <v>45300.4566435185</v>
      </c>
      <c r="B432" s="56">
        <v>45300.4619907407</v>
      </c>
      <c r="C432" s="35">
        <v>279</v>
      </c>
      <c r="D432" s="65">
        <f t="shared" si="30"/>
        <v>10</v>
      </c>
      <c r="E432" s="65">
        <f t="shared" si="31"/>
        <v>9</v>
      </c>
      <c r="F432" s="65">
        <f t="shared" si="32"/>
        <v>2</v>
      </c>
      <c r="G432" s="109">
        <f t="shared" si="33"/>
        <v>45300.4566435185</v>
      </c>
      <c r="H432" s="110">
        <f t="shared" si="34"/>
        <v>3</v>
      </c>
    </row>
    <row r="433" spans="1:8">
      <c r="A433" s="55">
        <v>45318.7844560185</v>
      </c>
      <c r="B433" s="56">
        <v>45318.7901851852</v>
      </c>
      <c r="C433" s="35">
        <v>47</v>
      </c>
      <c r="D433" s="65">
        <f t="shared" si="30"/>
        <v>18</v>
      </c>
      <c r="E433" s="65">
        <f t="shared" si="31"/>
        <v>27</v>
      </c>
      <c r="F433" s="65">
        <f t="shared" si="32"/>
        <v>4</v>
      </c>
      <c r="G433" s="109">
        <f t="shared" si="33"/>
        <v>45318.7844560185</v>
      </c>
      <c r="H433" s="110">
        <f t="shared" si="34"/>
        <v>7</v>
      </c>
    </row>
    <row r="434" spans="1:8">
      <c r="A434" s="55">
        <v>45312.4329282407</v>
      </c>
      <c r="B434" s="56">
        <v>45312.438912037</v>
      </c>
      <c r="C434" s="35">
        <v>307</v>
      </c>
      <c r="D434" s="65">
        <f t="shared" si="30"/>
        <v>10</v>
      </c>
      <c r="E434" s="65">
        <f t="shared" si="31"/>
        <v>21</v>
      </c>
      <c r="F434" s="65">
        <f t="shared" si="32"/>
        <v>4</v>
      </c>
      <c r="G434" s="109">
        <f t="shared" si="33"/>
        <v>45312.4329282407</v>
      </c>
      <c r="H434" s="110">
        <f t="shared" si="34"/>
        <v>1</v>
      </c>
    </row>
    <row r="435" spans="1:8">
      <c r="A435" s="55">
        <v>45308.2793402778</v>
      </c>
      <c r="B435" s="56">
        <v>45308.3001273148</v>
      </c>
      <c r="C435" s="35">
        <v>179</v>
      </c>
      <c r="D435" s="65">
        <f t="shared" si="30"/>
        <v>6</v>
      </c>
      <c r="E435" s="65">
        <f t="shared" si="31"/>
        <v>17</v>
      </c>
      <c r="F435" s="65">
        <f t="shared" si="32"/>
        <v>3</v>
      </c>
      <c r="G435" s="109">
        <f t="shared" si="33"/>
        <v>45308.2793402778</v>
      </c>
      <c r="H435" s="110">
        <f t="shared" si="34"/>
        <v>4</v>
      </c>
    </row>
    <row r="436" spans="1:8">
      <c r="A436" s="55">
        <v>45319.449837963</v>
      </c>
      <c r="B436" s="56">
        <v>45319.4619907407</v>
      </c>
      <c r="C436" s="35">
        <v>377</v>
      </c>
      <c r="D436" s="65">
        <f t="shared" si="30"/>
        <v>10</v>
      </c>
      <c r="E436" s="65">
        <f t="shared" si="31"/>
        <v>28</v>
      </c>
      <c r="F436" s="65">
        <f t="shared" si="32"/>
        <v>5</v>
      </c>
      <c r="G436" s="109">
        <f t="shared" si="33"/>
        <v>45319.449837963</v>
      </c>
      <c r="H436" s="110">
        <f t="shared" si="34"/>
        <v>1</v>
      </c>
    </row>
    <row r="437" spans="1:8">
      <c r="A437" s="55">
        <v>45313.523587963</v>
      </c>
      <c r="B437" s="56">
        <v>45313.5430324074</v>
      </c>
      <c r="C437" s="35">
        <v>379</v>
      </c>
      <c r="D437" s="65">
        <f t="shared" si="30"/>
        <v>12</v>
      </c>
      <c r="E437" s="65">
        <f t="shared" si="31"/>
        <v>22</v>
      </c>
      <c r="F437" s="65">
        <f t="shared" si="32"/>
        <v>4</v>
      </c>
      <c r="G437" s="109">
        <f t="shared" si="33"/>
        <v>45313.523587963</v>
      </c>
      <c r="H437" s="110">
        <f t="shared" si="34"/>
        <v>2</v>
      </c>
    </row>
    <row r="438" spans="1:8">
      <c r="A438" s="55">
        <v>45302.4066319444</v>
      </c>
      <c r="B438" s="56">
        <v>45302.422337963</v>
      </c>
      <c r="C438" s="35">
        <v>290</v>
      </c>
      <c r="D438" s="65">
        <f t="shared" si="30"/>
        <v>9</v>
      </c>
      <c r="E438" s="65">
        <f t="shared" si="31"/>
        <v>11</v>
      </c>
      <c r="F438" s="65">
        <f t="shared" si="32"/>
        <v>2</v>
      </c>
      <c r="G438" s="109">
        <f t="shared" si="33"/>
        <v>45302.4066319444</v>
      </c>
      <c r="H438" s="110">
        <f t="shared" si="34"/>
        <v>5</v>
      </c>
    </row>
    <row r="439" spans="1:8">
      <c r="A439" s="55">
        <v>45312.3564351852</v>
      </c>
      <c r="B439" s="56">
        <v>45312.3660416667</v>
      </c>
      <c r="C439" s="35">
        <v>238</v>
      </c>
      <c r="D439" s="65">
        <f t="shared" si="30"/>
        <v>8</v>
      </c>
      <c r="E439" s="65">
        <f t="shared" si="31"/>
        <v>21</v>
      </c>
      <c r="F439" s="65">
        <f t="shared" si="32"/>
        <v>4</v>
      </c>
      <c r="G439" s="109">
        <f t="shared" si="33"/>
        <v>45312.3564351852</v>
      </c>
      <c r="H439" s="110">
        <f t="shared" si="34"/>
        <v>1</v>
      </c>
    </row>
    <row r="440" spans="1:8">
      <c r="A440" s="55">
        <v>45317.9143287037</v>
      </c>
      <c r="B440" s="56">
        <v>45317.9151736111</v>
      </c>
      <c r="C440" s="35">
        <v>523</v>
      </c>
      <c r="D440" s="65">
        <f t="shared" si="30"/>
        <v>21</v>
      </c>
      <c r="E440" s="65">
        <f t="shared" si="31"/>
        <v>26</v>
      </c>
      <c r="F440" s="65">
        <f t="shared" si="32"/>
        <v>4</v>
      </c>
      <c r="G440" s="109">
        <f t="shared" si="33"/>
        <v>45317.9143287037</v>
      </c>
      <c r="H440" s="110">
        <f t="shared" si="34"/>
        <v>6</v>
      </c>
    </row>
    <row r="441" spans="1:8">
      <c r="A441" s="55">
        <v>45296.4655439815</v>
      </c>
      <c r="B441" s="56">
        <v>45296.4804976852</v>
      </c>
      <c r="C441" s="35">
        <v>131</v>
      </c>
      <c r="D441" s="65">
        <f t="shared" si="30"/>
        <v>11</v>
      </c>
      <c r="E441" s="65">
        <f t="shared" si="31"/>
        <v>5</v>
      </c>
      <c r="F441" s="65">
        <f t="shared" si="32"/>
        <v>1</v>
      </c>
      <c r="G441" s="109">
        <f t="shared" si="33"/>
        <v>45296.4655439815</v>
      </c>
      <c r="H441" s="110">
        <f t="shared" si="34"/>
        <v>6</v>
      </c>
    </row>
    <row r="442" spans="1:8">
      <c r="A442" s="55">
        <v>45307.8844560185</v>
      </c>
      <c r="B442" s="56">
        <v>45307.8889699074</v>
      </c>
      <c r="C442" s="35">
        <v>430</v>
      </c>
      <c r="D442" s="65">
        <f t="shared" si="30"/>
        <v>21</v>
      </c>
      <c r="E442" s="65">
        <f t="shared" si="31"/>
        <v>16</v>
      </c>
      <c r="F442" s="65">
        <f t="shared" si="32"/>
        <v>3</v>
      </c>
      <c r="G442" s="109">
        <f t="shared" si="33"/>
        <v>45307.8844560185</v>
      </c>
      <c r="H442" s="110">
        <f t="shared" si="34"/>
        <v>3</v>
      </c>
    </row>
    <row r="443" spans="1:8">
      <c r="A443" s="55">
        <v>45308.3316666667</v>
      </c>
      <c r="B443" s="56">
        <v>45308.3358333333</v>
      </c>
      <c r="C443" s="35">
        <v>67</v>
      </c>
      <c r="D443" s="65">
        <f t="shared" si="30"/>
        <v>7</v>
      </c>
      <c r="E443" s="65">
        <f t="shared" si="31"/>
        <v>17</v>
      </c>
      <c r="F443" s="65">
        <f t="shared" si="32"/>
        <v>3</v>
      </c>
      <c r="G443" s="109">
        <f t="shared" si="33"/>
        <v>45308.3316666667</v>
      </c>
      <c r="H443" s="110">
        <f t="shared" si="34"/>
        <v>4</v>
      </c>
    </row>
    <row r="444" spans="1:8">
      <c r="A444" s="55">
        <v>45310.2894212963</v>
      </c>
      <c r="B444" s="56">
        <v>45310.3073611111</v>
      </c>
      <c r="C444" s="35">
        <v>300</v>
      </c>
      <c r="D444" s="65">
        <f t="shared" si="30"/>
        <v>6</v>
      </c>
      <c r="E444" s="65">
        <f t="shared" si="31"/>
        <v>19</v>
      </c>
      <c r="F444" s="65">
        <f t="shared" si="32"/>
        <v>3</v>
      </c>
      <c r="G444" s="109">
        <f t="shared" si="33"/>
        <v>45310.2894212963</v>
      </c>
      <c r="H444" s="110">
        <f t="shared" si="34"/>
        <v>6</v>
      </c>
    </row>
    <row r="445" spans="1:8">
      <c r="A445" s="55">
        <v>45307.4686689815</v>
      </c>
      <c r="B445" s="56">
        <v>45307.4790972222</v>
      </c>
      <c r="C445" s="35">
        <v>156</v>
      </c>
      <c r="D445" s="65">
        <f t="shared" si="30"/>
        <v>11</v>
      </c>
      <c r="E445" s="65">
        <f t="shared" si="31"/>
        <v>16</v>
      </c>
      <c r="F445" s="65">
        <f t="shared" si="32"/>
        <v>3</v>
      </c>
      <c r="G445" s="109">
        <f t="shared" si="33"/>
        <v>45307.4686689815</v>
      </c>
      <c r="H445" s="110">
        <f t="shared" si="34"/>
        <v>3</v>
      </c>
    </row>
    <row r="446" spans="1:8">
      <c r="A446" s="55">
        <v>45315.707974537</v>
      </c>
      <c r="B446" s="56">
        <v>45315.7228009259</v>
      </c>
      <c r="C446" s="35">
        <v>80</v>
      </c>
      <c r="D446" s="65">
        <f t="shared" si="30"/>
        <v>16</v>
      </c>
      <c r="E446" s="65">
        <f t="shared" si="31"/>
        <v>24</v>
      </c>
      <c r="F446" s="65">
        <f t="shared" si="32"/>
        <v>4</v>
      </c>
      <c r="G446" s="109">
        <f t="shared" si="33"/>
        <v>45315.707974537</v>
      </c>
      <c r="H446" s="110">
        <f t="shared" si="34"/>
        <v>4</v>
      </c>
    </row>
    <row r="447" spans="1:8">
      <c r="A447" s="55">
        <v>45308.8278819444</v>
      </c>
      <c r="B447" s="56">
        <v>45308.8429282407</v>
      </c>
      <c r="C447" s="35">
        <v>108</v>
      </c>
      <c r="D447" s="65">
        <f t="shared" si="30"/>
        <v>19</v>
      </c>
      <c r="E447" s="65">
        <f t="shared" si="31"/>
        <v>17</v>
      </c>
      <c r="F447" s="65">
        <f t="shared" si="32"/>
        <v>3</v>
      </c>
      <c r="G447" s="109">
        <f t="shared" si="33"/>
        <v>45308.8278819444</v>
      </c>
      <c r="H447" s="110">
        <f t="shared" si="34"/>
        <v>4</v>
      </c>
    </row>
    <row r="448" spans="1:8">
      <c r="A448" s="55">
        <v>45316.3788194444</v>
      </c>
      <c r="B448" s="56">
        <v>45316.3951388889</v>
      </c>
      <c r="C448" s="35">
        <v>143</v>
      </c>
      <c r="D448" s="65">
        <f t="shared" si="30"/>
        <v>9</v>
      </c>
      <c r="E448" s="65">
        <f t="shared" si="31"/>
        <v>25</v>
      </c>
      <c r="F448" s="65">
        <f t="shared" si="32"/>
        <v>4</v>
      </c>
      <c r="G448" s="109">
        <f t="shared" si="33"/>
        <v>45316.3788194444</v>
      </c>
      <c r="H448" s="110">
        <f t="shared" si="34"/>
        <v>5</v>
      </c>
    </row>
    <row r="449" spans="1:8">
      <c r="A449" s="55">
        <v>45303.3226041667</v>
      </c>
      <c r="B449" s="56">
        <v>45303.3334606482</v>
      </c>
      <c r="C449" s="35">
        <v>244</v>
      </c>
      <c r="D449" s="65">
        <f t="shared" si="30"/>
        <v>7</v>
      </c>
      <c r="E449" s="65">
        <f t="shared" si="31"/>
        <v>12</v>
      </c>
      <c r="F449" s="65">
        <f t="shared" si="32"/>
        <v>2</v>
      </c>
      <c r="G449" s="109">
        <f t="shared" si="33"/>
        <v>45303.3226041667</v>
      </c>
      <c r="H449" s="110">
        <f t="shared" si="34"/>
        <v>6</v>
      </c>
    </row>
    <row r="450" spans="1:8">
      <c r="A450" s="55">
        <v>45316.3938425926</v>
      </c>
      <c r="B450" s="56">
        <v>45316.4005671296</v>
      </c>
      <c r="C450" s="35">
        <v>498</v>
      </c>
      <c r="D450" s="65">
        <f t="shared" si="30"/>
        <v>9</v>
      </c>
      <c r="E450" s="65">
        <f t="shared" si="31"/>
        <v>25</v>
      </c>
      <c r="F450" s="65">
        <f t="shared" si="32"/>
        <v>4</v>
      </c>
      <c r="G450" s="109">
        <f t="shared" si="33"/>
        <v>45316.3938425926</v>
      </c>
      <c r="H450" s="110">
        <f t="shared" si="34"/>
        <v>5</v>
      </c>
    </row>
    <row r="451" spans="1:8">
      <c r="A451" s="55">
        <v>45300.5005208333</v>
      </c>
      <c r="B451" s="56">
        <v>45300.5188310185</v>
      </c>
      <c r="C451" s="35">
        <v>17</v>
      </c>
      <c r="D451" s="65">
        <f t="shared" ref="D451:D501" si="35">HOUR(A451)</f>
        <v>12</v>
      </c>
      <c r="E451" s="65">
        <f t="shared" ref="E451:E501" si="36">DAY(A451)</f>
        <v>9</v>
      </c>
      <c r="F451" s="65">
        <f t="shared" ref="F451:F501" si="37">WEEKNUM(A451)</f>
        <v>2</v>
      </c>
      <c r="G451" s="109">
        <f t="shared" ref="G451:G501" si="38">A451</f>
        <v>45300.5005208333</v>
      </c>
      <c r="H451" s="110">
        <f t="shared" ref="H451:H501" si="39">WEEKDAY(A451)</f>
        <v>3</v>
      </c>
    </row>
    <row r="452" spans="1:8">
      <c r="A452" s="55">
        <v>45302.8077083333</v>
      </c>
      <c r="B452" s="56">
        <v>45302.8120601852</v>
      </c>
      <c r="C452" s="35">
        <v>446</v>
      </c>
      <c r="D452" s="65">
        <f t="shared" si="35"/>
        <v>19</v>
      </c>
      <c r="E452" s="65">
        <f t="shared" si="36"/>
        <v>11</v>
      </c>
      <c r="F452" s="65">
        <f t="shared" si="37"/>
        <v>2</v>
      </c>
      <c r="G452" s="109">
        <f t="shared" si="38"/>
        <v>45302.8077083333</v>
      </c>
      <c r="H452" s="110">
        <f t="shared" si="39"/>
        <v>5</v>
      </c>
    </row>
    <row r="453" spans="1:8">
      <c r="A453" s="55">
        <v>45303.6134837963</v>
      </c>
      <c r="B453" s="56">
        <v>45303.6320717593</v>
      </c>
      <c r="C453" s="35">
        <v>218</v>
      </c>
      <c r="D453" s="65">
        <f t="shared" si="35"/>
        <v>14</v>
      </c>
      <c r="E453" s="65">
        <f t="shared" si="36"/>
        <v>12</v>
      </c>
      <c r="F453" s="65">
        <f t="shared" si="37"/>
        <v>2</v>
      </c>
      <c r="G453" s="109">
        <f t="shared" si="38"/>
        <v>45303.6134837963</v>
      </c>
      <c r="H453" s="110">
        <f t="shared" si="39"/>
        <v>6</v>
      </c>
    </row>
    <row r="454" spans="1:8">
      <c r="A454" s="55">
        <v>45300.6502546296</v>
      </c>
      <c r="B454" s="56">
        <v>45300.6692939815</v>
      </c>
      <c r="C454" s="35">
        <v>417</v>
      </c>
      <c r="D454" s="65">
        <f t="shared" si="35"/>
        <v>15</v>
      </c>
      <c r="E454" s="65">
        <f t="shared" si="36"/>
        <v>9</v>
      </c>
      <c r="F454" s="65">
        <f t="shared" si="37"/>
        <v>2</v>
      </c>
      <c r="G454" s="109">
        <f t="shared" si="38"/>
        <v>45300.6502546296</v>
      </c>
      <c r="H454" s="110">
        <f t="shared" si="39"/>
        <v>3</v>
      </c>
    </row>
    <row r="455" spans="1:8">
      <c r="A455" s="55">
        <v>45298.9346064815</v>
      </c>
      <c r="B455" s="56">
        <v>45298.9433217593</v>
      </c>
      <c r="C455" s="35">
        <v>573</v>
      </c>
      <c r="D455" s="65">
        <f t="shared" si="35"/>
        <v>22</v>
      </c>
      <c r="E455" s="65">
        <f t="shared" si="36"/>
        <v>7</v>
      </c>
      <c r="F455" s="65">
        <f t="shared" si="37"/>
        <v>2</v>
      </c>
      <c r="G455" s="109">
        <f t="shared" si="38"/>
        <v>45298.9346064815</v>
      </c>
      <c r="H455" s="110">
        <f t="shared" si="39"/>
        <v>1</v>
      </c>
    </row>
    <row r="456" spans="1:8">
      <c r="A456" s="55">
        <v>45317.3695486111</v>
      </c>
      <c r="B456" s="56">
        <v>45317.381412037</v>
      </c>
      <c r="C456" s="35">
        <v>455</v>
      </c>
      <c r="D456" s="65">
        <f t="shared" si="35"/>
        <v>8</v>
      </c>
      <c r="E456" s="65">
        <f t="shared" si="36"/>
        <v>26</v>
      </c>
      <c r="F456" s="65">
        <f t="shared" si="37"/>
        <v>4</v>
      </c>
      <c r="G456" s="109">
        <f t="shared" si="38"/>
        <v>45317.3695486111</v>
      </c>
      <c r="H456" s="110">
        <f t="shared" si="39"/>
        <v>6</v>
      </c>
    </row>
    <row r="457" spans="1:8">
      <c r="A457" s="55">
        <v>45304.7775578704</v>
      </c>
      <c r="B457" s="56">
        <v>45304.7906018519</v>
      </c>
      <c r="C457" s="35">
        <v>303</v>
      </c>
      <c r="D457" s="65">
        <f t="shared" si="35"/>
        <v>18</v>
      </c>
      <c r="E457" s="65">
        <f t="shared" si="36"/>
        <v>13</v>
      </c>
      <c r="F457" s="65">
        <f t="shared" si="37"/>
        <v>2</v>
      </c>
      <c r="G457" s="109">
        <f t="shared" si="38"/>
        <v>45304.7775578704</v>
      </c>
      <c r="H457" s="110">
        <f t="shared" si="39"/>
        <v>7</v>
      </c>
    </row>
    <row r="458" spans="1:8">
      <c r="A458" s="55">
        <v>45298.9293055556</v>
      </c>
      <c r="B458" s="56">
        <v>45298.930787037</v>
      </c>
      <c r="C458" s="35">
        <v>532</v>
      </c>
      <c r="D458" s="65">
        <f t="shared" si="35"/>
        <v>22</v>
      </c>
      <c r="E458" s="65">
        <f t="shared" si="36"/>
        <v>7</v>
      </c>
      <c r="F458" s="65">
        <f t="shared" si="37"/>
        <v>2</v>
      </c>
      <c r="G458" s="109">
        <f t="shared" si="38"/>
        <v>45298.9293055556</v>
      </c>
      <c r="H458" s="110">
        <f t="shared" si="39"/>
        <v>1</v>
      </c>
    </row>
    <row r="459" spans="1:8">
      <c r="A459" s="55">
        <v>45292.4620023148</v>
      </c>
      <c r="B459" s="56">
        <v>45292.4811689815</v>
      </c>
      <c r="C459" s="35">
        <v>419</v>
      </c>
      <c r="D459" s="65">
        <f t="shared" si="35"/>
        <v>11</v>
      </c>
      <c r="E459" s="65">
        <f t="shared" si="36"/>
        <v>1</v>
      </c>
      <c r="F459" s="65">
        <f t="shared" si="37"/>
        <v>1</v>
      </c>
      <c r="G459" s="109">
        <f t="shared" si="38"/>
        <v>45292.4620023148</v>
      </c>
      <c r="H459" s="110">
        <f t="shared" si="39"/>
        <v>2</v>
      </c>
    </row>
    <row r="460" spans="1:8">
      <c r="A460" s="55">
        <v>45315.3736689815</v>
      </c>
      <c r="B460" s="56">
        <v>45315.3873842593</v>
      </c>
      <c r="C460" s="35">
        <v>301</v>
      </c>
      <c r="D460" s="65">
        <f t="shared" si="35"/>
        <v>8</v>
      </c>
      <c r="E460" s="65">
        <f t="shared" si="36"/>
        <v>24</v>
      </c>
      <c r="F460" s="65">
        <f t="shared" si="37"/>
        <v>4</v>
      </c>
      <c r="G460" s="109">
        <f t="shared" si="38"/>
        <v>45315.3736689815</v>
      </c>
      <c r="H460" s="110">
        <f t="shared" si="39"/>
        <v>4</v>
      </c>
    </row>
    <row r="461" spans="1:8">
      <c r="A461" s="55">
        <v>45311.5208217593</v>
      </c>
      <c r="B461" s="56">
        <v>45311.531087963</v>
      </c>
      <c r="C461" s="35">
        <v>598</v>
      </c>
      <c r="D461" s="65">
        <f t="shared" si="35"/>
        <v>12</v>
      </c>
      <c r="E461" s="65">
        <f t="shared" si="36"/>
        <v>20</v>
      </c>
      <c r="F461" s="65">
        <f t="shared" si="37"/>
        <v>3</v>
      </c>
      <c r="G461" s="109">
        <f t="shared" si="38"/>
        <v>45311.5208217593</v>
      </c>
      <c r="H461" s="110">
        <f t="shared" si="39"/>
        <v>7</v>
      </c>
    </row>
    <row r="462" spans="1:8">
      <c r="A462" s="55">
        <v>45294.9294097222</v>
      </c>
      <c r="B462" s="56">
        <v>45294.9328703704</v>
      </c>
      <c r="C462" s="35">
        <v>535</v>
      </c>
      <c r="D462" s="65">
        <f t="shared" si="35"/>
        <v>22</v>
      </c>
      <c r="E462" s="65">
        <f t="shared" si="36"/>
        <v>3</v>
      </c>
      <c r="F462" s="65">
        <f t="shared" si="37"/>
        <v>1</v>
      </c>
      <c r="G462" s="109">
        <f t="shared" si="38"/>
        <v>45294.9294097222</v>
      </c>
      <c r="H462" s="110">
        <f t="shared" si="39"/>
        <v>4</v>
      </c>
    </row>
    <row r="463" spans="1:8">
      <c r="A463" s="55">
        <v>45307.5752430556</v>
      </c>
      <c r="B463" s="56">
        <v>45307.5943171296</v>
      </c>
      <c r="C463" s="35">
        <v>479</v>
      </c>
      <c r="D463" s="65">
        <f t="shared" si="35"/>
        <v>13</v>
      </c>
      <c r="E463" s="65">
        <f t="shared" si="36"/>
        <v>16</v>
      </c>
      <c r="F463" s="65">
        <f t="shared" si="37"/>
        <v>3</v>
      </c>
      <c r="G463" s="109">
        <f t="shared" si="38"/>
        <v>45307.5752430556</v>
      </c>
      <c r="H463" s="110">
        <f t="shared" si="39"/>
        <v>3</v>
      </c>
    </row>
    <row r="464" spans="1:8">
      <c r="A464" s="55">
        <v>45299.5773148148</v>
      </c>
      <c r="B464" s="56">
        <v>45299.5877777778</v>
      </c>
      <c r="C464" s="35">
        <v>371</v>
      </c>
      <c r="D464" s="65">
        <f t="shared" si="35"/>
        <v>13</v>
      </c>
      <c r="E464" s="65">
        <f t="shared" si="36"/>
        <v>8</v>
      </c>
      <c r="F464" s="65">
        <f t="shared" si="37"/>
        <v>2</v>
      </c>
      <c r="G464" s="109">
        <f t="shared" si="38"/>
        <v>45299.5773148148</v>
      </c>
      <c r="H464" s="110">
        <f t="shared" si="39"/>
        <v>2</v>
      </c>
    </row>
    <row r="465" spans="1:8">
      <c r="A465" s="55">
        <v>45294.7804050926</v>
      </c>
      <c r="B465" s="56">
        <v>45294.8005555556</v>
      </c>
      <c r="C465" s="35">
        <v>360</v>
      </c>
      <c r="D465" s="65">
        <f t="shared" si="35"/>
        <v>18</v>
      </c>
      <c r="E465" s="65">
        <f t="shared" si="36"/>
        <v>3</v>
      </c>
      <c r="F465" s="65">
        <f t="shared" si="37"/>
        <v>1</v>
      </c>
      <c r="G465" s="109">
        <f t="shared" si="38"/>
        <v>45294.7804050926</v>
      </c>
      <c r="H465" s="110">
        <f t="shared" si="39"/>
        <v>4</v>
      </c>
    </row>
    <row r="466" spans="1:8">
      <c r="A466" s="55">
        <v>45310.5915162037</v>
      </c>
      <c r="B466" s="56">
        <v>45310.6084027778</v>
      </c>
      <c r="C466" s="35">
        <v>204</v>
      </c>
      <c r="D466" s="65">
        <f t="shared" si="35"/>
        <v>14</v>
      </c>
      <c r="E466" s="65">
        <f t="shared" si="36"/>
        <v>19</v>
      </c>
      <c r="F466" s="65">
        <f t="shared" si="37"/>
        <v>3</v>
      </c>
      <c r="G466" s="109">
        <f t="shared" si="38"/>
        <v>45310.5915162037</v>
      </c>
      <c r="H466" s="110">
        <f t="shared" si="39"/>
        <v>6</v>
      </c>
    </row>
    <row r="467" spans="1:8">
      <c r="A467" s="55">
        <v>45299.5369791667</v>
      </c>
      <c r="B467" s="56">
        <v>45299.5574884259</v>
      </c>
      <c r="C467" s="35">
        <v>374</v>
      </c>
      <c r="D467" s="65">
        <f t="shared" si="35"/>
        <v>12</v>
      </c>
      <c r="E467" s="65">
        <f t="shared" si="36"/>
        <v>8</v>
      </c>
      <c r="F467" s="65">
        <f t="shared" si="37"/>
        <v>2</v>
      </c>
      <c r="G467" s="109">
        <f t="shared" si="38"/>
        <v>45299.5369791667</v>
      </c>
      <c r="H467" s="110">
        <f t="shared" si="39"/>
        <v>2</v>
      </c>
    </row>
    <row r="468" spans="1:8">
      <c r="A468" s="55">
        <v>45307.2839583333</v>
      </c>
      <c r="B468" s="56">
        <v>45307.2974768519</v>
      </c>
      <c r="C468" s="35">
        <v>53</v>
      </c>
      <c r="D468" s="65">
        <f t="shared" si="35"/>
        <v>6</v>
      </c>
      <c r="E468" s="65">
        <f t="shared" si="36"/>
        <v>16</v>
      </c>
      <c r="F468" s="65">
        <f t="shared" si="37"/>
        <v>3</v>
      </c>
      <c r="G468" s="109">
        <f t="shared" si="38"/>
        <v>45307.2839583333</v>
      </c>
      <c r="H468" s="110">
        <f t="shared" si="39"/>
        <v>3</v>
      </c>
    </row>
    <row r="469" spans="1:8">
      <c r="A469" s="55">
        <v>45300.8831944444</v>
      </c>
      <c r="B469" s="56">
        <v>45300.8959953704</v>
      </c>
      <c r="C469" s="35">
        <v>296</v>
      </c>
      <c r="D469" s="65">
        <f t="shared" si="35"/>
        <v>21</v>
      </c>
      <c r="E469" s="65">
        <f t="shared" si="36"/>
        <v>9</v>
      </c>
      <c r="F469" s="65">
        <f t="shared" si="37"/>
        <v>2</v>
      </c>
      <c r="G469" s="109">
        <f t="shared" si="38"/>
        <v>45300.8831944444</v>
      </c>
      <c r="H469" s="110">
        <f t="shared" si="39"/>
        <v>3</v>
      </c>
    </row>
    <row r="470" spans="1:8">
      <c r="A470" s="55">
        <v>45309.3141435185</v>
      </c>
      <c r="B470" s="56">
        <v>45309.3241666667</v>
      </c>
      <c r="C470" s="35">
        <v>188</v>
      </c>
      <c r="D470" s="65">
        <f t="shared" si="35"/>
        <v>7</v>
      </c>
      <c r="E470" s="65">
        <f t="shared" si="36"/>
        <v>18</v>
      </c>
      <c r="F470" s="65">
        <f t="shared" si="37"/>
        <v>3</v>
      </c>
      <c r="G470" s="109">
        <f t="shared" si="38"/>
        <v>45309.3141435185</v>
      </c>
      <c r="H470" s="110">
        <f t="shared" si="39"/>
        <v>5</v>
      </c>
    </row>
    <row r="471" spans="1:8">
      <c r="A471" s="55">
        <v>45292.2800115741</v>
      </c>
      <c r="B471" s="56">
        <v>45292.2896990741</v>
      </c>
      <c r="C471" s="35">
        <v>113</v>
      </c>
      <c r="D471" s="65">
        <f t="shared" si="35"/>
        <v>6</v>
      </c>
      <c r="E471" s="65">
        <f t="shared" si="36"/>
        <v>1</v>
      </c>
      <c r="F471" s="65">
        <f t="shared" si="37"/>
        <v>1</v>
      </c>
      <c r="G471" s="109">
        <f t="shared" si="38"/>
        <v>45292.2800115741</v>
      </c>
      <c r="H471" s="110">
        <f t="shared" si="39"/>
        <v>2</v>
      </c>
    </row>
    <row r="472" spans="1:8">
      <c r="A472" s="55">
        <v>45300.5538194444</v>
      </c>
      <c r="B472" s="56">
        <v>45300.5690393519</v>
      </c>
      <c r="C472" s="35">
        <v>361</v>
      </c>
      <c r="D472" s="65">
        <f t="shared" si="35"/>
        <v>13</v>
      </c>
      <c r="E472" s="65">
        <f t="shared" si="36"/>
        <v>9</v>
      </c>
      <c r="F472" s="65">
        <f t="shared" si="37"/>
        <v>2</v>
      </c>
      <c r="G472" s="109">
        <f t="shared" si="38"/>
        <v>45300.5538194444</v>
      </c>
      <c r="H472" s="110">
        <f t="shared" si="39"/>
        <v>3</v>
      </c>
    </row>
    <row r="473" spans="1:8">
      <c r="A473" s="55">
        <v>45316.7249305556</v>
      </c>
      <c r="B473" s="56">
        <v>45316.7351157407</v>
      </c>
      <c r="C473" s="35">
        <v>296</v>
      </c>
      <c r="D473" s="65">
        <f t="shared" si="35"/>
        <v>17</v>
      </c>
      <c r="E473" s="65">
        <f t="shared" si="36"/>
        <v>25</v>
      </c>
      <c r="F473" s="65">
        <f t="shared" si="37"/>
        <v>4</v>
      </c>
      <c r="G473" s="109">
        <f t="shared" si="38"/>
        <v>45316.7249305556</v>
      </c>
      <c r="H473" s="110">
        <f t="shared" si="39"/>
        <v>5</v>
      </c>
    </row>
    <row r="474" spans="1:8">
      <c r="A474" s="55">
        <v>45295.6189236111</v>
      </c>
      <c r="B474" s="56">
        <v>45295.6327777778</v>
      </c>
      <c r="C474" s="35">
        <v>452</v>
      </c>
      <c r="D474" s="65">
        <f t="shared" si="35"/>
        <v>14</v>
      </c>
      <c r="E474" s="65">
        <f t="shared" si="36"/>
        <v>4</v>
      </c>
      <c r="F474" s="65">
        <f t="shared" si="37"/>
        <v>1</v>
      </c>
      <c r="G474" s="109">
        <f t="shared" si="38"/>
        <v>45295.6189236111</v>
      </c>
      <c r="H474" s="110">
        <f t="shared" si="39"/>
        <v>5</v>
      </c>
    </row>
    <row r="475" spans="1:8">
      <c r="A475" s="55">
        <v>45307.2579398148</v>
      </c>
      <c r="B475" s="56">
        <v>45307.270474537</v>
      </c>
      <c r="C475" s="35">
        <v>147</v>
      </c>
      <c r="D475" s="65">
        <f t="shared" si="35"/>
        <v>6</v>
      </c>
      <c r="E475" s="65">
        <f t="shared" si="36"/>
        <v>16</v>
      </c>
      <c r="F475" s="65">
        <f t="shared" si="37"/>
        <v>3</v>
      </c>
      <c r="G475" s="109">
        <f t="shared" si="38"/>
        <v>45307.2579398148</v>
      </c>
      <c r="H475" s="110">
        <f t="shared" si="39"/>
        <v>3</v>
      </c>
    </row>
    <row r="476" spans="1:8">
      <c r="A476" s="55">
        <v>45310.3090972222</v>
      </c>
      <c r="B476" s="56">
        <v>45310.3261574074</v>
      </c>
      <c r="C476" s="35">
        <v>177</v>
      </c>
      <c r="D476" s="65">
        <f t="shared" si="35"/>
        <v>7</v>
      </c>
      <c r="E476" s="65">
        <f t="shared" si="36"/>
        <v>19</v>
      </c>
      <c r="F476" s="65">
        <f t="shared" si="37"/>
        <v>3</v>
      </c>
      <c r="G476" s="109">
        <f t="shared" si="38"/>
        <v>45310.3090972222</v>
      </c>
      <c r="H476" s="110">
        <f t="shared" si="39"/>
        <v>6</v>
      </c>
    </row>
    <row r="477" spans="1:8">
      <c r="A477" s="55">
        <v>45306.6780439815</v>
      </c>
      <c r="B477" s="56">
        <v>45306.6872685185</v>
      </c>
      <c r="C477" s="35">
        <v>583</v>
      </c>
      <c r="D477" s="65">
        <f t="shared" si="35"/>
        <v>16</v>
      </c>
      <c r="E477" s="65">
        <f t="shared" si="36"/>
        <v>15</v>
      </c>
      <c r="F477" s="65">
        <f t="shared" si="37"/>
        <v>3</v>
      </c>
      <c r="G477" s="109">
        <f t="shared" si="38"/>
        <v>45306.6780439815</v>
      </c>
      <c r="H477" s="110">
        <f t="shared" si="39"/>
        <v>2</v>
      </c>
    </row>
    <row r="478" spans="1:8">
      <c r="A478" s="55">
        <v>45311.5254166667</v>
      </c>
      <c r="B478" s="56">
        <v>45311.5415046296</v>
      </c>
      <c r="C478" s="35">
        <v>561</v>
      </c>
      <c r="D478" s="65">
        <f t="shared" si="35"/>
        <v>12</v>
      </c>
      <c r="E478" s="65">
        <f t="shared" si="36"/>
        <v>20</v>
      </c>
      <c r="F478" s="65">
        <f t="shared" si="37"/>
        <v>3</v>
      </c>
      <c r="G478" s="109">
        <f t="shared" si="38"/>
        <v>45311.5254166667</v>
      </c>
      <c r="H478" s="110">
        <f t="shared" si="39"/>
        <v>7</v>
      </c>
    </row>
    <row r="479" spans="1:8">
      <c r="A479" s="55">
        <v>45316.8722800926</v>
      </c>
      <c r="B479" s="56">
        <v>45316.8820023148</v>
      </c>
      <c r="C479" s="35">
        <v>303</v>
      </c>
      <c r="D479" s="65">
        <f t="shared" si="35"/>
        <v>20</v>
      </c>
      <c r="E479" s="65">
        <f t="shared" si="36"/>
        <v>25</v>
      </c>
      <c r="F479" s="65">
        <f t="shared" si="37"/>
        <v>4</v>
      </c>
      <c r="G479" s="109">
        <f t="shared" si="38"/>
        <v>45316.8722800926</v>
      </c>
      <c r="H479" s="110">
        <f t="shared" si="39"/>
        <v>5</v>
      </c>
    </row>
    <row r="480" spans="1:8">
      <c r="A480" s="55">
        <v>45312.7881712963</v>
      </c>
      <c r="B480" s="56">
        <v>45312.7905555556</v>
      </c>
      <c r="C480" s="35">
        <v>91</v>
      </c>
      <c r="D480" s="65">
        <f t="shared" si="35"/>
        <v>18</v>
      </c>
      <c r="E480" s="65">
        <f t="shared" si="36"/>
        <v>21</v>
      </c>
      <c r="F480" s="65">
        <f t="shared" si="37"/>
        <v>4</v>
      </c>
      <c r="G480" s="109">
        <f t="shared" si="38"/>
        <v>45312.7881712963</v>
      </c>
      <c r="H480" s="110">
        <f t="shared" si="39"/>
        <v>1</v>
      </c>
    </row>
    <row r="481" spans="1:8">
      <c r="A481" s="55">
        <v>45314.6101967593</v>
      </c>
      <c r="B481" s="56">
        <v>45314.6202546296</v>
      </c>
      <c r="C481" s="35">
        <v>287</v>
      </c>
      <c r="D481" s="65">
        <f t="shared" si="35"/>
        <v>14</v>
      </c>
      <c r="E481" s="65">
        <f t="shared" si="36"/>
        <v>23</v>
      </c>
      <c r="F481" s="65">
        <f t="shared" si="37"/>
        <v>4</v>
      </c>
      <c r="G481" s="109">
        <f t="shared" si="38"/>
        <v>45314.6101967593</v>
      </c>
      <c r="H481" s="110">
        <f t="shared" si="39"/>
        <v>3</v>
      </c>
    </row>
    <row r="482" spans="1:8">
      <c r="A482" s="55">
        <v>45297.4958449074</v>
      </c>
      <c r="B482" s="56">
        <v>45297.4995023148</v>
      </c>
      <c r="C482" s="35">
        <v>250</v>
      </c>
      <c r="D482" s="65">
        <f t="shared" si="35"/>
        <v>11</v>
      </c>
      <c r="E482" s="65">
        <f t="shared" si="36"/>
        <v>6</v>
      </c>
      <c r="F482" s="65">
        <f t="shared" si="37"/>
        <v>1</v>
      </c>
      <c r="G482" s="109">
        <f t="shared" si="38"/>
        <v>45297.4958449074</v>
      </c>
      <c r="H482" s="110">
        <f t="shared" si="39"/>
        <v>7</v>
      </c>
    </row>
    <row r="483" spans="1:8">
      <c r="A483" s="55">
        <v>45307.2929282407</v>
      </c>
      <c r="B483" s="56">
        <v>45307.3030324074</v>
      </c>
      <c r="C483" s="35">
        <v>546</v>
      </c>
      <c r="D483" s="65">
        <f t="shared" si="35"/>
        <v>7</v>
      </c>
      <c r="E483" s="65">
        <f t="shared" si="36"/>
        <v>16</v>
      </c>
      <c r="F483" s="65">
        <f t="shared" si="37"/>
        <v>3</v>
      </c>
      <c r="G483" s="109">
        <f t="shared" si="38"/>
        <v>45307.2929282407</v>
      </c>
      <c r="H483" s="110">
        <f t="shared" si="39"/>
        <v>3</v>
      </c>
    </row>
    <row r="484" spans="1:8">
      <c r="A484" s="55">
        <v>45304.6348958333</v>
      </c>
      <c r="B484" s="56">
        <v>45304.6530671296</v>
      </c>
      <c r="C484" s="35">
        <v>300</v>
      </c>
      <c r="D484" s="65">
        <f t="shared" si="35"/>
        <v>15</v>
      </c>
      <c r="E484" s="65">
        <f t="shared" si="36"/>
        <v>13</v>
      </c>
      <c r="F484" s="65">
        <f t="shared" si="37"/>
        <v>2</v>
      </c>
      <c r="G484" s="109">
        <f t="shared" si="38"/>
        <v>45304.6348958333</v>
      </c>
      <c r="H484" s="110">
        <f t="shared" si="39"/>
        <v>7</v>
      </c>
    </row>
    <row r="485" spans="1:8">
      <c r="A485" s="55">
        <v>45293.7471990741</v>
      </c>
      <c r="B485" s="56">
        <v>45293.7556018519</v>
      </c>
      <c r="C485" s="35">
        <v>497</v>
      </c>
      <c r="D485" s="65">
        <f t="shared" si="35"/>
        <v>17</v>
      </c>
      <c r="E485" s="65">
        <f t="shared" si="36"/>
        <v>2</v>
      </c>
      <c r="F485" s="65">
        <f t="shared" si="37"/>
        <v>1</v>
      </c>
      <c r="G485" s="109">
        <f t="shared" si="38"/>
        <v>45293.7471990741</v>
      </c>
      <c r="H485" s="110">
        <f t="shared" si="39"/>
        <v>3</v>
      </c>
    </row>
    <row r="486" spans="1:8">
      <c r="A486" s="55">
        <v>45297.8616550926</v>
      </c>
      <c r="B486" s="56">
        <v>45297.8774189815</v>
      </c>
      <c r="C486" s="35">
        <v>587</v>
      </c>
      <c r="D486" s="65">
        <f t="shared" si="35"/>
        <v>20</v>
      </c>
      <c r="E486" s="65">
        <f t="shared" si="36"/>
        <v>6</v>
      </c>
      <c r="F486" s="65">
        <f t="shared" si="37"/>
        <v>1</v>
      </c>
      <c r="G486" s="109">
        <f t="shared" si="38"/>
        <v>45297.8616550926</v>
      </c>
      <c r="H486" s="110">
        <f t="shared" si="39"/>
        <v>7</v>
      </c>
    </row>
    <row r="487" spans="1:8">
      <c r="A487" s="55">
        <v>45294.8467939815</v>
      </c>
      <c r="B487" s="56">
        <v>45294.8572569444</v>
      </c>
      <c r="C487" s="35">
        <v>276</v>
      </c>
      <c r="D487" s="65">
        <f t="shared" si="35"/>
        <v>20</v>
      </c>
      <c r="E487" s="65">
        <f t="shared" si="36"/>
        <v>3</v>
      </c>
      <c r="F487" s="65">
        <f t="shared" si="37"/>
        <v>1</v>
      </c>
      <c r="G487" s="109">
        <f t="shared" si="38"/>
        <v>45294.8467939815</v>
      </c>
      <c r="H487" s="110">
        <f t="shared" si="39"/>
        <v>4</v>
      </c>
    </row>
    <row r="488" spans="1:8">
      <c r="A488" s="55">
        <v>45309.2812384259</v>
      </c>
      <c r="B488" s="56">
        <v>45309.293587963</v>
      </c>
      <c r="C488" s="35">
        <v>498</v>
      </c>
      <c r="D488" s="65">
        <f t="shared" si="35"/>
        <v>6</v>
      </c>
      <c r="E488" s="65">
        <f t="shared" si="36"/>
        <v>18</v>
      </c>
      <c r="F488" s="65">
        <f t="shared" si="37"/>
        <v>3</v>
      </c>
      <c r="G488" s="109">
        <f t="shared" si="38"/>
        <v>45309.2812384259</v>
      </c>
      <c r="H488" s="110">
        <f t="shared" si="39"/>
        <v>5</v>
      </c>
    </row>
    <row r="489" spans="1:8">
      <c r="A489" s="55">
        <v>45317.2745717593</v>
      </c>
      <c r="B489" s="56">
        <v>45317.2797337963</v>
      </c>
      <c r="C489" s="35">
        <v>431</v>
      </c>
      <c r="D489" s="65">
        <f t="shared" si="35"/>
        <v>6</v>
      </c>
      <c r="E489" s="65">
        <f t="shared" si="36"/>
        <v>26</v>
      </c>
      <c r="F489" s="65">
        <f t="shared" si="37"/>
        <v>4</v>
      </c>
      <c r="G489" s="109">
        <f t="shared" si="38"/>
        <v>45317.2745717593</v>
      </c>
      <c r="H489" s="110">
        <f t="shared" si="39"/>
        <v>6</v>
      </c>
    </row>
    <row r="490" spans="1:8">
      <c r="A490" s="55">
        <v>45318.7599074074</v>
      </c>
      <c r="B490" s="56">
        <v>45318.7624768519</v>
      </c>
      <c r="C490" s="35">
        <v>442</v>
      </c>
      <c r="D490" s="65">
        <f t="shared" si="35"/>
        <v>18</v>
      </c>
      <c r="E490" s="65">
        <f t="shared" si="36"/>
        <v>27</v>
      </c>
      <c r="F490" s="65">
        <f t="shared" si="37"/>
        <v>4</v>
      </c>
      <c r="G490" s="109">
        <f t="shared" si="38"/>
        <v>45318.7599074074</v>
      </c>
      <c r="H490" s="110">
        <f t="shared" si="39"/>
        <v>7</v>
      </c>
    </row>
    <row r="491" spans="1:8">
      <c r="A491" s="55">
        <v>45300.800625</v>
      </c>
      <c r="B491" s="56">
        <v>45300.8029398148</v>
      </c>
      <c r="C491" s="35">
        <v>196</v>
      </c>
      <c r="D491" s="65">
        <f t="shared" si="35"/>
        <v>19</v>
      </c>
      <c r="E491" s="65">
        <f t="shared" si="36"/>
        <v>9</v>
      </c>
      <c r="F491" s="65">
        <f t="shared" si="37"/>
        <v>2</v>
      </c>
      <c r="G491" s="109">
        <f t="shared" si="38"/>
        <v>45300.800625</v>
      </c>
      <c r="H491" s="110">
        <f t="shared" si="39"/>
        <v>3</v>
      </c>
    </row>
    <row r="492" spans="1:8">
      <c r="A492" s="55">
        <v>45300.8835648148</v>
      </c>
      <c r="B492" s="56">
        <v>45300.8847106481</v>
      </c>
      <c r="C492" s="35">
        <v>165</v>
      </c>
      <c r="D492" s="65">
        <f t="shared" si="35"/>
        <v>21</v>
      </c>
      <c r="E492" s="65">
        <f t="shared" si="36"/>
        <v>9</v>
      </c>
      <c r="F492" s="65">
        <f t="shared" si="37"/>
        <v>2</v>
      </c>
      <c r="G492" s="109">
        <f t="shared" si="38"/>
        <v>45300.8835648148</v>
      </c>
      <c r="H492" s="110">
        <f t="shared" si="39"/>
        <v>3</v>
      </c>
    </row>
    <row r="493" spans="1:8">
      <c r="A493" s="55">
        <v>45296.8652777778</v>
      </c>
      <c r="B493" s="56">
        <v>45296.8714814815</v>
      </c>
      <c r="C493" s="35">
        <v>102</v>
      </c>
      <c r="D493" s="65">
        <f t="shared" si="35"/>
        <v>20</v>
      </c>
      <c r="E493" s="65">
        <f t="shared" si="36"/>
        <v>5</v>
      </c>
      <c r="F493" s="65">
        <f t="shared" si="37"/>
        <v>1</v>
      </c>
      <c r="G493" s="109">
        <f t="shared" si="38"/>
        <v>45296.8652777778</v>
      </c>
      <c r="H493" s="110">
        <f t="shared" si="39"/>
        <v>6</v>
      </c>
    </row>
    <row r="494" spans="1:8">
      <c r="A494" s="55">
        <v>45307.7289814815</v>
      </c>
      <c r="B494" s="56">
        <v>45307.7484259259</v>
      </c>
      <c r="C494" s="35">
        <v>42</v>
      </c>
      <c r="D494" s="65">
        <f t="shared" si="35"/>
        <v>17</v>
      </c>
      <c r="E494" s="65">
        <f t="shared" si="36"/>
        <v>16</v>
      </c>
      <c r="F494" s="65">
        <f t="shared" si="37"/>
        <v>3</v>
      </c>
      <c r="G494" s="109">
        <f t="shared" si="38"/>
        <v>45307.7289814815</v>
      </c>
      <c r="H494" s="110">
        <f t="shared" si="39"/>
        <v>3</v>
      </c>
    </row>
    <row r="495" spans="1:8">
      <c r="A495" s="55">
        <v>45297.5401967593</v>
      </c>
      <c r="B495" s="56">
        <v>45297.5468171296</v>
      </c>
      <c r="C495" s="35">
        <v>400</v>
      </c>
      <c r="D495" s="65">
        <f t="shared" si="35"/>
        <v>12</v>
      </c>
      <c r="E495" s="65">
        <f t="shared" si="36"/>
        <v>6</v>
      </c>
      <c r="F495" s="65">
        <f t="shared" si="37"/>
        <v>1</v>
      </c>
      <c r="G495" s="109">
        <f t="shared" si="38"/>
        <v>45297.5401967593</v>
      </c>
      <c r="H495" s="110">
        <f t="shared" si="39"/>
        <v>7</v>
      </c>
    </row>
    <row r="496" spans="1:8">
      <c r="A496" s="55">
        <v>45298.8665393519</v>
      </c>
      <c r="B496" s="56">
        <v>45298.8694560185</v>
      </c>
      <c r="C496" s="35">
        <v>543</v>
      </c>
      <c r="D496" s="65">
        <f t="shared" si="35"/>
        <v>20</v>
      </c>
      <c r="E496" s="65">
        <f t="shared" si="36"/>
        <v>7</v>
      </c>
      <c r="F496" s="65">
        <f t="shared" si="37"/>
        <v>2</v>
      </c>
      <c r="G496" s="109">
        <f t="shared" si="38"/>
        <v>45298.8665393519</v>
      </c>
      <c r="H496" s="110">
        <f t="shared" si="39"/>
        <v>1</v>
      </c>
    </row>
    <row r="497" spans="1:8">
      <c r="A497" s="55">
        <v>45302.4866435185</v>
      </c>
      <c r="B497" s="56">
        <v>45302.4883333333</v>
      </c>
      <c r="C497" s="35">
        <v>572</v>
      </c>
      <c r="D497" s="65">
        <f t="shared" si="35"/>
        <v>11</v>
      </c>
      <c r="E497" s="65">
        <f t="shared" si="36"/>
        <v>11</v>
      </c>
      <c r="F497" s="65">
        <f t="shared" si="37"/>
        <v>2</v>
      </c>
      <c r="G497" s="109">
        <f t="shared" si="38"/>
        <v>45302.4866435185</v>
      </c>
      <c r="H497" s="110">
        <f t="shared" si="39"/>
        <v>5</v>
      </c>
    </row>
    <row r="498" spans="1:8">
      <c r="A498" s="55">
        <v>45303.3303472222</v>
      </c>
      <c r="B498" s="56">
        <v>45303.3362037037</v>
      </c>
      <c r="C498" s="35">
        <v>125</v>
      </c>
      <c r="D498" s="65">
        <f t="shared" si="35"/>
        <v>7</v>
      </c>
      <c r="E498" s="65">
        <f t="shared" si="36"/>
        <v>12</v>
      </c>
      <c r="F498" s="65">
        <f t="shared" si="37"/>
        <v>2</v>
      </c>
      <c r="G498" s="109">
        <f t="shared" si="38"/>
        <v>45303.3303472222</v>
      </c>
      <c r="H498" s="110">
        <f t="shared" si="39"/>
        <v>6</v>
      </c>
    </row>
    <row r="499" spans="1:8">
      <c r="A499" s="55">
        <v>45317.5416898148</v>
      </c>
      <c r="B499" s="56">
        <v>45317.5561574074</v>
      </c>
      <c r="C499" s="35">
        <v>496</v>
      </c>
      <c r="D499" s="65">
        <f t="shared" si="35"/>
        <v>13</v>
      </c>
      <c r="E499" s="65">
        <f t="shared" si="36"/>
        <v>26</v>
      </c>
      <c r="F499" s="65">
        <f t="shared" si="37"/>
        <v>4</v>
      </c>
      <c r="G499" s="109">
        <f t="shared" si="38"/>
        <v>45317.5416898148</v>
      </c>
      <c r="H499" s="110">
        <f t="shared" si="39"/>
        <v>6</v>
      </c>
    </row>
    <row r="500" spans="1:8">
      <c r="A500" s="55">
        <v>45307.3636458333</v>
      </c>
      <c r="B500" s="56">
        <v>45307.3723611111</v>
      </c>
      <c r="C500" s="35">
        <v>71</v>
      </c>
      <c r="D500" s="65">
        <f t="shared" si="35"/>
        <v>8</v>
      </c>
      <c r="E500" s="65">
        <f t="shared" si="36"/>
        <v>16</v>
      </c>
      <c r="F500" s="65">
        <f t="shared" si="37"/>
        <v>3</v>
      </c>
      <c r="G500" s="109">
        <f t="shared" si="38"/>
        <v>45307.3636458333</v>
      </c>
      <c r="H500" s="110">
        <f t="shared" si="39"/>
        <v>3</v>
      </c>
    </row>
    <row r="501" spans="1:8">
      <c r="A501" s="55">
        <v>45307.5559606481</v>
      </c>
      <c r="B501" s="56">
        <v>45307.5753356482</v>
      </c>
      <c r="C501" s="35">
        <v>365</v>
      </c>
      <c r="D501" s="65">
        <f t="shared" si="35"/>
        <v>13</v>
      </c>
      <c r="E501" s="65">
        <f t="shared" si="36"/>
        <v>16</v>
      </c>
      <c r="F501" s="65">
        <f t="shared" si="37"/>
        <v>3</v>
      </c>
      <c r="G501" s="109">
        <f t="shared" si="38"/>
        <v>45307.5559606481</v>
      </c>
      <c r="H501" s="110">
        <f t="shared" si="39"/>
        <v>3</v>
      </c>
    </row>
  </sheetData>
  <conditionalFormatting sqref="A1:H501">
    <cfRule type="expression" dxfId="0" priority="1">
      <formula>MOD(ROW(),2)=1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1"/>
  <sheetViews>
    <sheetView topLeftCell="A491" workbookViewId="0">
      <selection activeCell="D506" sqref="D506"/>
    </sheetView>
  </sheetViews>
  <sheetFormatPr defaultColWidth="8.8" defaultRowHeight="15" outlineLevelCol="5"/>
  <cols>
    <col min="1" max="1" width="8.8" style="80"/>
    <col min="2" max="2" width="8.8" style="81"/>
    <col min="3" max="4" width="8.8" style="82"/>
    <col min="5" max="5" width="8.8" style="83"/>
  </cols>
  <sheetData>
    <row r="1" ht="15.75" spans="1:6">
      <c r="A1" s="84" t="s">
        <v>0</v>
      </c>
      <c r="B1" s="85" t="s">
        <v>1</v>
      </c>
      <c r="C1" s="86" t="s">
        <v>11</v>
      </c>
      <c r="D1" s="86" t="s">
        <v>12</v>
      </c>
      <c r="E1" s="92" t="s">
        <v>13</v>
      </c>
      <c r="F1" s="93" t="s">
        <v>14</v>
      </c>
    </row>
    <row r="2" spans="1:6">
      <c r="A2" s="87">
        <v>45295.2828356481</v>
      </c>
      <c r="B2" s="88">
        <v>45295.2893287037</v>
      </c>
      <c r="C2" s="89">
        <f>HOUR(A2)</f>
        <v>6</v>
      </c>
      <c r="D2" s="90">
        <v>7</v>
      </c>
      <c r="E2" s="94">
        <f>COUNTIF($C$2:$C$501,D2)</f>
        <v>39</v>
      </c>
      <c r="F2" s="95" t="s">
        <v>15</v>
      </c>
    </row>
    <row r="3" spans="1:6">
      <c r="A3" s="87">
        <v>45310.7930671296</v>
      </c>
      <c r="B3" s="88">
        <v>45310.7959722222</v>
      </c>
      <c r="C3" s="89">
        <f t="shared" ref="C3:C66" si="0">HOUR(A3)</f>
        <v>19</v>
      </c>
      <c r="D3" s="90">
        <v>18</v>
      </c>
      <c r="E3" s="96">
        <f>COUNTIF($C$2:$C$501,D3)</f>
        <v>34</v>
      </c>
      <c r="F3" s="97"/>
    </row>
    <row r="4" ht="15.75" spans="1:6">
      <c r="A4" s="87">
        <v>45299.859224537</v>
      </c>
      <c r="B4" s="88">
        <v>45299.8790972222</v>
      </c>
      <c r="C4" s="89">
        <f t="shared" si="0"/>
        <v>20</v>
      </c>
      <c r="D4" s="90">
        <v>22</v>
      </c>
      <c r="E4" s="98">
        <f>COUNTIF($C$2:$C$501,D4)</f>
        <v>34</v>
      </c>
      <c r="F4" s="99"/>
    </row>
    <row r="5" spans="1:5">
      <c r="A5" s="87">
        <v>45302.37875</v>
      </c>
      <c r="B5" s="88">
        <v>45302.3817361111</v>
      </c>
      <c r="C5" s="89">
        <f t="shared" si="0"/>
        <v>9</v>
      </c>
      <c r="D5" s="91">
        <v>13</v>
      </c>
      <c r="E5" s="90">
        <f>COUNTIF($C$2:$C$501,D5)</f>
        <v>33</v>
      </c>
    </row>
    <row r="6" spans="1:5">
      <c r="A6" s="87">
        <v>45304.3578472222</v>
      </c>
      <c r="B6" s="88">
        <v>45304.3781944444</v>
      </c>
      <c r="C6" s="89">
        <f t="shared" si="0"/>
        <v>8</v>
      </c>
      <c r="D6" s="91">
        <v>16</v>
      </c>
      <c r="E6" s="90">
        <f>COUNTIF($C$2:$C$501,D6)</f>
        <v>32</v>
      </c>
    </row>
    <row r="7" spans="1:5">
      <c r="A7" s="87">
        <v>45294.5799305556</v>
      </c>
      <c r="B7" s="88">
        <v>45294.5896296296</v>
      </c>
      <c r="C7" s="89">
        <f t="shared" si="0"/>
        <v>13</v>
      </c>
      <c r="D7" s="91">
        <v>8</v>
      </c>
      <c r="E7" s="90">
        <f>COUNTIF($C$2:$C$501,D7)</f>
        <v>30</v>
      </c>
    </row>
    <row r="8" spans="1:5">
      <c r="A8" s="87">
        <v>45300.3601851852</v>
      </c>
      <c r="B8" s="88">
        <v>45300.3649305556</v>
      </c>
      <c r="C8" s="89">
        <f t="shared" si="0"/>
        <v>8</v>
      </c>
      <c r="D8" s="91">
        <v>10</v>
      </c>
      <c r="E8" s="90">
        <f>COUNTIF($C$2:$C$501,D8)</f>
        <v>30</v>
      </c>
    </row>
    <row r="9" spans="1:5">
      <c r="A9" s="87">
        <v>45309.5717592593</v>
      </c>
      <c r="B9" s="88">
        <v>45309.5924305556</v>
      </c>
      <c r="C9" s="89">
        <f t="shared" si="0"/>
        <v>13</v>
      </c>
      <c r="D9" s="91">
        <v>12</v>
      </c>
      <c r="E9" s="90">
        <f>COUNTIF($C$2:$C$501,D9)</f>
        <v>30</v>
      </c>
    </row>
    <row r="10" spans="1:5">
      <c r="A10" s="87">
        <v>45310.6761689815</v>
      </c>
      <c r="B10" s="88">
        <v>45310.6886921296</v>
      </c>
      <c r="C10" s="89">
        <f t="shared" si="0"/>
        <v>16</v>
      </c>
      <c r="D10" s="91">
        <v>17</v>
      </c>
      <c r="E10" s="90">
        <f>COUNTIF($C$2:$C$501,D10)</f>
        <v>30</v>
      </c>
    </row>
    <row r="11" spans="1:5">
      <c r="A11" s="87">
        <v>45315.8316782407</v>
      </c>
      <c r="B11" s="88">
        <v>45315.8418287037</v>
      </c>
      <c r="C11" s="89">
        <f t="shared" si="0"/>
        <v>19</v>
      </c>
      <c r="D11" s="91">
        <v>15</v>
      </c>
      <c r="E11" s="90">
        <f>COUNTIF($C$2:$C$501,D11)</f>
        <v>29</v>
      </c>
    </row>
    <row r="12" spans="1:5">
      <c r="A12" s="87">
        <v>45295.4445601852</v>
      </c>
      <c r="B12" s="88">
        <v>45295.4640277778</v>
      </c>
      <c r="C12" s="89">
        <f t="shared" si="0"/>
        <v>10</v>
      </c>
      <c r="D12" s="91">
        <v>19</v>
      </c>
      <c r="E12" s="90">
        <f>COUNTIF($C$2:$C$501,D12)</f>
        <v>27</v>
      </c>
    </row>
    <row r="13" spans="1:5">
      <c r="A13" s="87">
        <v>45300.2803935185</v>
      </c>
      <c r="B13" s="88">
        <v>45300.2837962963</v>
      </c>
      <c r="C13" s="89">
        <f t="shared" si="0"/>
        <v>6</v>
      </c>
      <c r="D13" s="91">
        <v>20</v>
      </c>
      <c r="E13" s="90">
        <f>COUNTIF($C$2:$C$501,D13)</f>
        <v>27</v>
      </c>
    </row>
    <row r="14" spans="1:5">
      <c r="A14" s="87">
        <v>45292.6061111111</v>
      </c>
      <c r="B14" s="88">
        <v>45292.6110300926</v>
      </c>
      <c r="C14" s="89">
        <f t="shared" si="0"/>
        <v>14</v>
      </c>
      <c r="D14" s="91">
        <v>9</v>
      </c>
      <c r="E14" s="90">
        <f>COUNTIF($C$2:$C$501,D14)</f>
        <v>26</v>
      </c>
    </row>
    <row r="15" ht="15.75" spans="1:5">
      <c r="A15" s="87">
        <v>45303.4825115741</v>
      </c>
      <c r="B15" s="88">
        <v>45303.495775463</v>
      </c>
      <c r="C15" s="89">
        <f t="shared" si="0"/>
        <v>11</v>
      </c>
      <c r="D15" s="91">
        <v>14</v>
      </c>
      <c r="E15" s="90">
        <f>COUNTIF($C$2:$C$501,D15)</f>
        <v>26</v>
      </c>
    </row>
    <row r="16" spans="1:6">
      <c r="A16" s="87">
        <v>45317.6354513889</v>
      </c>
      <c r="B16" s="88">
        <v>45317.6418518519</v>
      </c>
      <c r="C16" s="89">
        <f t="shared" si="0"/>
        <v>15</v>
      </c>
      <c r="D16" s="90">
        <v>21</v>
      </c>
      <c r="E16" s="94">
        <f>COUNTIF($C$2:$C$501,D16)</f>
        <v>26</v>
      </c>
      <c r="F16" s="95" t="s">
        <v>16</v>
      </c>
    </row>
    <row r="17" spans="1:6">
      <c r="A17" s="87">
        <v>45309.4227083333</v>
      </c>
      <c r="B17" s="88">
        <v>45309.4346643519</v>
      </c>
      <c r="C17" s="89">
        <f t="shared" si="0"/>
        <v>10</v>
      </c>
      <c r="D17" s="90">
        <v>11</v>
      </c>
      <c r="E17" s="96">
        <f>COUNTIF($C$2:$C$501,D17)</f>
        <v>24</v>
      </c>
      <c r="F17" s="97"/>
    </row>
    <row r="18" ht="15.75" spans="1:6">
      <c r="A18" s="87">
        <v>45309.5314699074</v>
      </c>
      <c r="B18" s="88">
        <v>45309.5416203704</v>
      </c>
      <c r="C18" s="89">
        <f t="shared" si="0"/>
        <v>12</v>
      </c>
      <c r="D18" s="90">
        <v>6</v>
      </c>
      <c r="E18" s="98">
        <f>COUNTIF($C$2:$C$501,D18)</f>
        <v>23</v>
      </c>
      <c r="F18" s="99"/>
    </row>
    <row r="19" spans="1:5">
      <c r="A19" s="87">
        <v>45309.5675231482</v>
      </c>
      <c r="B19" s="88">
        <v>45309.5683796296</v>
      </c>
      <c r="C19" s="89">
        <f t="shared" si="0"/>
        <v>13</v>
      </c>
      <c r="D19" s="89"/>
      <c r="E19" s="100"/>
    </row>
    <row r="20" spans="1:5">
      <c r="A20" s="87">
        <v>45308.5539583333</v>
      </c>
      <c r="B20" s="88">
        <v>45308.5661574074</v>
      </c>
      <c r="C20" s="89">
        <f t="shared" si="0"/>
        <v>13</v>
      </c>
      <c r="D20" s="89"/>
      <c r="E20" s="100"/>
    </row>
    <row r="21" spans="1:5">
      <c r="A21" s="87">
        <v>45307.5767361111</v>
      </c>
      <c r="B21" s="88">
        <v>45307.5965625</v>
      </c>
      <c r="C21" s="89">
        <f t="shared" si="0"/>
        <v>13</v>
      </c>
      <c r="D21" s="89"/>
      <c r="E21" s="100"/>
    </row>
    <row r="22" spans="1:5">
      <c r="A22" s="87">
        <v>45305.8720601852</v>
      </c>
      <c r="B22" s="88">
        <v>45305.8740277778</v>
      </c>
      <c r="C22" s="89">
        <f t="shared" si="0"/>
        <v>20</v>
      </c>
      <c r="D22" s="89"/>
      <c r="E22" s="100"/>
    </row>
    <row r="23" spans="1:5">
      <c r="A23" s="87">
        <v>45298.5239351852</v>
      </c>
      <c r="B23" s="88">
        <v>45298.5279513889</v>
      </c>
      <c r="C23" s="89">
        <f t="shared" si="0"/>
        <v>12</v>
      </c>
      <c r="D23" s="89"/>
      <c r="E23" s="100"/>
    </row>
    <row r="24" spans="1:5">
      <c r="A24" s="87">
        <v>45319.3775578704</v>
      </c>
      <c r="B24" s="88">
        <v>45319.3910648148</v>
      </c>
      <c r="C24" s="89">
        <f t="shared" si="0"/>
        <v>9</v>
      </c>
      <c r="D24" s="89"/>
      <c r="E24" s="100"/>
    </row>
    <row r="25" spans="1:5">
      <c r="A25" s="87">
        <v>45319.7896180556</v>
      </c>
      <c r="B25" s="88">
        <v>45319.794212963</v>
      </c>
      <c r="C25" s="89">
        <f t="shared" si="0"/>
        <v>18</v>
      </c>
      <c r="D25" s="89"/>
      <c r="E25" s="100"/>
    </row>
    <row r="26" spans="1:5">
      <c r="A26" s="87">
        <v>45305.8813888889</v>
      </c>
      <c r="B26" s="88">
        <v>45305.8891087963</v>
      </c>
      <c r="C26" s="89">
        <f t="shared" si="0"/>
        <v>21</v>
      </c>
      <c r="D26" s="89"/>
      <c r="E26" s="100"/>
    </row>
    <row r="27" spans="1:5">
      <c r="A27" s="87">
        <v>45307.9575694444</v>
      </c>
      <c r="B27" s="88">
        <v>45307.9708449074</v>
      </c>
      <c r="C27" s="89">
        <f t="shared" si="0"/>
        <v>22</v>
      </c>
      <c r="D27" s="89"/>
      <c r="E27" s="100"/>
    </row>
    <row r="28" spans="1:5">
      <c r="A28" s="87">
        <v>45304.4143055556</v>
      </c>
      <c r="B28" s="88">
        <v>45304.4208333333</v>
      </c>
      <c r="C28" s="89">
        <f t="shared" si="0"/>
        <v>9</v>
      </c>
      <c r="D28" s="89"/>
      <c r="E28" s="100"/>
    </row>
    <row r="29" spans="1:5">
      <c r="A29" s="87">
        <v>45302.5928472222</v>
      </c>
      <c r="B29" s="88">
        <v>45302.6105092593</v>
      </c>
      <c r="C29" s="89">
        <f t="shared" si="0"/>
        <v>14</v>
      </c>
      <c r="D29" s="89"/>
      <c r="E29" s="100"/>
    </row>
    <row r="30" spans="1:5">
      <c r="A30" s="87">
        <v>45316.3336689815</v>
      </c>
      <c r="B30" s="88">
        <v>45316.3490856482</v>
      </c>
      <c r="C30" s="89">
        <f t="shared" si="0"/>
        <v>8</v>
      </c>
      <c r="D30" s="89"/>
      <c r="E30" s="100"/>
    </row>
    <row r="31" spans="1:5">
      <c r="A31" s="87">
        <v>45294.5578472222</v>
      </c>
      <c r="B31" s="88">
        <v>45294.5622800926</v>
      </c>
      <c r="C31" s="89">
        <f t="shared" si="0"/>
        <v>13</v>
      </c>
      <c r="D31" s="89"/>
      <c r="E31" s="100"/>
    </row>
    <row r="32" spans="1:5">
      <c r="A32" s="87">
        <v>45292.6664583333</v>
      </c>
      <c r="B32" s="88">
        <v>45292.6696064815</v>
      </c>
      <c r="C32" s="89">
        <f t="shared" si="0"/>
        <v>15</v>
      </c>
      <c r="D32" s="89"/>
      <c r="E32" s="100"/>
    </row>
    <row r="33" spans="1:5">
      <c r="A33" s="87">
        <v>45301.5314930556</v>
      </c>
      <c r="B33" s="88">
        <v>45301.5370023148</v>
      </c>
      <c r="C33" s="89">
        <f t="shared" si="0"/>
        <v>12</v>
      </c>
      <c r="D33" s="89"/>
      <c r="E33" s="100"/>
    </row>
    <row r="34" spans="1:5">
      <c r="A34" s="87">
        <v>45312.8286689815</v>
      </c>
      <c r="B34" s="88">
        <v>45312.8304050926</v>
      </c>
      <c r="C34" s="89">
        <f t="shared" si="0"/>
        <v>19</v>
      </c>
      <c r="D34" s="89"/>
      <c r="E34" s="100"/>
    </row>
    <row r="35" spans="1:5">
      <c r="A35" s="87">
        <v>45306.8159722222</v>
      </c>
      <c r="B35" s="88">
        <v>45306.8193171296</v>
      </c>
      <c r="C35" s="89">
        <f t="shared" si="0"/>
        <v>19</v>
      </c>
      <c r="D35" s="89"/>
      <c r="E35" s="100"/>
    </row>
    <row r="36" spans="1:5">
      <c r="A36" s="87">
        <v>45296.3051273148</v>
      </c>
      <c r="B36" s="88">
        <v>45296.3246875</v>
      </c>
      <c r="C36" s="89">
        <f t="shared" si="0"/>
        <v>7</v>
      </c>
      <c r="D36" s="89"/>
      <c r="E36" s="100"/>
    </row>
    <row r="37" spans="1:5">
      <c r="A37" s="87">
        <v>45319.8192939815</v>
      </c>
      <c r="B37" s="88">
        <v>45319.8236458333</v>
      </c>
      <c r="C37" s="89">
        <f t="shared" si="0"/>
        <v>19</v>
      </c>
      <c r="D37" s="89"/>
      <c r="E37" s="100"/>
    </row>
    <row r="38" spans="1:5">
      <c r="A38" s="87">
        <v>45305.553587963</v>
      </c>
      <c r="B38" s="88">
        <v>45305.5729398148</v>
      </c>
      <c r="C38" s="89">
        <f t="shared" si="0"/>
        <v>13</v>
      </c>
      <c r="D38" s="89"/>
      <c r="E38" s="100"/>
    </row>
    <row r="39" spans="1:5">
      <c r="A39" s="87">
        <v>45317.551400463</v>
      </c>
      <c r="B39" s="88">
        <v>45317.5677314815</v>
      </c>
      <c r="C39" s="89">
        <f t="shared" si="0"/>
        <v>13</v>
      </c>
      <c r="D39" s="89"/>
      <c r="E39" s="100"/>
    </row>
    <row r="40" spans="1:5">
      <c r="A40" s="87">
        <v>45312.934525463</v>
      </c>
      <c r="B40" s="88">
        <v>45312.9552083333</v>
      </c>
      <c r="C40" s="89">
        <f t="shared" si="0"/>
        <v>22</v>
      </c>
      <c r="D40" s="89"/>
      <c r="E40" s="100"/>
    </row>
    <row r="41" spans="1:5">
      <c r="A41" s="87">
        <v>45310.5847916667</v>
      </c>
      <c r="B41" s="88">
        <v>45310.5996180556</v>
      </c>
      <c r="C41" s="89">
        <f t="shared" si="0"/>
        <v>14</v>
      </c>
      <c r="D41" s="89"/>
      <c r="E41" s="100"/>
    </row>
    <row r="42" spans="1:5">
      <c r="A42" s="87">
        <v>45304.5111342593</v>
      </c>
      <c r="B42" s="88">
        <v>45304.5286226852</v>
      </c>
      <c r="C42" s="89">
        <f t="shared" si="0"/>
        <v>12</v>
      </c>
      <c r="D42" s="89"/>
      <c r="E42" s="100"/>
    </row>
    <row r="43" spans="1:5">
      <c r="A43" s="87">
        <v>45302.6964583333</v>
      </c>
      <c r="B43" s="88">
        <v>45302.7001041667</v>
      </c>
      <c r="C43" s="89">
        <f t="shared" si="0"/>
        <v>16</v>
      </c>
      <c r="D43" s="89"/>
      <c r="E43" s="100"/>
    </row>
    <row r="44" spans="1:5">
      <c r="A44" s="87">
        <v>45301.4253009259</v>
      </c>
      <c r="B44" s="88">
        <v>45301.4417476852</v>
      </c>
      <c r="C44" s="89">
        <f t="shared" si="0"/>
        <v>10</v>
      </c>
      <c r="D44" s="89"/>
      <c r="E44" s="100"/>
    </row>
    <row r="45" spans="1:5">
      <c r="A45" s="87">
        <v>45301.5193287037</v>
      </c>
      <c r="B45" s="88">
        <v>45301.5337615741</v>
      </c>
      <c r="C45" s="89">
        <f t="shared" si="0"/>
        <v>12</v>
      </c>
      <c r="D45" s="89"/>
      <c r="E45" s="100"/>
    </row>
    <row r="46" spans="1:5">
      <c r="A46" s="87">
        <v>45317.4875578704</v>
      </c>
      <c r="B46" s="88">
        <v>45317.4949768518</v>
      </c>
      <c r="C46" s="89">
        <f t="shared" si="0"/>
        <v>11</v>
      </c>
      <c r="D46" s="89"/>
      <c r="E46" s="100"/>
    </row>
    <row r="47" spans="1:5">
      <c r="A47" s="87">
        <v>45301.5772222222</v>
      </c>
      <c r="B47" s="88">
        <v>45301.581400463</v>
      </c>
      <c r="C47" s="89">
        <f t="shared" si="0"/>
        <v>13</v>
      </c>
      <c r="D47" s="89"/>
      <c r="E47" s="100"/>
    </row>
    <row r="48" spans="1:5">
      <c r="A48" s="87">
        <v>45305.5317592593</v>
      </c>
      <c r="B48" s="88">
        <v>45305.5415509259</v>
      </c>
      <c r="C48" s="89">
        <f t="shared" si="0"/>
        <v>12</v>
      </c>
      <c r="D48" s="89"/>
      <c r="E48" s="100"/>
    </row>
    <row r="49" spans="1:5">
      <c r="A49" s="87">
        <v>45316.4093402778</v>
      </c>
      <c r="B49" s="88">
        <v>45316.4152199074</v>
      </c>
      <c r="C49" s="89">
        <f t="shared" si="0"/>
        <v>9</v>
      </c>
      <c r="D49" s="89"/>
      <c r="E49" s="100"/>
    </row>
    <row r="50" spans="1:5">
      <c r="A50" s="87">
        <v>45296.8628819444</v>
      </c>
      <c r="B50" s="88">
        <v>45296.8768171296</v>
      </c>
      <c r="C50" s="89">
        <f t="shared" si="0"/>
        <v>20</v>
      </c>
      <c r="D50" s="89"/>
      <c r="E50" s="100"/>
    </row>
    <row r="51" spans="1:5">
      <c r="A51" s="87">
        <v>45319.8946296296</v>
      </c>
      <c r="B51" s="88">
        <v>45319.9131365741</v>
      </c>
      <c r="C51" s="89">
        <f t="shared" si="0"/>
        <v>21</v>
      </c>
      <c r="D51" s="89"/>
      <c r="E51" s="100"/>
    </row>
    <row r="52" spans="1:5">
      <c r="A52" s="87">
        <v>45299.5981481482</v>
      </c>
      <c r="B52" s="88">
        <v>45299.6116435185</v>
      </c>
      <c r="C52" s="89">
        <f t="shared" si="0"/>
        <v>14</v>
      </c>
      <c r="D52" s="89"/>
      <c r="E52" s="100"/>
    </row>
    <row r="53" spans="1:5">
      <c r="A53" s="87">
        <v>45298.3516898148</v>
      </c>
      <c r="B53" s="88">
        <v>45298.3602199074</v>
      </c>
      <c r="C53" s="89">
        <f t="shared" si="0"/>
        <v>8</v>
      </c>
      <c r="D53" s="89"/>
      <c r="E53" s="100"/>
    </row>
    <row r="54" spans="1:5">
      <c r="A54" s="87">
        <v>45310.2881481481</v>
      </c>
      <c r="B54" s="88">
        <v>45310.3069791667</v>
      </c>
      <c r="C54" s="89">
        <f t="shared" si="0"/>
        <v>6</v>
      </c>
      <c r="D54" s="89"/>
      <c r="E54" s="100"/>
    </row>
    <row r="55" spans="1:5">
      <c r="A55" s="87">
        <v>45304.8158217593</v>
      </c>
      <c r="B55" s="88">
        <v>45304.8339236111</v>
      </c>
      <c r="C55" s="89">
        <f t="shared" si="0"/>
        <v>19</v>
      </c>
      <c r="D55" s="89"/>
      <c r="E55" s="100"/>
    </row>
    <row r="56" spans="1:5">
      <c r="A56" s="87">
        <v>45302.7820601852</v>
      </c>
      <c r="B56" s="88">
        <v>45302.8026736111</v>
      </c>
      <c r="C56" s="89">
        <f t="shared" si="0"/>
        <v>18</v>
      </c>
      <c r="D56" s="89"/>
      <c r="E56" s="100"/>
    </row>
    <row r="57" spans="1:5">
      <c r="A57" s="87">
        <v>45294.7978587963</v>
      </c>
      <c r="B57" s="88">
        <v>45294.8094907407</v>
      </c>
      <c r="C57" s="89">
        <f t="shared" si="0"/>
        <v>19</v>
      </c>
      <c r="D57" s="89"/>
      <c r="E57" s="100"/>
    </row>
    <row r="58" spans="1:5">
      <c r="A58" s="87">
        <v>45302.7623611111</v>
      </c>
      <c r="B58" s="88">
        <v>45302.7827662037</v>
      </c>
      <c r="C58" s="89">
        <f t="shared" si="0"/>
        <v>18</v>
      </c>
      <c r="D58" s="89"/>
      <c r="E58" s="100"/>
    </row>
    <row r="59" spans="1:5">
      <c r="A59" s="87">
        <v>45299.3678356481</v>
      </c>
      <c r="B59" s="88">
        <v>45299.3694791667</v>
      </c>
      <c r="C59" s="89">
        <f t="shared" si="0"/>
        <v>8</v>
      </c>
      <c r="D59" s="89"/>
      <c r="E59" s="100"/>
    </row>
    <row r="60" spans="1:5">
      <c r="A60" s="87">
        <v>45307.400150463</v>
      </c>
      <c r="B60" s="88">
        <v>45307.4118634259</v>
      </c>
      <c r="C60" s="89">
        <f t="shared" si="0"/>
        <v>9</v>
      </c>
      <c r="D60" s="89"/>
      <c r="E60" s="100"/>
    </row>
    <row r="61" spans="1:5">
      <c r="A61" s="87">
        <v>45295.4715972222</v>
      </c>
      <c r="B61" s="88">
        <v>45295.4860069444</v>
      </c>
      <c r="C61" s="89">
        <f t="shared" si="0"/>
        <v>11</v>
      </c>
      <c r="D61" s="89"/>
      <c r="E61" s="100"/>
    </row>
    <row r="62" spans="1:5">
      <c r="A62" s="87">
        <v>45310.5463425926</v>
      </c>
      <c r="B62" s="88">
        <v>45310.5653472222</v>
      </c>
      <c r="C62" s="89">
        <f t="shared" si="0"/>
        <v>13</v>
      </c>
      <c r="D62" s="89"/>
      <c r="E62" s="100"/>
    </row>
    <row r="63" spans="1:5">
      <c r="A63" s="87">
        <v>45305.7114814815</v>
      </c>
      <c r="B63" s="88">
        <v>45305.7275231481</v>
      </c>
      <c r="C63" s="89">
        <f t="shared" si="0"/>
        <v>17</v>
      </c>
      <c r="D63" s="89"/>
      <c r="E63" s="100"/>
    </row>
    <row r="64" spans="1:5">
      <c r="A64" s="87">
        <v>45306.4355439815</v>
      </c>
      <c r="B64" s="88">
        <v>45306.4536226852</v>
      </c>
      <c r="C64" s="89">
        <f t="shared" si="0"/>
        <v>10</v>
      </c>
      <c r="D64" s="89"/>
      <c r="E64" s="100"/>
    </row>
    <row r="65" spans="1:5">
      <c r="A65" s="87">
        <v>45300.7043402778</v>
      </c>
      <c r="B65" s="88">
        <v>45300.7247222222</v>
      </c>
      <c r="C65" s="89">
        <f t="shared" si="0"/>
        <v>16</v>
      </c>
      <c r="D65" s="89"/>
      <c r="E65" s="100"/>
    </row>
    <row r="66" spans="1:5">
      <c r="A66" s="87">
        <v>45313.7645949074</v>
      </c>
      <c r="B66" s="88">
        <v>45313.7770023148</v>
      </c>
      <c r="C66" s="89">
        <f t="shared" si="0"/>
        <v>18</v>
      </c>
      <c r="D66" s="89"/>
      <c r="E66" s="100"/>
    </row>
    <row r="67" spans="1:5">
      <c r="A67" s="87">
        <v>45300.6076388889</v>
      </c>
      <c r="B67" s="88">
        <v>45300.6205787037</v>
      </c>
      <c r="C67" s="89">
        <f t="shared" ref="C67:C130" si="1">HOUR(A67)</f>
        <v>14</v>
      </c>
      <c r="D67" s="89"/>
      <c r="E67" s="100"/>
    </row>
    <row r="68" spans="1:5">
      <c r="A68" s="87">
        <v>45299.9039930556</v>
      </c>
      <c r="B68" s="88">
        <v>45299.9163194444</v>
      </c>
      <c r="C68" s="89">
        <f t="shared" si="1"/>
        <v>21</v>
      </c>
      <c r="D68" s="89"/>
      <c r="E68" s="100"/>
    </row>
    <row r="69" spans="1:5">
      <c r="A69" s="87">
        <v>45310.7295717593</v>
      </c>
      <c r="B69" s="88">
        <v>45310.7428472222</v>
      </c>
      <c r="C69" s="89">
        <f t="shared" si="1"/>
        <v>17</v>
      </c>
      <c r="D69" s="89"/>
      <c r="E69" s="100"/>
    </row>
    <row r="70" spans="1:5">
      <c r="A70" s="87">
        <v>45300.5470601852</v>
      </c>
      <c r="B70" s="88">
        <v>45300.5523148148</v>
      </c>
      <c r="C70" s="89">
        <f t="shared" si="1"/>
        <v>13</v>
      </c>
      <c r="D70" s="89"/>
      <c r="E70" s="100"/>
    </row>
    <row r="71" spans="1:5">
      <c r="A71" s="87">
        <v>45316.9432638889</v>
      </c>
      <c r="B71" s="88">
        <v>45316.9463310185</v>
      </c>
      <c r="C71" s="89">
        <f t="shared" si="1"/>
        <v>22</v>
      </c>
      <c r="D71" s="89"/>
      <c r="E71" s="100"/>
    </row>
    <row r="72" spans="1:5">
      <c r="A72" s="87">
        <v>45300.2941550926</v>
      </c>
      <c r="B72" s="88">
        <v>45300.3017708333</v>
      </c>
      <c r="C72" s="89">
        <f t="shared" si="1"/>
        <v>7</v>
      </c>
      <c r="D72" s="89"/>
      <c r="E72" s="100"/>
    </row>
    <row r="73" spans="1:5">
      <c r="A73" s="87">
        <v>45306.6743402778</v>
      </c>
      <c r="B73" s="88">
        <v>45306.6810185185</v>
      </c>
      <c r="C73" s="89">
        <f t="shared" si="1"/>
        <v>16</v>
      </c>
      <c r="D73" s="89"/>
      <c r="E73" s="100"/>
    </row>
    <row r="74" spans="1:5">
      <c r="A74" s="87">
        <v>45313.2980208333</v>
      </c>
      <c r="B74" s="88">
        <v>45313.3179398148</v>
      </c>
      <c r="C74" s="89">
        <f t="shared" si="1"/>
        <v>7</v>
      </c>
      <c r="D74" s="89"/>
      <c r="E74" s="100"/>
    </row>
    <row r="75" spans="1:5">
      <c r="A75" s="87">
        <v>45311.5760763889</v>
      </c>
      <c r="B75" s="88">
        <v>45311.585787037</v>
      </c>
      <c r="C75" s="89">
        <f t="shared" si="1"/>
        <v>13</v>
      </c>
      <c r="D75" s="89"/>
      <c r="E75" s="100"/>
    </row>
    <row r="76" spans="1:5">
      <c r="A76" s="87">
        <v>45311.3192939815</v>
      </c>
      <c r="B76" s="88">
        <v>45311.322337963</v>
      </c>
      <c r="C76" s="89">
        <f t="shared" si="1"/>
        <v>7</v>
      </c>
      <c r="D76" s="89"/>
      <c r="E76" s="100"/>
    </row>
    <row r="77" spans="1:5">
      <c r="A77" s="87">
        <v>45297.2683796296</v>
      </c>
      <c r="B77" s="88">
        <v>45297.2854050926</v>
      </c>
      <c r="C77" s="89">
        <f t="shared" si="1"/>
        <v>6</v>
      </c>
      <c r="D77" s="89"/>
      <c r="E77" s="100"/>
    </row>
    <row r="78" spans="1:5">
      <c r="A78" s="87">
        <v>45319.8366087963</v>
      </c>
      <c r="B78" s="88">
        <v>45319.8428356481</v>
      </c>
      <c r="C78" s="89">
        <f t="shared" si="1"/>
        <v>20</v>
      </c>
      <c r="D78" s="89"/>
      <c r="E78" s="100"/>
    </row>
    <row r="79" spans="1:5">
      <c r="A79" s="87">
        <v>45300.4194791667</v>
      </c>
      <c r="B79" s="88">
        <v>45300.4240972222</v>
      </c>
      <c r="C79" s="89">
        <f t="shared" si="1"/>
        <v>10</v>
      </c>
      <c r="D79" s="89"/>
      <c r="E79" s="100"/>
    </row>
    <row r="80" spans="1:5">
      <c r="A80" s="87">
        <v>45300.9406365741</v>
      </c>
      <c r="B80" s="88">
        <v>45300.9517013889</v>
      </c>
      <c r="C80" s="89">
        <f t="shared" si="1"/>
        <v>22</v>
      </c>
      <c r="D80" s="89"/>
      <c r="E80" s="100"/>
    </row>
    <row r="81" spans="1:5">
      <c r="A81" s="87">
        <v>45292.3435532407</v>
      </c>
      <c r="B81" s="88">
        <v>45292.3640625</v>
      </c>
      <c r="C81" s="89">
        <f t="shared" si="1"/>
        <v>8</v>
      </c>
      <c r="D81" s="89"/>
      <c r="E81" s="100"/>
    </row>
    <row r="82" spans="1:5">
      <c r="A82" s="87">
        <v>45316.4795486111</v>
      </c>
      <c r="B82" s="88">
        <v>45316.4956828704</v>
      </c>
      <c r="C82" s="89">
        <f t="shared" si="1"/>
        <v>11</v>
      </c>
      <c r="D82" s="89"/>
      <c r="E82" s="100"/>
    </row>
    <row r="83" spans="1:5">
      <c r="A83" s="87">
        <v>45307.7266319444</v>
      </c>
      <c r="B83" s="88">
        <v>45307.7349305556</v>
      </c>
      <c r="C83" s="89">
        <f t="shared" si="1"/>
        <v>17</v>
      </c>
      <c r="D83" s="89"/>
      <c r="E83" s="100"/>
    </row>
    <row r="84" spans="1:5">
      <c r="A84" s="87">
        <v>45304.3118634259</v>
      </c>
      <c r="B84" s="88">
        <v>45304.3200115741</v>
      </c>
      <c r="C84" s="89">
        <f t="shared" si="1"/>
        <v>7</v>
      </c>
      <c r="D84" s="89"/>
      <c r="E84" s="100"/>
    </row>
    <row r="85" spans="1:5">
      <c r="A85" s="87">
        <v>45319.8514236111</v>
      </c>
      <c r="B85" s="88">
        <v>45319.8565625</v>
      </c>
      <c r="C85" s="89">
        <f t="shared" si="1"/>
        <v>20</v>
      </c>
      <c r="D85" s="89"/>
      <c r="E85" s="100"/>
    </row>
    <row r="86" spans="1:5">
      <c r="A86" s="87">
        <v>45300.4578472222</v>
      </c>
      <c r="B86" s="88">
        <v>45300.4689236111</v>
      </c>
      <c r="C86" s="89">
        <f t="shared" si="1"/>
        <v>10</v>
      </c>
      <c r="D86" s="89"/>
      <c r="E86" s="100"/>
    </row>
    <row r="87" spans="1:5">
      <c r="A87" s="87">
        <v>45297.6493055556</v>
      </c>
      <c r="B87" s="88">
        <v>45297.6630902778</v>
      </c>
      <c r="C87" s="89">
        <f t="shared" si="1"/>
        <v>15</v>
      </c>
      <c r="D87" s="89"/>
      <c r="E87" s="100"/>
    </row>
    <row r="88" spans="1:5">
      <c r="A88" s="87">
        <v>45318.4388773148</v>
      </c>
      <c r="B88" s="88">
        <v>45318.4565509259</v>
      </c>
      <c r="C88" s="89">
        <f t="shared" si="1"/>
        <v>10</v>
      </c>
      <c r="D88" s="89"/>
      <c r="E88" s="100"/>
    </row>
    <row r="89" spans="1:5">
      <c r="A89" s="87">
        <v>45306.4334722222</v>
      </c>
      <c r="B89" s="88">
        <v>45306.4483680556</v>
      </c>
      <c r="C89" s="89">
        <f t="shared" si="1"/>
        <v>10</v>
      </c>
      <c r="D89" s="89"/>
      <c r="E89" s="100"/>
    </row>
    <row r="90" spans="1:5">
      <c r="A90" s="87">
        <v>45317.9290740741</v>
      </c>
      <c r="B90" s="88">
        <v>45317.9298263889</v>
      </c>
      <c r="C90" s="89">
        <f t="shared" si="1"/>
        <v>22</v>
      </c>
      <c r="D90" s="89"/>
      <c r="E90" s="100"/>
    </row>
    <row r="91" spans="1:5">
      <c r="A91" s="87">
        <v>45302.7708217593</v>
      </c>
      <c r="B91" s="88">
        <v>45302.7791435185</v>
      </c>
      <c r="C91" s="89">
        <f t="shared" si="1"/>
        <v>18</v>
      </c>
      <c r="D91" s="89"/>
      <c r="E91" s="100"/>
    </row>
    <row r="92" spans="1:5">
      <c r="A92" s="87">
        <v>45302.9069212963</v>
      </c>
      <c r="B92" s="88">
        <v>45302.9268402778</v>
      </c>
      <c r="C92" s="89">
        <f t="shared" si="1"/>
        <v>21</v>
      </c>
      <c r="D92" s="89"/>
      <c r="E92" s="100"/>
    </row>
    <row r="93" spans="1:5">
      <c r="A93" s="87">
        <v>45310.7049305556</v>
      </c>
      <c r="B93" s="88">
        <v>45310.7256481481</v>
      </c>
      <c r="C93" s="89">
        <f t="shared" si="1"/>
        <v>16</v>
      </c>
      <c r="D93" s="89"/>
      <c r="E93" s="100"/>
    </row>
    <row r="94" spans="1:5">
      <c r="A94" s="87">
        <v>45312.4197916667</v>
      </c>
      <c r="B94" s="88">
        <v>45312.4390046296</v>
      </c>
      <c r="C94" s="89">
        <f t="shared" si="1"/>
        <v>10</v>
      </c>
      <c r="D94" s="89"/>
      <c r="E94" s="100"/>
    </row>
    <row r="95" spans="1:5">
      <c r="A95" s="87">
        <v>45309.7643518519</v>
      </c>
      <c r="B95" s="88">
        <v>45309.7820717593</v>
      </c>
      <c r="C95" s="89">
        <f t="shared" si="1"/>
        <v>18</v>
      </c>
      <c r="D95" s="89"/>
      <c r="E95" s="100"/>
    </row>
    <row r="96" spans="1:5">
      <c r="A96" s="87">
        <v>45299.3521527778</v>
      </c>
      <c r="B96" s="88">
        <v>45299.3708680556</v>
      </c>
      <c r="C96" s="89">
        <f t="shared" si="1"/>
        <v>8</v>
      </c>
      <c r="D96" s="89"/>
      <c r="E96" s="100"/>
    </row>
    <row r="97" spans="1:5">
      <c r="A97" s="87">
        <v>45302.3044212963</v>
      </c>
      <c r="B97" s="88">
        <v>45302.3139930556</v>
      </c>
      <c r="C97" s="89">
        <f t="shared" si="1"/>
        <v>7</v>
      </c>
      <c r="D97" s="89"/>
      <c r="E97" s="100"/>
    </row>
    <row r="98" spans="1:5">
      <c r="A98" s="87">
        <v>45297.4660300926</v>
      </c>
      <c r="B98" s="88">
        <v>45297.4811689815</v>
      </c>
      <c r="C98" s="89">
        <f t="shared" si="1"/>
        <v>11</v>
      </c>
      <c r="D98" s="89"/>
      <c r="E98" s="100"/>
    </row>
    <row r="99" spans="1:5">
      <c r="A99" s="87">
        <v>45306.6036574074</v>
      </c>
      <c r="B99" s="88">
        <v>45306.620150463</v>
      </c>
      <c r="C99" s="89">
        <f t="shared" si="1"/>
        <v>14</v>
      </c>
      <c r="D99" s="89"/>
      <c r="E99" s="100"/>
    </row>
    <row r="100" spans="1:5">
      <c r="A100" s="87">
        <v>45303.6530902778</v>
      </c>
      <c r="B100" s="88">
        <v>45303.6701388889</v>
      </c>
      <c r="C100" s="89">
        <f t="shared" si="1"/>
        <v>15</v>
      </c>
      <c r="D100" s="89"/>
      <c r="E100" s="100"/>
    </row>
    <row r="101" spans="1:5">
      <c r="A101" s="87">
        <v>45299.7752546296</v>
      </c>
      <c r="B101" s="88">
        <v>45299.7895717593</v>
      </c>
      <c r="C101" s="89">
        <f t="shared" si="1"/>
        <v>18</v>
      </c>
      <c r="D101" s="89"/>
      <c r="E101" s="100"/>
    </row>
    <row r="102" spans="1:5">
      <c r="A102" s="87">
        <v>45319.3323842593</v>
      </c>
      <c r="B102" s="88">
        <v>45319.3507407407</v>
      </c>
      <c r="C102" s="89">
        <f t="shared" si="1"/>
        <v>7</v>
      </c>
      <c r="D102" s="89"/>
      <c r="E102" s="100"/>
    </row>
    <row r="103" spans="1:5">
      <c r="A103" s="87">
        <v>45298.61375</v>
      </c>
      <c r="B103" s="88">
        <v>45298.6315277778</v>
      </c>
      <c r="C103" s="89">
        <f t="shared" si="1"/>
        <v>14</v>
      </c>
      <c r="D103" s="89"/>
      <c r="E103" s="100"/>
    </row>
    <row r="104" spans="1:5">
      <c r="A104" s="87">
        <v>45303.4208101852</v>
      </c>
      <c r="B104" s="88">
        <v>45303.4284953704</v>
      </c>
      <c r="C104" s="89">
        <f t="shared" si="1"/>
        <v>10</v>
      </c>
      <c r="D104" s="89"/>
      <c r="E104" s="100"/>
    </row>
    <row r="105" spans="1:5">
      <c r="A105" s="87">
        <v>45308.9571412037</v>
      </c>
      <c r="B105" s="88">
        <v>45308.9775115741</v>
      </c>
      <c r="C105" s="89">
        <f t="shared" si="1"/>
        <v>22</v>
      </c>
      <c r="D105" s="89"/>
      <c r="E105" s="100"/>
    </row>
    <row r="106" spans="1:5">
      <c r="A106" s="87">
        <v>45295.8362152778</v>
      </c>
      <c r="B106" s="88">
        <v>45295.8547800926</v>
      </c>
      <c r="C106" s="89">
        <f t="shared" si="1"/>
        <v>20</v>
      </c>
      <c r="D106" s="89"/>
      <c r="E106" s="100"/>
    </row>
    <row r="107" spans="1:5">
      <c r="A107" s="87">
        <v>45309.3954050926</v>
      </c>
      <c r="B107" s="88">
        <v>45309.412037037</v>
      </c>
      <c r="C107" s="89">
        <f t="shared" si="1"/>
        <v>9</v>
      </c>
      <c r="D107" s="89"/>
      <c r="E107" s="100"/>
    </row>
    <row r="108" spans="1:5">
      <c r="A108" s="87">
        <v>45299.8761458333</v>
      </c>
      <c r="B108" s="88">
        <v>45299.8901388889</v>
      </c>
      <c r="C108" s="89">
        <f t="shared" si="1"/>
        <v>21</v>
      </c>
      <c r="D108" s="89"/>
      <c r="E108" s="100"/>
    </row>
    <row r="109" spans="1:5">
      <c r="A109" s="87">
        <v>45312.7966203704</v>
      </c>
      <c r="B109" s="88">
        <v>45312.7983796296</v>
      </c>
      <c r="C109" s="89">
        <f t="shared" si="1"/>
        <v>19</v>
      </c>
      <c r="D109" s="89"/>
      <c r="E109" s="100"/>
    </row>
    <row r="110" spans="1:5">
      <c r="A110" s="87">
        <v>45303.8179050926</v>
      </c>
      <c r="B110" s="88">
        <v>45303.8358217593</v>
      </c>
      <c r="C110" s="89">
        <f t="shared" si="1"/>
        <v>19</v>
      </c>
      <c r="D110" s="89"/>
      <c r="E110" s="100"/>
    </row>
    <row r="111" spans="1:5">
      <c r="A111" s="87">
        <v>45314.7176851852</v>
      </c>
      <c r="B111" s="88">
        <v>45314.728912037</v>
      </c>
      <c r="C111" s="89">
        <f t="shared" si="1"/>
        <v>17</v>
      </c>
      <c r="D111" s="89"/>
      <c r="E111" s="100"/>
    </row>
    <row r="112" spans="1:5">
      <c r="A112" s="87">
        <v>45293.7619444444</v>
      </c>
      <c r="B112" s="88">
        <v>45293.7655324074</v>
      </c>
      <c r="C112" s="89">
        <f t="shared" si="1"/>
        <v>18</v>
      </c>
      <c r="D112" s="89"/>
      <c r="E112" s="100"/>
    </row>
    <row r="113" spans="1:5">
      <c r="A113" s="87">
        <v>45317.6771759259</v>
      </c>
      <c r="B113" s="88">
        <v>45317.6965162037</v>
      </c>
      <c r="C113" s="89">
        <f t="shared" si="1"/>
        <v>16</v>
      </c>
      <c r="D113" s="89"/>
      <c r="E113" s="100"/>
    </row>
    <row r="114" spans="1:5">
      <c r="A114" s="87">
        <v>45302.4520486111</v>
      </c>
      <c r="B114" s="88">
        <v>45302.4668634259</v>
      </c>
      <c r="C114" s="89">
        <f t="shared" si="1"/>
        <v>10</v>
      </c>
      <c r="D114" s="89"/>
      <c r="E114" s="100"/>
    </row>
    <row r="115" spans="1:5">
      <c r="A115" s="87">
        <v>45313.2555555556</v>
      </c>
      <c r="B115" s="88">
        <v>45313.2647337963</v>
      </c>
      <c r="C115" s="89">
        <f t="shared" si="1"/>
        <v>6</v>
      </c>
      <c r="D115" s="89"/>
      <c r="E115" s="100"/>
    </row>
    <row r="116" spans="1:5">
      <c r="A116" s="87">
        <v>45308.4076851852</v>
      </c>
      <c r="B116" s="88">
        <v>45308.4196643519</v>
      </c>
      <c r="C116" s="89">
        <f t="shared" si="1"/>
        <v>9</v>
      </c>
      <c r="D116" s="89"/>
      <c r="E116" s="100"/>
    </row>
    <row r="117" spans="1:5">
      <c r="A117" s="87">
        <v>45315.9301967593</v>
      </c>
      <c r="B117" s="88">
        <v>45315.9461342593</v>
      </c>
      <c r="C117" s="89">
        <f t="shared" si="1"/>
        <v>22</v>
      </c>
      <c r="D117" s="89"/>
      <c r="E117" s="100"/>
    </row>
    <row r="118" spans="1:5">
      <c r="A118" s="87">
        <v>45314.8367708333</v>
      </c>
      <c r="B118" s="88">
        <v>45314.839375</v>
      </c>
      <c r="C118" s="89">
        <f t="shared" si="1"/>
        <v>20</v>
      </c>
      <c r="D118" s="89"/>
      <c r="E118" s="100"/>
    </row>
    <row r="119" spans="1:5">
      <c r="A119" s="87">
        <v>45314.6837731482</v>
      </c>
      <c r="B119" s="88">
        <v>45314.697037037</v>
      </c>
      <c r="C119" s="89">
        <f t="shared" si="1"/>
        <v>16</v>
      </c>
      <c r="D119" s="89"/>
      <c r="E119" s="100"/>
    </row>
    <row r="120" spans="1:5">
      <c r="A120" s="87">
        <v>45312.5190740741</v>
      </c>
      <c r="B120" s="88">
        <v>45312.5251736111</v>
      </c>
      <c r="C120" s="89">
        <f t="shared" si="1"/>
        <v>12</v>
      </c>
      <c r="D120" s="89"/>
      <c r="E120" s="100"/>
    </row>
    <row r="121" spans="1:5">
      <c r="A121" s="87">
        <v>45305.6960185185</v>
      </c>
      <c r="B121" s="88">
        <v>45305.7055787037</v>
      </c>
      <c r="C121" s="89">
        <f t="shared" si="1"/>
        <v>16</v>
      </c>
      <c r="D121" s="89"/>
      <c r="E121" s="100"/>
    </row>
    <row r="122" spans="1:5">
      <c r="A122" s="87">
        <v>45295.7438425926</v>
      </c>
      <c r="B122" s="88">
        <v>45295.7577199074</v>
      </c>
      <c r="C122" s="89">
        <f t="shared" si="1"/>
        <v>17</v>
      </c>
      <c r="D122" s="89"/>
      <c r="E122" s="100"/>
    </row>
    <row r="123" spans="1:5">
      <c r="A123" s="87">
        <v>45305.3046064815</v>
      </c>
      <c r="B123" s="88">
        <v>45305.3126967593</v>
      </c>
      <c r="C123" s="89">
        <f t="shared" si="1"/>
        <v>7</v>
      </c>
      <c r="D123" s="89"/>
      <c r="E123" s="100"/>
    </row>
    <row r="124" spans="1:5">
      <c r="A124" s="87">
        <v>45295.7462384259</v>
      </c>
      <c r="B124" s="88">
        <v>45295.7556365741</v>
      </c>
      <c r="C124" s="89">
        <f t="shared" si="1"/>
        <v>17</v>
      </c>
      <c r="D124" s="89"/>
      <c r="E124" s="100"/>
    </row>
    <row r="125" spans="1:5">
      <c r="A125" s="87">
        <v>45313.2770717593</v>
      </c>
      <c r="B125" s="88">
        <v>45313.2933564815</v>
      </c>
      <c r="C125" s="89">
        <f t="shared" si="1"/>
        <v>6</v>
      </c>
      <c r="D125" s="89"/>
      <c r="E125" s="100"/>
    </row>
    <row r="126" spans="1:5">
      <c r="A126" s="87">
        <v>45302.7084606482</v>
      </c>
      <c r="B126" s="88">
        <v>45302.7125462963</v>
      </c>
      <c r="C126" s="89">
        <f t="shared" si="1"/>
        <v>17</v>
      </c>
      <c r="D126" s="89"/>
      <c r="E126" s="100"/>
    </row>
    <row r="127" spans="1:5">
      <c r="A127" s="87">
        <v>45315.9259722222</v>
      </c>
      <c r="B127" s="88">
        <v>45315.9366087963</v>
      </c>
      <c r="C127" s="89">
        <f t="shared" si="1"/>
        <v>22</v>
      </c>
      <c r="D127" s="89"/>
      <c r="E127" s="100"/>
    </row>
    <row r="128" spans="1:5">
      <c r="A128" s="87">
        <v>45310.3722569444</v>
      </c>
      <c r="B128" s="88">
        <v>45310.3766319444</v>
      </c>
      <c r="C128" s="89">
        <f t="shared" si="1"/>
        <v>8</v>
      </c>
      <c r="D128" s="89"/>
      <c r="E128" s="100"/>
    </row>
    <row r="129" spans="1:5">
      <c r="A129" s="87">
        <v>45311.8515856481</v>
      </c>
      <c r="B129" s="88">
        <v>45311.8573842593</v>
      </c>
      <c r="C129" s="89">
        <f t="shared" si="1"/>
        <v>20</v>
      </c>
      <c r="D129" s="89"/>
      <c r="E129" s="100"/>
    </row>
    <row r="130" spans="1:5">
      <c r="A130" s="87">
        <v>45308.6265509259</v>
      </c>
      <c r="B130" s="88">
        <v>45308.6366087963</v>
      </c>
      <c r="C130" s="89">
        <f t="shared" si="1"/>
        <v>15</v>
      </c>
      <c r="D130" s="89"/>
      <c r="E130" s="100"/>
    </row>
    <row r="131" spans="1:5">
      <c r="A131" s="87">
        <v>45300.6389699074</v>
      </c>
      <c r="B131" s="88">
        <v>45300.639837963</v>
      </c>
      <c r="C131" s="89">
        <f t="shared" ref="C131:C194" si="2">HOUR(A131)</f>
        <v>15</v>
      </c>
      <c r="D131" s="89"/>
      <c r="E131" s="100"/>
    </row>
    <row r="132" spans="1:5">
      <c r="A132" s="87">
        <v>45308.711400463</v>
      </c>
      <c r="B132" s="88">
        <v>45308.7296759259</v>
      </c>
      <c r="C132" s="89">
        <f t="shared" si="2"/>
        <v>17</v>
      </c>
      <c r="D132" s="89"/>
      <c r="E132" s="100"/>
    </row>
    <row r="133" spans="1:5">
      <c r="A133" s="87">
        <v>45305.781712963</v>
      </c>
      <c r="B133" s="88">
        <v>45305.7923032407</v>
      </c>
      <c r="C133" s="89">
        <f t="shared" si="2"/>
        <v>18</v>
      </c>
      <c r="D133" s="89"/>
      <c r="E133" s="100"/>
    </row>
    <row r="134" spans="1:5">
      <c r="A134" s="87">
        <v>45311.8706481481</v>
      </c>
      <c r="B134" s="88">
        <v>45311.8799189815</v>
      </c>
      <c r="C134" s="89">
        <f t="shared" si="2"/>
        <v>20</v>
      </c>
      <c r="D134" s="89"/>
      <c r="E134" s="100"/>
    </row>
    <row r="135" spans="1:5">
      <c r="A135" s="87">
        <v>45294.7884143519</v>
      </c>
      <c r="B135" s="88">
        <v>45294.8067824074</v>
      </c>
      <c r="C135" s="89">
        <f t="shared" si="2"/>
        <v>18</v>
      </c>
      <c r="D135" s="89"/>
      <c r="E135" s="100"/>
    </row>
    <row r="136" spans="1:5">
      <c r="A136" s="87">
        <v>45298.7241435185</v>
      </c>
      <c r="B136" s="88">
        <v>45298.7442476852</v>
      </c>
      <c r="C136" s="89">
        <f t="shared" si="2"/>
        <v>17</v>
      </c>
      <c r="D136" s="89"/>
      <c r="E136" s="100"/>
    </row>
    <row r="137" spans="1:5">
      <c r="A137" s="87">
        <v>45296.3415393519</v>
      </c>
      <c r="B137" s="88">
        <v>45296.3571180556</v>
      </c>
      <c r="C137" s="89">
        <f t="shared" si="2"/>
        <v>8</v>
      </c>
      <c r="D137" s="89"/>
      <c r="E137" s="100"/>
    </row>
    <row r="138" spans="1:5">
      <c r="A138" s="87">
        <v>45312.7053240741</v>
      </c>
      <c r="B138" s="88">
        <v>45312.7135069444</v>
      </c>
      <c r="C138" s="89">
        <f t="shared" si="2"/>
        <v>16</v>
      </c>
      <c r="D138" s="89"/>
      <c r="E138" s="100"/>
    </row>
    <row r="139" spans="1:5">
      <c r="A139" s="87">
        <v>45300.3073148148</v>
      </c>
      <c r="B139" s="88">
        <v>45300.3097569444</v>
      </c>
      <c r="C139" s="89">
        <f t="shared" si="2"/>
        <v>7</v>
      </c>
      <c r="D139" s="89"/>
      <c r="E139" s="100"/>
    </row>
    <row r="140" spans="1:5">
      <c r="A140" s="87">
        <v>45319.3608564815</v>
      </c>
      <c r="B140" s="88">
        <v>45319.3735648148</v>
      </c>
      <c r="C140" s="89">
        <f t="shared" si="2"/>
        <v>8</v>
      </c>
      <c r="D140" s="89"/>
      <c r="E140" s="100"/>
    </row>
    <row r="141" spans="1:5">
      <c r="A141" s="87">
        <v>45298.6934027778</v>
      </c>
      <c r="B141" s="88">
        <v>45298.7059722222</v>
      </c>
      <c r="C141" s="89">
        <f t="shared" si="2"/>
        <v>16</v>
      </c>
      <c r="D141" s="89"/>
      <c r="E141" s="100"/>
    </row>
    <row r="142" spans="1:5">
      <c r="A142" s="87">
        <v>45294.9452662037</v>
      </c>
      <c r="B142" s="88">
        <v>45294.9468865741</v>
      </c>
      <c r="C142" s="89">
        <f t="shared" si="2"/>
        <v>22</v>
      </c>
      <c r="D142" s="89"/>
      <c r="E142" s="100"/>
    </row>
    <row r="143" spans="1:5">
      <c r="A143" s="87">
        <v>45303.6419675926</v>
      </c>
      <c r="B143" s="88">
        <v>45303.6610185185</v>
      </c>
      <c r="C143" s="89">
        <f t="shared" si="2"/>
        <v>15</v>
      </c>
      <c r="D143" s="89"/>
      <c r="E143" s="100"/>
    </row>
    <row r="144" spans="1:5">
      <c r="A144" s="87">
        <v>45295.7626851852</v>
      </c>
      <c r="B144" s="88">
        <v>45295.7805324074</v>
      </c>
      <c r="C144" s="89">
        <f t="shared" si="2"/>
        <v>18</v>
      </c>
      <c r="D144" s="89"/>
      <c r="E144" s="100"/>
    </row>
    <row r="145" spans="1:5">
      <c r="A145" s="87">
        <v>45312.7559953704</v>
      </c>
      <c r="B145" s="88">
        <v>45312.7734837963</v>
      </c>
      <c r="C145" s="89">
        <f t="shared" si="2"/>
        <v>18</v>
      </c>
      <c r="D145" s="89"/>
      <c r="E145" s="100"/>
    </row>
    <row r="146" spans="1:5">
      <c r="A146" s="87">
        <v>45314.9206134259</v>
      </c>
      <c r="B146" s="88">
        <v>45314.9371990741</v>
      </c>
      <c r="C146" s="89">
        <f t="shared" si="2"/>
        <v>22</v>
      </c>
      <c r="D146" s="89"/>
      <c r="E146" s="100"/>
    </row>
    <row r="147" spans="1:5">
      <c r="A147" s="87">
        <v>45302.8834953704</v>
      </c>
      <c r="B147" s="88">
        <v>45302.8874421296</v>
      </c>
      <c r="C147" s="89">
        <f t="shared" si="2"/>
        <v>21</v>
      </c>
      <c r="D147" s="89"/>
      <c r="E147" s="100"/>
    </row>
    <row r="148" spans="1:5">
      <c r="A148" s="87">
        <v>45315.9185416667</v>
      </c>
      <c r="B148" s="88">
        <v>45315.9272106482</v>
      </c>
      <c r="C148" s="89">
        <f t="shared" si="2"/>
        <v>22</v>
      </c>
      <c r="D148" s="89"/>
      <c r="E148" s="100"/>
    </row>
    <row r="149" spans="1:5">
      <c r="A149" s="87">
        <v>45297.8350231481</v>
      </c>
      <c r="B149" s="88">
        <v>45297.8443518519</v>
      </c>
      <c r="C149" s="89">
        <f t="shared" si="2"/>
        <v>20</v>
      </c>
      <c r="D149" s="89"/>
      <c r="E149" s="100"/>
    </row>
    <row r="150" spans="1:5">
      <c r="A150" s="87">
        <v>45299.6609953704</v>
      </c>
      <c r="B150" s="88">
        <v>45299.6728009259</v>
      </c>
      <c r="C150" s="89">
        <f t="shared" si="2"/>
        <v>15</v>
      </c>
      <c r="D150" s="89"/>
      <c r="E150" s="100"/>
    </row>
    <row r="151" spans="1:5">
      <c r="A151" s="87">
        <v>45308.799212963</v>
      </c>
      <c r="B151" s="88">
        <v>45308.8046296296</v>
      </c>
      <c r="C151" s="89">
        <f t="shared" si="2"/>
        <v>19</v>
      </c>
      <c r="D151" s="89"/>
      <c r="E151" s="100"/>
    </row>
    <row r="152" spans="1:5">
      <c r="A152" s="87">
        <v>45295.9542476852</v>
      </c>
      <c r="B152" s="88">
        <v>45295.9616898148</v>
      </c>
      <c r="C152" s="89">
        <f t="shared" si="2"/>
        <v>22</v>
      </c>
      <c r="D152" s="89"/>
      <c r="E152" s="100"/>
    </row>
    <row r="153" spans="1:5">
      <c r="A153" s="87">
        <v>45305.3737731481</v>
      </c>
      <c r="B153" s="88">
        <v>45305.3938194444</v>
      </c>
      <c r="C153" s="89">
        <f t="shared" si="2"/>
        <v>8</v>
      </c>
      <c r="D153" s="89"/>
      <c r="E153" s="100"/>
    </row>
    <row r="154" spans="1:5">
      <c r="A154" s="87">
        <v>45294.7180671296</v>
      </c>
      <c r="B154" s="88">
        <v>45294.7263078704</v>
      </c>
      <c r="C154" s="89">
        <f t="shared" si="2"/>
        <v>17</v>
      </c>
      <c r="D154" s="89"/>
      <c r="E154" s="100"/>
    </row>
    <row r="155" spans="1:5">
      <c r="A155" s="87">
        <v>45316.8948958333</v>
      </c>
      <c r="B155" s="88">
        <v>45316.8957060185</v>
      </c>
      <c r="C155" s="89">
        <f t="shared" si="2"/>
        <v>21</v>
      </c>
      <c r="D155" s="89"/>
      <c r="E155" s="100"/>
    </row>
    <row r="156" spans="1:5">
      <c r="A156" s="87">
        <v>45311.9354976852</v>
      </c>
      <c r="B156" s="88">
        <v>45311.9545833333</v>
      </c>
      <c r="C156" s="89">
        <f t="shared" si="2"/>
        <v>22</v>
      </c>
      <c r="D156" s="89"/>
      <c r="E156" s="100"/>
    </row>
    <row r="157" spans="1:5">
      <c r="A157" s="87">
        <v>45306.3388078704</v>
      </c>
      <c r="B157" s="88">
        <v>45306.3513425926</v>
      </c>
      <c r="C157" s="89">
        <f t="shared" si="2"/>
        <v>8</v>
      </c>
      <c r="D157" s="89"/>
      <c r="E157" s="100"/>
    </row>
    <row r="158" spans="1:5">
      <c r="A158" s="87">
        <v>45299.7997916667</v>
      </c>
      <c r="B158" s="88">
        <v>45299.8163194444</v>
      </c>
      <c r="C158" s="89">
        <f t="shared" si="2"/>
        <v>19</v>
      </c>
      <c r="D158" s="89"/>
      <c r="E158" s="100"/>
    </row>
    <row r="159" spans="1:5">
      <c r="A159" s="87">
        <v>45317.9409837963</v>
      </c>
      <c r="B159" s="88">
        <v>45317.9509259259</v>
      </c>
      <c r="C159" s="89">
        <f t="shared" si="2"/>
        <v>22</v>
      </c>
      <c r="D159" s="89"/>
      <c r="E159" s="100"/>
    </row>
    <row r="160" spans="1:5">
      <c r="A160" s="87">
        <v>45317.3487847222</v>
      </c>
      <c r="B160" s="88">
        <v>45317.3668518519</v>
      </c>
      <c r="C160" s="89">
        <f t="shared" si="2"/>
        <v>8</v>
      </c>
      <c r="D160" s="89"/>
      <c r="E160" s="100"/>
    </row>
    <row r="161" spans="1:5">
      <c r="A161" s="87">
        <v>45297.8642361111</v>
      </c>
      <c r="B161" s="88">
        <v>45297.8798958333</v>
      </c>
      <c r="C161" s="89">
        <f t="shared" si="2"/>
        <v>20</v>
      </c>
      <c r="D161" s="89"/>
      <c r="E161" s="100"/>
    </row>
    <row r="162" spans="1:5">
      <c r="A162" s="87">
        <v>45301.5019675926</v>
      </c>
      <c r="B162" s="88">
        <v>45301.5073842593</v>
      </c>
      <c r="C162" s="89">
        <f t="shared" si="2"/>
        <v>12</v>
      </c>
      <c r="D162" s="89"/>
      <c r="E162" s="100"/>
    </row>
    <row r="163" spans="1:5">
      <c r="A163" s="87">
        <v>45300.325474537</v>
      </c>
      <c r="B163" s="88">
        <v>45300.3306944444</v>
      </c>
      <c r="C163" s="89">
        <f t="shared" si="2"/>
        <v>7</v>
      </c>
      <c r="D163" s="89"/>
      <c r="E163" s="100"/>
    </row>
    <row r="164" spans="1:5">
      <c r="A164" s="87">
        <v>45303.8308449074</v>
      </c>
      <c r="B164" s="88">
        <v>45303.8491550926</v>
      </c>
      <c r="C164" s="89">
        <f t="shared" si="2"/>
        <v>19</v>
      </c>
      <c r="D164" s="89"/>
      <c r="E164" s="100"/>
    </row>
    <row r="165" spans="1:5">
      <c r="A165" s="87">
        <v>45317.9290625</v>
      </c>
      <c r="B165" s="88">
        <v>45317.931712963</v>
      </c>
      <c r="C165" s="89">
        <f t="shared" si="2"/>
        <v>22</v>
      </c>
      <c r="D165" s="89"/>
      <c r="E165" s="100"/>
    </row>
    <row r="166" spans="1:5">
      <c r="A166" s="87">
        <v>45301.6708912037</v>
      </c>
      <c r="B166" s="88">
        <v>45301.6793518519</v>
      </c>
      <c r="C166" s="89">
        <f t="shared" si="2"/>
        <v>16</v>
      </c>
      <c r="D166" s="89"/>
      <c r="E166" s="100"/>
    </row>
    <row r="167" spans="1:5">
      <c r="A167" s="87">
        <v>45306.7278009259</v>
      </c>
      <c r="B167" s="88">
        <v>45306.7457175926</v>
      </c>
      <c r="C167" s="89">
        <f t="shared" si="2"/>
        <v>17</v>
      </c>
      <c r="D167" s="89"/>
      <c r="E167" s="100"/>
    </row>
    <row r="168" spans="1:5">
      <c r="A168" s="87">
        <v>45313.7663425926</v>
      </c>
      <c r="B168" s="88">
        <v>45313.7860185185</v>
      </c>
      <c r="C168" s="89">
        <f t="shared" si="2"/>
        <v>18</v>
      </c>
      <c r="D168" s="89"/>
      <c r="E168" s="100"/>
    </row>
    <row r="169" spans="1:5">
      <c r="A169" s="87">
        <v>45296.3443171296</v>
      </c>
      <c r="B169" s="88">
        <v>45296.3603009259</v>
      </c>
      <c r="C169" s="89">
        <f t="shared" si="2"/>
        <v>8</v>
      </c>
      <c r="D169" s="89"/>
      <c r="E169" s="100"/>
    </row>
    <row r="170" spans="1:5">
      <c r="A170" s="87">
        <v>45303.866712963</v>
      </c>
      <c r="B170" s="88">
        <v>45303.8810069444</v>
      </c>
      <c r="C170" s="89">
        <f t="shared" si="2"/>
        <v>20</v>
      </c>
      <c r="D170" s="89"/>
      <c r="E170" s="100"/>
    </row>
    <row r="171" spans="1:5">
      <c r="A171" s="87">
        <v>45295.2827662037</v>
      </c>
      <c r="B171" s="88">
        <v>45295.2952893519</v>
      </c>
      <c r="C171" s="89">
        <f t="shared" si="2"/>
        <v>6</v>
      </c>
      <c r="D171" s="89"/>
      <c r="E171" s="100"/>
    </row>
    <row r="172" spans="1:5">
      <c r="A172" s="87">
        <v>45298.6562268519</v>
      </c>
      <c r="B172" s="88">
        <v>45298.6685532407</v>
      </c>
      <c r="C172" s="89">
        <f t="shared" si="2"/>
        <v>15</v>
      </c>
      <c r="D172" s="89"/>
      <c r="E172" s="100"/>
    </row>
    <row r="173" spans="1:5">
      <c r="A173" s="87">
        <v>45294.696087963</v>
      </c>
      <c r="B173" s="88">
        <v>45294.713599537</v>
      </c>
      <c r="C173" s="89">
        <f t="shared" si="2"/>
        <v>16</v>
      </c>
      <c r="D173" s="89"/>
      <c r="E173" s="100"/>
    </row>
    <row r="174" spans="1:5">
      <c r="A174" s="87">
        <v>45314.4933217593</v>
      </c>
      <c r="B174" s="88">
        <v>45314.5060648148</v>
      </c>
      <c r="C174" s="89">
        <f t="shared" si="2"/>
        <v>11</v>
      </c>
      <c r="D174" s="89"/>
      <c r="E174" s="100"/>
    </row>
    <row r="175" spans="1:5">
      <c r="A175" s="87">
        <v>45310.7290625</v>
      </c>
      <c r="B175" s="88">
        <v>45310.7428240741</v>
      </c>
      <c r="C175" s="89">
        <f t="shared" si="2"/>
        <v>17</v>
      </c>
      <c r="D175" s="89"/>
      <c r="E175" s="100"/>
    </row>
    <row r="176" spans="1:5">
      <c r="A176" s="87">
        <v>45307.9352893519</v>
      </c>
      <c r="B176" s="88">
        <v>45307.9456828704</v>
      </c>
      <c r="C176" s="89">
        <f t="shared" si="2"/>
        <v>22</v>
      </c>
      <c r="D176" s="89"/>
      <c r="E176" s="100"/>
    </row>
    <row r="177" spans="1:5">
      <c r="A177" s="87">
        <v>45313.932037037</v>
      </c>
      <c r="B177" s="88">
        <v>45313.9523726852</v>
      </c>
      <c r="C177" s="89">
        <f t="shared" si="2"/>
        <v>22</v>
      </c>
      <c r="D177" s="89"/>
      <c r="E177" s="100"/>
    </row>
    <row r="178" spans="1:5">
      <c r="A178" s="87">
        <v>45295.9231365741</v>
      </c>
      <c r="B178" s="88">
        <v>45295.9277314815</v>
      </c>
      <c r="C178" s="89">
        <f t="shared" si="2"/>
        <v>22</v>
      </c>
      <c r="D178" s="89"/>
      <c r="E178" s="100"/>
    </row>
    <row r="179" spans="1:5">
      <c r="A179" s="87">
        <v>45301.3445833333</v>
      </c>
      <c r="B179" s="88">
        <v>45301.3603240741</v>
      </c>
      <c r="C179" s="89">
        <f t="shared" si="2"/>
        <v>8</v>
      </c>
      <c r="D179" s="89"/>
      <c r="E179" s="100"/>
    </row>
    <row r="180" spans="1:5">
      <c r="A180" s="87">
        <v>45308.4844560185</v>
      </c>
      <c r="B180" s="88">
        <v>45308.4887962963</v>
      </c>
      <c r="C180" s="89">
        <f t="shared" si="2"/>
        <v>11</v>
      </c>
      <c r="D180" s="89"/>
      <c r="E180" s="100"/>
    </row>
    <row r="181" spans="1:5">
      <c r="A181" s="87">
        <v>45316.6119560185</v>
      </c>
      <c r="B181" s="88">
        <v>45316.6308217593</v>
      </c>
      <c r="C181" s="89">
        <f t="shared" si="2"/>
        <v>14</v>
      </c>
      <c r="D181" s="89"/>
      <c r="E181" s="100"/>
    </row>
    <row r="182" spans="1:5">
      <c r="A182" s="87">
        <v>45312.6460069444</v>
      </c>
      <c r="B182" s="88">
        <v>45312.665775463</v>
      </c>
      <c r="C182" s="89">
        <f t="shared" si="2"/>
        <v>15</v>
      </c>
      <c r="D182" s="89"/>
      <c r="E182" s="100"/>
    </row>
    <row r="183" spans="1:5">
      <c r="A183" s="87">
        <v>45305.8952893519</v>
      </c>
      <c r="B183" s="88">
        <v>45305.9040393519</v>
      </c>
      <c r="C183" s="89">
        <f t="shared" si="2"/>
        <v>21</v>
      </c>
      <c r="D183" s="89"/>
      <c r="E183" s="100"/>
    </row>
    <row r="184" spans="1:5">
      <c r="A184" s="87">
        <v>45296.7309606482</v>
      </c>
      <c r="B184" s="88">
        <v>45296.7341666667</v>
      </c>
      <c r="C184" s="89">
        <f t="shared" si="2"/>
        <v>17</v>
      </c>
      <c r="D184" s="89"/>
      <c r="E184" s="100"/>
    </row>
    <row r="185" spans="1:5">
      <c r="A185" s="87">
        <v>45295.3044444444</v>
      </c>
      <c r="B185" s="88">
        <v>45295.3197222222</v>
      </c>
      <c r="C185" s="89">
        <f t="shared" si="2"/>
        <v>7</v>
      </c>
      <c r="D185" s="89"/>
      <c r="E185" s="100"/>
    </row>
    <row r="186" spans="1:5">
      <c r="A186" s="87">
        <v>45298.4802314815</v>
      </c>
      <c r="B186" s="88">
        <v>45298.4919907407</v>
      </c>
      <c r="C186" s="89">
        <f t="shared" si="2"/>
        <v>11</v>
      </c>
      <c r="D186" s="89"/>
      <c r="E186" s="100"/>
    </row>
    <row r="187" spans="1:5">
      <c r="A187" s="87">
        <v>45298.7104513889</v>
      </c>
      <c r="B187" s="88">
        <v>45298.7178125</v>
      </c>
      <c r="C187" s="89">
        <f t="shared" si="2"/>
        <v>17</v>
      </c>
      <c r="D187" s="89"/>
      <c r="E187" s="100"/>
    </row>
    <row r="188" spans="1:5">
      <c r="A188" s="87">
        <v>45296.6155439815</v>
      </c>
      <c r="B188" s="88">
        <v>45296.6343402778</v>
      </c>
      <c r="C188" s="89">
        <f t="shared" si="2"/>
        <v>14</v>
      </c>
      <c r="D188" s="89"/>
      <c r="E188" s="100"/>
    </row>
    <row r="189" spans="1:5">
      <c r="A189" s="87">
        <v>45301.3503703704</v>
      </c>
      <c r="B189" s="88">
        <v>45301.3617361111</v>
      </c>
      <c r="C189" s="89">
        <f t="shared" si="2"/>
        <v>8</v>
      </c>
      <c r="D189" s="89"/>
      <c r="E189" s="100"/>
    </row>
    <row r="190" spans="1:5">
      <c r="A190" s="87">
        <v>45317.6912384259</v>
      </c>
      <c r="B190" s="88">
        <v>45317.7098263889</v>
      </c>
      <c r="C190" s="89">
        <f t="shared" si="2"/>
        <v>16</v>
      </c>
      <c r="D190" s="89"/>
      <c r="E190" s="100"/>
    </row>
    <row r="191" spans="1:5">
      <c r="A191" s="87">
        <v>45317.8982523148</v>
      </c>
      <c r="B191" s="88">
        <v>45317.9024768519</v>
      </c>
      <c r="C191" s="89">
        <f t="shared" si="2"/>
        <v>21</v>
      </c>
      <c r="D191" s="89"/>
      <c r="E191" s="100"/>
    </row>
    <row r="192" spans="1:5">
      <c r="A192" s="87">
        <v>45315.6509375</v>
      </c>
      <c r="B192" s="88">
        <v>45315.6636458333</v>
      </c>
      <c r="C192" s="89">
        <f t="shared" si="2"/>
        <v>15</v>
      </c>
      <c r="D192" s="89"/>
      <c r="E192" s="100"/>
    </row>
    <row r="193" spans="1:5">
      <c r="A193" s="87">
        <v>45292.7234143519</v>
      </c>
      <c r="B193" s="88">
        <v>45292.7267013889</v>
      </c>
      <c r="C193" s="89">
        <f t="shared" si="2"/>
        <v>17</v>
      </c>
      <c r="D193" s="89"/>
      <c r="E193" s="100"/>
    </row>
    <row r="194" spans="1:5">
      <c r="A194" s="87">
        <v>45311.8865856481</v>
      </c>
      <c r="B194" s="88">
        <v>45311.9058333333</v>
      </c>
      <c r="C194" s="89">
        <f t="shared" si="2"/>
        <v>21</v>
      </c>
      <c r="D194" s="89"/>
      <c r="E194" s="100"/>
    </row>
    <row r="195" spans="1:5">
      <c r="A195" s="87">
        <v>45316.7568518519</v>
      </c>
      <c r="B195" s="88">
        <v>45316.7736805556</v>
      </c>
      <c r="C195" s="89">
        <f t="shared" ref="C195:C258" si="3">HOUR(A195)</f>
        <v>18</v>
      </c>
      <c r="D195" s="89"/>
      <c r="E195" s="100"/>
    </row>
    <row r="196" spans="1:5">
      <c r="A196" s="87">
        <v>45314.5184259259</v>
      </c>
      <c r="B196" s="88">
        <v>45314.5374884259</v>
      </c>
      <c r="C196" s="89">
        <f t="shared" si="3"/>
        <v>12</v>
      </c>
      <c r="D196" s="89"/>
      <c r="E196" s="100"/>
    </row>
    <row r="197" spans="1:5">
      <c r="A197" s="87">
        <v>45308.7640162037</v>
      </c>
      <c r="B197" s="88">
        <v>45308.7756018518</v>
      </c>
      <c r="C197" s="89">
        <f t="shared" si="3"/>
        <v>18</v>
      </c>
      <c r="D197" s="89"/>
      <c r="E197" s="100"/>
    </row>
    <row r="198" spans="1:5">
      <c r="A198" s="87">
        <v>45312.6107638889</v>
      </c>
      <c r="B198" s="88">
        <v>45312.6160069444</v>
      </c>
      <c r="C198" s="89">
        <f t="shared" si="3"/>
        <v>14</v>
      </c>
      <c r="D198" s="89"/>
      <c r="E198" s="100"/>
    </row>
    <row r="199" spans="1:5">
      <c r="A199" s="87">
        <v>45301.5310763889</v>
      </c>
      <c r="B199" s="88">
        <v>45301.5433564815</v>
      </c>
      <c r="C199" s="89">
        <f t="shared" si="3"/>
        <v>12</v>
      </c>
      <c r="D199" s="89"/>
      <c r="E199" s="100"/>
    </row>
    <row r="200" spans="1:5">
      <c r="A200" s="87">
        <v>45301.4004976852</v>
      </c>
      <c r="B200" s="88">
        <v>45301.4140625</v>
      </c>
      <c r="C200" s="89">
        <f t="shared" si="3"/>
        <v>9</v>
      </c>
      <c r="D200" s="89"/>
      <c r="E200" s="100"/>
    </row>
    <row r="201" spans="1:5">
      <c r="A201" s="87">
        <v>45294.7496296296</v>
      </c>
      <c r="B201" s="88">
        <v>45294.7658680556</v>
      </c>
      <c r="C201" s="89">
        <f t="shared" si="3"/>
        <v>17</v>
      </c>
      <c r="D201" s="89"/>
      <c r="E201" s="100"/>
    </row>
    <row r="202" spans="1:5">
      <c r="A202" s="87">
        <v>45309.5889583333</v>
      </c>
      <c r="B202" s="88">
        <v>45309.6042361111</v>
      </c>
      <c r="C202" s="89">
        <f t="shared" si="3"/>
        <v>14</v>
      </c>
      <c r="D202" s="89"/>
      <c r="E202" s="100"/>
    </row>
    <row r="203" spans="1:5">
      <c r="A203" s="87">
        <v>45299.2961342593</v>
      </c>
      <c r="B203" s="88">
        <v>45299.3046527778</v>
      </c>
      <c r="C203" s="89">
        <f t="shared" si="3"/>
        <v>7</v>
      </c>
      <c r="D203" s="89"/>
      <c r="E203" s="100"/>
    </row>
    <row r="204" spans="1:5">
      <c r="A204" s="87">
        <v>45312.8963078704</v>
      </c>
      <c r="B204" s="88">
        <v>45312.901724537</v>
      </c>
      <c r="C204" s="89">
        <f t="shared" si="3"/>
        <v>21</v>
      </c>
      <c r="D204" s="89"/>
      <c r="E204" s="100"/>
    </row>
    <row r="205" spans="1:5">
      <c r="A205" s="87">
        <v>45309.3326157407</v>
      </c>
      <c r="B205" s="88">
        <v>45309.3374537037</v>
      </c>
      <c r="C205" s="89">
        <f t="shared" si="3"/>
        <v>7</v>
      </c>
      <c r="D205" s="89"/>
      <c r="E205" s="100"/>
    </row>
    <row r="206" spans="1:5">
      <c r="A206" s="87">
        <v>45315.663912037</v>
      </c>
      <c r="B206" s="88">
        <v>45315.6648148148</v>
      </c>
      <c r="C206" s="89">
        <f t="shared" si="3"/>
        <v>15</v>
      </c>
      <c r="D206" s="89"/>
      <c r="E206" s="100"/>
    </row>
    <row r="207" spans="1:5">
      <c r="A207" s="87">
        <v>45308.9139814815</v>
      </c>
      <c r="B207" s="88">
        <v>45308.9266203704</v>
      </c>
      <c r="C207" s="89">
        <f t="shared" si="3"/>
        <v>21</v>
      </c>
      <c r="D207" s="89"/>
      <c r="E207" s="100"/>
    </row>
    <row r="208" spans="1:5">
      <c r="A208" s="87">
        <v>45312.6147106482</v>
      </c>
      <c r="B208" s="88">
        <v>45312.6157291667</v>
      </c>
      <c r="C208" s="89">
        <f t="shared" si="3"/>
        <v>14</v>
      </c>
      <c r="D208" s="89"/>
      <c r="E208" s="100"/>
    </row>
    <row r="209" spans="1:5">
      <c r="A209" s="87">
        <v>45304.8141203704</v>
      </c>
      <c r="B209" s="88">
        <v>45304.8168634259</v>
      </c>
      <c r="C209" s="89">
        <f t="shared" si="3"/>
        <v>19</v>
      </c>
      <c r="D209" s="89"/>
      <c r="E209" s="100"/>
    </row>
    <row r="210" spans="1:5">
      <c r="A210" s="87">
        <v>45300.7607407407</v>
      </c>
      <c r="B210" s="88">
        <v>45300.7792939815</v>
      </c>
      <c r="C210" s="89">
        <f t="shared" si="3"/>
        <v>18</v>
      </c>
      <c r="D210" s="89"/>
      <c r="E210" s="100"/>
    </row>
    <row r="211" spans="1:5">
      <c r="A211" s="87">
        <v>45312.7390625</v>
      </c>
      <c r="B211" s="88">
        <v>45312.7412268519</v>
      </c>
      <c r="C211" s="89">
        <f t="shared" si="3"/>
        <v>17</v>
      </c>
      <c r="D211" s="89"/>
      <c r="E211" s="100"/>
    </row>
    <row r="212" spans="1:5">
      <c r="A212" s="87">
        <v>45314.6556365741</v>
      </c>
      <c r="B212" s="88">
        <v>45314.6714699074</v>
      </c>
      <c r="C212" s="89">
        <f t="shared" si="3"/>
        <v>15</v>
      </c>
      <c r="D212" s="89"/>
      <c r="E212" s="100"/>
    </row>
    <row r="213" spans="1:5">
      <c r="A213" s="87">
        <v>45306.7268981481</v>
      </c>
      <c r="B213" s="88">
        <v>45306.7406018519</v>
      </c>
      <c r="C213" s="89">
        <f t="shared" si="3"/>
        <v>17</v>
      </c>
      <c r="D213" s="89"/>
      <c r="E213" s="100"/>
    </row>
    <row r="214" spans="1:5">
      <c r="A214" s="87">
        <v>45317.3565740741</v>
      </c>
      <c r="B214" s="88">
        <v>45317.3697800926</v>
      </c>
      <c r="C214" s="89">
        <f t="shared" si="3"/>
        <v>8</v>
      </c>
      <c r="D214" s="89"/>
      <c r="E214" s="100"/>
    </row>
    <row r="215" spans="1:5">
      <c r="A215" s="87">
        <v>45310.4238425926</v>
      </c>
      <c r="B215" s="88">
        <v>45310.4368634259</v>
      </c>
      <c r="C215" s="89">
        <f t="shared" si="3"/>
        <v>10</v>
      </c>
      <c r="D215" s="89"/>
      <c r="E215" s="100"/>
    </row>
    <row r="216" spans="1:5">
      <c r="A216" s="87">
        <v>45308.8687847222</v>
      </c>
      <c r="B216" s="88">
        <v>45308.8802199074</v>
      </c>
      <c r="C216" s="89">
        <f t="shared" si="3"/>
        <v>20</v>
      </c>
      <c r="D216" s="89"/>
      <c r="E216" s="100"/>
    </row>
    <row r="217" spans="1:5">
      <c r="A217" s="87">
        <v>45313.6569560185</v>
      </c>
      <c r="B217" s="88">
        <v>45313.667025463</v>
      </c>
      <c r="C217" s="89">
        <f t="shared" si="3"/>
        <v>15</v>
      </c>
      <c r="D217" s="89"/>
      <c r="E217" s="100"/>
    </row>
    <row r="218" spans="1:5">
      <c r="A218" s="87">
        <v>45309.3332986111</v>
      </c>
      <c r="B218" s="88">
        <v>45309.335625</v>
      </c>
      <c r="C218" s="89">
        <f t="shared" si="3"/>
        <v>7</v>
      </c>
      <c r="D218" s="89"/>
      <c r="E218" s="100"/>
    </row>
    <row r="219" spans="1:5">
      <c r="A219" s="87">
        <v>45312.8082986111</v>
      </c>
      <c r="B219" s="88">
        <v>45312.8180555556</v>
      </c>
      <c r="C219" s="89">
        <f t="shared" si="3"/>
        <v>19</v>
      </c>
      <c r="D219" s="89"/>
      <c r="E219" s="100"/>
    </row>
    <row r="220" spans="1:5">
      <c r="A220" s="87">
        <v>45309.445775463</v>
      </c>
      <c r="B220" s="88">
        <v>45309.4547106481</v>
      </c>
      <c r="C220" s="89">
        <f t="shared" si="3"/>
        <v>10</v>
      </c>
      <c r="D220" s="89"/>
      <c r="E220" s="100"/>
    </row>
    <row r="221" spans="1:5">
      <c r="A221" s="87">
        <v>45292.6456365741</v>
      </c>
      <c r="B221" s="88">
        <v>45292.6633680556</v>
      </c>
      <c r="C221" s="89">
        <f t="shared" si="3"/>
        <v>15</v>
      </c>
      <c r="D221" s="89"/>
      <c r="E221" s="100"/>
    </row>
    <row r="222" spans="1:5">
      <c r="A222" s="87">
        <v>45315.3769791667</v>
      </c>
      <c r="B222" s="88">
        <v>45315.3933217593</v>
      </c>
      <c r="C222" s="89">
        <f t="shared" si="3"/>
        <v>9</v>
      </c>
      <c r="D222" s="89"/>
      <c r="E222" s="100"/>
    </row>
    <row r="223" spans="1:5">
      <c r="A223" s="87">
        <v>45311.3026273148</v>
      </c>
      <c r="B223" s="88">
        <v>45311.3043634259</v>
      </c>
      <c r="C223" s="89">
        <f t="shared" si="3"/>
        <v>7</v>
      </c>
      <c r="D223" s="89"/>
      <c r="E223" s="100"/>
    </row>
    <row r="224" spans="1:5">
      <c r="A224" s="87">
        <v>45299.6921064815</v>
      </c>
      <c r="B224" s="88">
        <v>45299.7111111111</v>
      </c>
      <c r="C224" s="89">
        <f t="shared" si="3"/>
        <v>16</v>
      </c>
      <c r="D224" s="89"/>
      <c r="E224" s="100"/>
    </row>
    <row r="225" spans="1:5">
      <c r="A225" s="87">
        <v>45305.6368402778</v>
      </c>
      <c r="B225" s="88">
        <v>45305.6507291667</v>
      </c>
      <c r="C225" s="89">
        <f t="shared" si="3"/>
        <v>15</v>
      </c>
      <c r="D225" s="89"/>
      <c r="E225" s="100"/>
    </row>
    <row r="226" spans="1:5">
      <c r="A226" s="87">
        <v>45304.9310648148</v>
      </c>
      <c r="B226" s="88">
        <v>45304.9416203704</v>
      </c>
      <c r="C226" s="89">
        <f t="shared" si="3"/>
        <v>22</v>
      </c>
      <c r="D226" s="89"/>
      <c r="E226" s="100"/>
    </row>
    <row r="227" spans="1:5">
      <c r="A227" s="87">
        <v>45299.6630208333</v>
      </c>
      <c r="B227" s="88">
        <v>45299.6671296296</v>
      </c>
      <c r="C227" s="89">
        <f t="shared" si="3"/>
        <v>15</v>
      </c>
      <c r="D227" s="89"/>
      <c r="E227" s="100"/>
    </row>
    <row r="228" spans="1:5">
      <c r="A228" s="87">
        <v>45299.5926041667</v>
      </c>
      <c r="B228" s="88">
        <v>45299.6086226852</v>
      </c>
      <c r="C228" s="89">
        <f t="shared" si="3"/>
        <v>14</v>
      </c>
      <c r="D228" s="89"/>
      <c r="E228" s="100"/>
    </row>
    <row r="229" spans="1:5">
      <c r="A229" s="87">
        <v>45300.7803009259</v>
      </c>
      <c r="B229" s="88">
        <v>45300.7952777778</v>
      </c>
      <c r="C229" s="89">
        <f t="shared" si="3"/>
        <v>18</v>
      </c>
      <c r="D229" s="89"/>
      <c r="E229" s="100"/>
    </row>
    <row r="230" spans="1:5">
      <c r="A230" s="87">
        <v>45307.5388657407</v>
      </c>
      <c r="B230" s="88">
        <v>45307.5474421296</v>
      </c>
      <c r="C230" s="89">
        <f t="shared" si="3"/>
        <v>12</v>
      </c>
      <c r="D230" s="89"/>
      <c r="E230" s="100"/>
    </row>
    <row r="231" spans="1:5">
      <c r="A231" s="87">
        <v>45316.9154513889</v>
      </c>
      <c r="B231" s="88">
        <v>45316.9326273148</v>
      </c>
      <c r="C231" s="89">
        <f t="shared" si="3"/>
        <v>21</v>
      </c>
      <c r="D231" s="89"/>
      <c r="E231" s="100"/>
    </row>
    <row r="232" spans="1:5">
      <c r="A232" s="87">
        <v>45306.721712963</v>
      </c>
      <c r="B232" s="88">
        <v>45306.7309259259</v>
      </c>
      <c r="C232" s="89">
        <f t="shared" si="3"/>
        <v>17</v>
      </c>
      <c r="D232" s="89"/>
      <c r="E232" s="100"/>
    </row>
    <row r="233" spans="1:5">
      <c r="A233" s="87">
        <v>45316.7070949074</v>
      </c>
      <c r="B233" s="88">
        <v>45316.7165740741</v>
      </c>
      <c r="C233" s="89">
        <f t="shared" si="3"/>
        <v>16</v>
      </c>
      <c r="D233" s="89"/>
      <c r="E233" s="100"/>
    </row>
    <row r="234" spans="1:5">
      <c r="A234" s="87">
        <v>45292.6083217593</v>
      </c>
      <c r="B234" s="88">
        <v>45292.6228587963</v>
      </c>
      <c r="C234" s="89">
        <f t="shared" si="3"/>
        <v>14</v>
      </c>
      <c r="D234" s="89"/>
      <c r="E234" s="100"/>
    </row>
    <row r="235" spans="1:5">
      <c r="A235" s="87">
        <v>45318.563599537</v>
      </c>
      <c r="B235" s="88">
        <v>45318.5798032407</v>
      </c>
      <c r="C235" s="89">
        <f t="shared" si="3"/>
        <v>13</v>
      </c>
      <c r="D235" s="89"/>
      <c r="E235" s="100"/>
    </row>
    <row r="236" spans="1:5">
      <c r="A236" s="87">
        <v>45297.7153703704</v>
      </c>
      <c r="B236" s="88">
        <v>45297.7331365741</v>
      </c>
      <c r="C236" s="89">
        <f t="shared" si="3"/>
        <v>17</v>
      </c>
      <c r="D236" s="89"/>
      <c r="E236" s="100"/>
    </row>
    <row r="237" spans="1:5">
      <c r="A237" s="87">
        <v>45293.3699305556</v>
      </c>
      <c r="B237" s="88">
        <v>45293.3717708333</v>
      </c>
      <c r="C237" s="89">
        <f t="shared" si="3"/>
        <v>8</v>
      </c>
      <c r="D237" s="89"/>
      <c r="E237" s="100"/>
    </row>
    <row r="238" spans="1:5">
      <c r="A238" s="87">
        <v>45308.8493402778</v>
      </c>
      <c r="B238" s="88">
        <v>45308.8646759259</v>
      </c>
      <c r="C238" s="89">
        <f t="shared" si="3"/>
        <v>20</v>
      </c>
      <c r="D238" s="89"/>
      <c r="E238" s="100"/>
    </row>
    <row r="239" spans="1:5">
      <c r="A239" s="87">
        <v>45292.9488078704</v>
      </c>
      <c r="B239" s="88">
        <v>45292.9621990741</v>
      </c>
      <c r="C239" s="89">
        <f t="shared" si="3"/>
        <v>22</v>
      </c>
      <c r="D239" s="89"/>
      <c r="E239" s="100"/>
    </row>
    <row r="240" spans="1:5">
      <c r="A240" s="87">
        <v>45298.9283796296</v>
      </c>
      <c r="B240" s="88">
        <v>45298.9374652778</v>
      </c>
      <c r="C240" s="89">
        <f t="shared" si="3"/>
        <v>22</v>
      </c>
      <c r="D240" s="89"/>
      <c r="E240" s="100"/>
    </row>
    <row r="241" spans="1:5">
      <c r="A241" s="87">
        <v>45299.5553587963</v>
      </c>
      <c r="B241" s="88">
        <v>45299.5756712963</v>
      </c>
      <c r="C241" s="89">
        <f t="shared" si="3"/>
        <v>13</v>
      </c>
      <c r="D241" s="89"/>
      <c r="E241" s="100"/>
    </row>
    <row r="242" spans="1:5">
      <c r="A242" s="87">
        <v>45293.2806712963</v>
      </c>
      <c r="B242" s="88">
        <v>45293.2833217593</v>
      </c>
      <c r="C242" s="89">
        <f t="shared" si="3"/>
        <v>6</v>
      </c>
      <c r="D242" s="89"/>
      <c r="E242" s="100"/>
    </row>
    <row r="243" spans="1:5">
      <c r="A243" s="87">
        <v>45308.3015393519</v>
      </c>
      <c r="B243" s="88">
        <v>45308.3186342593</v>
      </c>
      <c r="C243" s="89">
        <f t="shared" si="3"/>
        <v>7</v>
      </c>
      <c r="D243" s="89"/>
      <c r="E243" s="100"/>
    </row>
    <row r="244" spans="1:5">
      <c r="A244" s="87">
        <v>45300.2999884259</v>
      </c>
      <c r="B244" s="88">
        <v>45300.3081365741</v>
      </c>
      <c r="C244" s="89">
        <f t="shared" si="3"/>
        <v>7</v>
      </c>
      <c r="D244" s="89"/>
      <c r="E244" s="100"/>
    </row>
    <row r="245" spans="1:5">
      <c r="A245" s="87">
        <v>45297.5672800926</v>
      </c>
      <c r="B245" s="88">
        <v>45297.5881018518</v>
      </c>
      <c r="C245" s="89">
        <f t="shared" si="3"/>
        <v>13</v>
      </c>
      <c r="D245" s="89"/>
      <c r="E245" s="100"/>
    </row>
    <row r="246" spans="1:5">
      <c r="A246" s="87">
        <v>45314.356099537</v>
      </c>
      <c r="B246" s="88">
        <v>45314.3649884259</v>
      </c>
      <c r="C246" s="89">
        <f t="shared" si="3"/>
        <v>8</v>
      </c>
      <c r="D246" s="89"/>
      <c r="E246" s="100"/>
    </row>
    <row r="247" spans="1:5">
      <c r="A247" s="87">
        <v>45316.7842592593</v>
      </c>
      <c r="B247" s="88">
        <v>45316.7856481482</v>
      </c>
      <c r="C247" s="89">
        <f t="shared" si="3"/>
        <v>18</v>
      </c>
      <c r="D247" s="89"/>
      <c r="E247" s="100"/>
    </row>
    <row r="248" spans="1:5">
      <c r="A248" s="87">
        <v>45297.7540393519</v>
      </c>
      <c r="B248" s="88">
        <v>45297.7693865741</v>
      </c>
      <c r="C248" s="89">
        <f t="shared" si="3"/>
        <v>18</v>
      </c>
      <c r="D248" s="89"/>
      <c r="E248" s="100"/>
    </row>
    <row r="249" spans="1:5">
      <c r="A249" s="87">
        <v>45317.4495833333</v>
      </c>
      <c r="B249" s="88">
        <v>45317.4577777778</v>
      </c>
      <c r="C249" s="89">
        <f t="shared" si="3"/>
        <v>10</v>
      </c>
      <c r="D249" s="89"/>
      <c r="E249" s="100"/>
    </row>
    <row r="250" spans="1:5">
      <c r="A250" s="87">
        <v>45316.5875925926</v>
      </c>
      <c r="B250" s="88">
        <v>45316.5903472222</v>
      </c>
      <c r="C250" s="89">
        <f t="shared" si="3"/>
        <v>14</v>
      </c>
      <c r="D250" s="89"/>
      <c r="E250" s="100"/>
    </row>
    <row r="251" spans="1:5">
      <c r="A251" s="87">
        <v>45292.3490162037</v>
      </c>
      <c r="B251" s="88">
        <v>45292.3519097222</v>
      </c>
      <c r="C251" s="89">
        <f t="shared" si="3"/>
        <v>8</v>
      </c>
      <c r="D251" s="89"/>
      <c r="E251" s="100"/>
    </row>
    <row r="252" spans="1:5">
      <c r="A252" s="87">
        <v>45309.5670486111</v>
      </c>
      <c r="B252" s="88">
        <v>45309.5717592593</v>
      </c>
      <c r="C252" s="89">
        <f t="shared" si="3"/>
        <v>13</v>
      </c>
      <c r="D252" s="89"/>
      <c r="E252" s="100"/>
    </row>
    <row r="253" spans="1:5">
      <c r="A253" s="87">
        <v>45294.4772800926</v>
      </c>
      <c r="B253" s="88">
        <v>45294.4879513889</v>
      </c>
      <c r="C253" s="89">
        <f t="shared" si="3"/>
        <v>11</v>
      </c>
      <c r="D253" s="89"/>
      <c r="E253" s="100"/>
    </row>
    <row r="254" spans="1:5">
      <c r="A254" s="87">
        <v>45312.9018402778</v>
      </c>
      <c r="B254" s="88">
        <v>45312.9071643519</v>
      </c>
      <c r="C254" s="89">
        <f t="shared" si="3"/>
        <v>21</v>
      </c>
      <c r="D254" s="89"/>
      <c r="E254" s="100"/>
    </row>
    <row r="255" spans="1:5">
      <c r="A255" s="87">
        <v>45304.6863541667</v>
      </c>
      <c r="B255" s="88">
        <v>45304.6972453704</v>
      </c>
      <c r="C255" s="89">
        <f t="shared" si="3"/>
        <v>16</v>
      </c>
      <c r="D255" s="89"/>
      <c r="E255" s="100"/>
    </row>
    <row r="256" spans="1:5">
      <c r="A256" s="87">
        <v>45302.4759259259</v>
      </c>
      <c r="B256" s="88">
        <v>45302.4835185185</v>
      </c>
      <c r="C256" s="89">
        <f t="shared" si="3"/>
        <v>11</v>
      </c>
      <c r="D256" s="89"/>
      <c r="E256" s="100"/>
    </row>
    <row r="257" spans="1:5">
      <c r="A257" s="87">
        <v>45295.526087963</v>
      </c>
      <c r="B257" s="88">
        <v>45295.5310416667</v>
      </c>
      <c r="C257" s="89">
        <f t="shared" si="3"/>
        <v>12</v>
      </c>
      <c r="D257" s="89"/>
      <c r="E257" s="100"/>
    </row>
    <row r="258" spans="1:5">
      <c r="A258" s="87">
        <v>45318.8218865741</v>
      </c>
      <c r="B258" s="88">
        <v>45318.8258796296</v>
      </c>
      <c r="C258" s="89">
        <f t="shared" si="3"/>
        <v>19</v>
      </c>
      <c r="D258" s="89"/>
      <c r="E258" s="100"/>
    </row>
    <row r="259" spans="1:5">
      <c r="A259" s="87">
        <v>45306.9009837963</v>
      </c>
      <c r="B259" s="88">
        <v>45306.9143402778</v>
      </c>
      <c r="C259" s="89">
        <f t="shared" ref="C259:C322" si="4">HOUR(A259)</f>
        <v>21</v>
      </c>
      <c r="D259" s="89"/>
      <c r="E259" s="100"/>
    </row>
    <row r="260" spans="1:5">
      <c r="A260" s="87">
        <v>45312.3380671296</v>
      </c>
      <c r="B260" s="88">
        <v>45312.3446412037</v>
      </c>
      <c r="C260" s="89">
        <f t="shared" si="4"/>
        <v>8</v>
      </c>
      <c r="D260" s="89"/>
      <c r="E260" s="100"/>
    </row>
    <row r="261" spans="1:5">
      <c r="A261" s="87">
        <v>45304.7017013889</v>
      </c>
      <c r="B261" s="88">
        <v>45304.7048958333</v>
      </c>
      <c r="C261" s="89">
        <f t="shared" si="4"/>
        <v>16</v>
      </c>
      <c r="D261" s="89"/>
      <c r="E261" s="100"/>
    </row>
    <row r="262" spans="1:5">
      <c r="A262" s="87">
        <v>45310.5613773148</v>
      </c>
      <c r="B262" s="88">
        <v>45310.5713425926</v>
      </c>
      <c r="C262" s="89">
        <f t="shared" si="4"/>
        <v>13</v>
      </c>
      <c r="D262" s="89"/>
      <c r="E262" s="100"/>
    </row>
    <row r="263" spans="1:5">
      <c r="A263" s="87">
        <v>45301.8320023148</v>
      </c>
      <c r="B263" s="88">
        <v>45301.8354398148</v>
      </c>
      <c r="C263" s="89">
        <f t="shared" si="4"/>
        <v>19</v>
      </c>
      <c r="D263" s="89"/>
      <c r="E263" s="100"/>
    </row>
    <row r="264" spans="1:5">
      <c r="A264" s="87">
        <v>45307.7292361111</v>
      </c>
      <c r="B264" s="88">
        <v>45307.7403125</v>
      </c>
      <c r="C264" s="89">
        <f t="shared" si="4"/>
        <v>17</v>
      </c>
      <c r="D264" s="89"/>
      <c r="E264" s="100"/>
    </row>
    <row r="265" spans="1:5">
      <c r="A265" s="87">
        <v>45302.4054513889</v>
      </c>
      <c r="B265" s="88">
        <v>45302.4100347222</v>
      </c>
      <c r="C265" s="89">
        <f t="shared" si="4"/>
        <v>9</v>
      </c>
      <c r="D265" s="89"/>
      <c r="E265" s="100"/>
    </row>
    <row r="266" spans="1:5">
      <c r="A266" s="87">
        <v>45299.7779050926</v>
      </c>
      <c r="B266" s="88">
        <v>45299.7830092593</v>
      </c>
      <c r="C266" s="89">
        <f t="shared" si="4"/>
        <v>18</v>
      </c>
      <c r="D266" s="89"/>
      <c r="E266" s="100"/>
    </row>
    <row r="267" spans="1:5">
      <c r="A267" s="87">
        <v>45310.8083333333</v>
      </c>
      <c r="B267" s="88">
        <v>45310.8257291667</v>
      </c>
      <c r="C267" s="89">
        <f t="shared" si="4"/>
        <v>19</v>
      </c>
      <c r="D267" s="89"/>
      <c r="E267" s="100"/>
    </row>
    <row r="268" spans="1:5">
      <c r="A268" s="87">
        <v>45295.474537037</v>
      </c>
      <c r="B268" s="88">
        <v>45295.4798958333</v>
      </c>
      <c r="C268" s="89">
        <f t="shared" si="4"/>
        <v>11</v>
      </c>
      <c r="D268" s="89"/>
      <c r="E268" s="100"/>
    </row>
    <row r="269" spans="1:5">
      <c r="A269" s="87">
        <v>45302.7773726852</v>
      </c>
      <c r="B269" s="88">
        <v>45302.7919791667</v>
      </c>
      <c r="C269" s="89">
        <f t="shared" si="4"/>
        <v>18</v>
      </c>
      <c r="D269" s="89"/>
      <c r="E269" s="100"/>
    </row>
    <row r="270" spans="1:5">
      <c r="A270" s="87">
        <v>45317.6657291667</v>
      </c>
      <c r="B270" s="88">
        <v>45317.6804050926</v>
      </c>
      <c r="C270" s="89">
        <f t="shared" si="4"/>
        <v>15</v>
      </c>
      <c r="D270" s="89"/>
      <c r="E270" s="100"/>
    </row>
    <row r="271" spans="1:5">
      <c r="A271" s="87">
        <v>45296.9336342593</v>
      </c>
      <c r="B271" s="88">
        <v>45296.9484606481</v>
      </c>
      <c r="C271" s="89">
        <f t="shared" si="4"/>
        <v>22</v>
      </c>
      <c r="D271" s="89"/>
      <c r="E271" s="100"/>
    </row>
    <row r="272" spans="1:5">
      <c r="A272" s="87">
        <v>45312.4827546296</v>
      </c>
      <c r="B272" s="88">
        <v>45312.4950462963</v>
      </c>
      <c r="C272" s="89">
        <f t="shared" si="4"/>
        <v>11</v>
      </c>
      <c r="D272" s="89"/>
      <c r="E272" s="100"/>
    </row>
    <row r="273" spans="1:5">
      <c r="A273" s="87">
        <v>45319.7086921296</v>
      </c>
      <c r="B273" s="88">
        <v>45319.7126157407</v>
      </c>
      <c r="C273" s="89">
        <f t="shared" si="4"/>
        <v>17</v>
      </c>
      <c r="D273" s="89"/>
      <c r="E273" s="100"/>
    </row>
    <row r="274" spans="1:5">
      <c r="A274" s="87">
        <v>45318.8549768518</v>
      </c>
      <c r="B274" s="88">
        <v>45318.8576273148</v>
      </c>
      <c r="C274" s="89">
        <f t="shared" si="4"/>
        <v>20</v>
      </c>
      <c r="D274" s="89"/>
      <c r="E274" s="100"/>
    </row>
    <row r="275" spans="1:5">
      <c r="A275" s="87">
        <v>45316.8588773148</v>
      </c>
      <c r="B275" s="88">
        <v>45316.8778819444</v>
      </c>
      <c r="C275" s="89">
        <f t="shared" si="4"/>
        <v>20</v>
      </c>
      <c r="D275" s="89"/>
      <c r="E275" s="100"/>
    </row>
    <row r="276" spans="1:5">
      <c r="A276" s="87">
        <v>45309.3255324074</v>
      </c>
      <c r="B276" s="88">
        <v>45309.3366782407</v>
      </c>
      <c r="C276" s="89">
        <f t="shared" si="4"/>
        <v>7</v>
      </c>
      <c r="D276" s="89"/>
      <c r="E276" s="100"/>
    </row>
    <row r="277" spans="1:5">
      <c r="A277" s="87">
        <v>45299.6632175926</v>
      </c>
      <c r="B277" s="88">
        <v>45299.6745717593</v>
      </c>
      <c r="C277" s="89">
        <f t="shared" si="4"/>
        <v>15</v>
      </c>
      <c r="D277" s="89"/>
      <c r="E277" s="100"/>
    </row>
    <row r="278" spans="1:5">
      <c r="A278" s="87">
        <v>45317.5512847222</v>
      </c>
      <c r="B278" s="88">
        <v>45317.5694560185</v>
      </c>
      <c r="C278" s="89">
        <f t="shared" si="4"/>
        <v>13</v>
      </c>
      <c r="D278" s="89"/>
      <c r="E278" s="100"/>
    </row>
    <row r="279" spans="1:5">
      <c r="A279" s="87">
        <v>45298.3169212963</v>
      </c>
      <c r="B279" s="88">
        <v>45298.3302314815</v>
      </c>
      <c r="C279" s="89">
        <f t="shared" si="4"/>
        <v>7</v>
      </c>
      <c r="D279" s="89"/>
      <c r="E279" s="100"/>
    </row>
    <row r="280" spans="1:5">
      <c r="A280" s="87">
        <v>45310.6212037037</v>
      </c>
      <c r="B280" s="88">
        <v>45310.6379976852</v>
      </c>
      <c r="C280" s="89">
        <f t="shared" si="4"/>
        <v>14</v>
      </c>
      <c r="D280" s="89"/>
      <c r="E280" s="100"/>
    </row>
    <row r="281" spans="1:5">
      <c r="A281" s="87">
        <v>45314.4271875</v>
      </c>
      <c r="B281" s="88">
        <v>45314.4447337963</v>
      </c>
      <c r="C281" s="89">
        <f t="shared" si="4"/>
        <v>10</v>
      </c>
      <c r="D281" s="89"/>
      <c r="E281" s="100"/>
    </row>
    <row r="282" spans="1:5">
      <c r="A282" s="87">
        <v>45304.8365740741</v>
      </c>
      <c r="B282" s="88">
        <v>45304.856099537</v>
      </c>
      <c r="C282" s="89">
        <f t="shared" si="4"/>
        <v>20</v>
      </c>
      <c r="D282" s="89"/>
      <c r="E282" s="100"/>
    </row>
    <row r="283" spans="1:5">
      <c r="A283" s="87">
        <v>45307.6923611111</v>
      </c>
      <c r="B283" s="88">
        <v>45307.711400463</v>
      </c>
      <c r="C283" s="89">
        <f t="shared" si="4"/>
        <v>16</v>
      </c>
      <c r="D283" s="89"/>
      <c r="E283" s="100"/>
    </row>
    <row r="284" spans="1:5">
      <c r="A284" s="87">
        <v>45305.521724537</v>
      </c>
      <c r="B284" s="88">
        <v>45305.5300694444</v>
      </c>
      <c r="C284" s="89">
        <f t="shared" si="4"/>
        <v>12</v>
      </c>
      <c r="D284" s="89"/>
      <c r="E284" s="100"/>
    </row>
    <row r="285" spans="1:5">
      <c r="A285" s="87">
        <v>45313.293125</v>
      </c>
      <c r="B285" s="88">
        <v>45313.3086574074</v>
      </c>
      <c r="C285" s="89">
        <f t="shared" si="4"/>
        <v>7</v>
      </c>
      <c r="D285" s="89"/>
      <c r="E285" s="100"/>
    </row>
    <row r="286" spans="1:5">
      <c r="A286" s="87">
        <v>45298.4560300926</v>
      </c>
      <c r="B286" s="88">
        <v>45298.4638773148</v>
      </c>
      <c r="C286" s="89">
        <f t="shared" si="4"/>
        <v>10</v>
      </c>
      <c r="D286" s="89"/>
      <c r="E286" s="100"/>
    </row>
    <row r="287" spans="1:5">
      <c r="A287" s="87">
        <v>45313.4607060185</v>
      </c>
      <c r="B287" s="88">
        <v>45313.4762268519</v>
      </c>
      <c r="C287" s="89">
        <f t="shared" si="4"/>
        <v>11</v>
      </c>
      <c r="D287" s="89"/>
      <c r="E287" s="100"/>
    </row>
    <row r="288" spans="1:5">
      <c r="A288" s="87">
        <v>45294.4425231482</v>
      </c>
      <c r="B288" s="88">
        <v>45294.4555208333</v>
      </c>
      <c r="C288" s="89">
        <f t="shared" si="4"/>
        <v>10</v>
      </c>
      <c r="D288" s="89"/>
      <c r="E288" s="100"/>
    </row>
    <row r="289" spans="1:5">
      <c r="A289" s="87">
        <v>45305.4375462963</v>
      </c>
      <c r="B289" s="88">
        <v>45305.4436574074</v>
      </c>
      <c r="C289" s="89">
        <f t="shared" si="4"/>
        <v>10</v>
      </c>
      <c r="D289" s="89"/>
      <c r="E289" s="100"/>
    </row>
    <row r="290" spans="1:5">
      <c r="A290" s="87">
        <v>45304.4456365741</v>
      </c>
      <c r="B290" s="88">
        <v>45304.4497106482</v>
      </c>
      <c r="C290" s="89">
        <f t="shared" si="4"/>
        <v>10</v>
      </c>
      <c r="D290" s="89"/>
      <c r="E290" s="100"/>
    </row>
    <row r="291" spans="1:5">
      <c r="A291" s="87">
        <v>45315.5283217593</v>
      </c>
      <c r="B291" s="88">
        <v>45315.5326041667</v>
      </c>
      <c r="C291" s="89">
        <f t="shared" si="4"/>
        <v>12</v>
      </c>
      <c r="D291" s="89"/>
      <c r="E291" s="100"/>
    </row>
    <row r="292" spans="1:5">
      <c r="A292" s="87">
        <v>45310.7655902778</v>
      </c>
      <c r="B292" s="88">
        <v>45310.7737384259</v>
      </c>
      <c r="C292" s="89">
        <f t="shared" si="4"/>
        <v>18</v>
      </c>
      <c r="D292" s="89"/>
      <c r="E292" s="100"/>
    </row>
    <row r="293" spans="1:5">
      <c r="A293" s="87">
        <v>45311.659537037</v>
      </c>
      <c r="B293" s="88">
        <v>45311.6608564815</v>
      </c>
      <c r="C293" s="89">
        <f t="shared" si="4"/>
        <v>15</v>
      </c>
      <c r="D293" s="89"/>
      <c r="E293" s="100"/>
    </row>
    <row r="294" spans="1:5">
      <c r="A294" s="87">
        <v>45317.5634722222</v>
      </c>
      <c r="B294" s="88">
        <v>45317.5668287037</v>
      </c>
      <c r="C294" s="89">
        <f t="shared" si="4"/>
        <v>13</v>
      </c>
      <c r="D294" s="89"/>
      <c r="E294" s="100"/>
    </row>
    <row r="295" spans="1:5">
      <c r="A295" s="87">
        <v>45302.4339699074</v>
      </c>
      <c r="B295" s="88">
        <v>45302.4545486111</v>
      </c>
      <c r="C295" s="89">
        <f t="shared" si="4"/>
        <v>10</v>
      </c>
      <c r="D295" s="89"/>
      <c r="E295" s="100"/>
    </row>
    <row r="296" spans="1:5">
      <c r="A296" s="87">
        <v>45294.2757407407</v>
      </c>
      <c r="B296" s="88">
        <v>45294.2767592593</v>
      </c>
      <c r="C296" s="89">
        <f t="shared" si="4"/>
        <v>6</v>
      </c>
      <c r="D296" s="89"/>
      <c r="E296" s="100"/>
    </row>
    <row r="297" spans="1:5">
      <c r="A297" s="87">
        <v>45301.9509953704</v>
      </c>
      <c r="B297" s="88">
        <v>45301.961724537</v>
      </c>
      <c r="C297" s="89">
        <f t="shared" si="4"/>
        <v>22</v>
      </c>
      <c r="D297" s="89"/>
      <c r="E297" s="100"/>
    </row>
    <row r="298" spans="1:5">
      <c r="A298" s="87">
        <v>45317.4405092593</v>
      </c>
      <c r="B298" s="88">
        <v>45317.450462963</v>
      </c>
      <c r="C298" s="89">
        <f t="shared" si="4"/>
        <v>10</v>
      </c>
      <c r="D298" s="89"/>
      <c r="E298" s="100"/>
    </row>
    <row r="299" spans="1:5">
      <c r="A299" s="87">
        <v>45299.3746180556</v>
      </c>
      <c r="B299" s="88">
        <v>45299.3780555556</v>
      </c>
      <c r="C299" s="89">
        <f t="shared" si="4"/>
        <v>8</v>
      </c>
      <c r="D299" s="89"/>
      <c r="E299" s="100"/>
    </row>
    <row r="300" spans="1:5">
      <c r="A300" s="87">
        <v>45297.3755208333</v>
      </c>
      <c r="B300" s="88">
        <v>45297.3794675926</v>
      </c>
      <c r="C300" s="89">
        <f t="shared" si="4"/>
        <v>9</v>
      </c>
      <c r="D300" s="89"/>
      <c r="E300" s="100"/>
    </row>
    <row r="301" spans="1:5">
      <c r="A301" s="87">
        <v>45297.7144328704</v>
      </c>
      <c r="B301" s="88">
        <v>45297.7336342593</v>
      </c>
      <c r="C301" s="89">
        <f t="shared" si="4"/>
        <v>17</v>
      </c>
      <c r="D301" s="89"/>
      <c r="E301" s="100"/>
    </row>
    <row r="302" spans="1:5">
      <c r="A302" s="87">
        <v>45294.615</v>
      </c>
      <c r="B302" s="88">
        <v>45294.6305671296</v>
      </c>
      <c r="C302" s="89">
        <f t="shared" si="4"/>
        <v>14</v>
      </c>
      <c r="D302" s="89"/>
      <c r="E302" s="100"/>
    </row>
    <row r="303" spans="1:5">
      <c r="A303" s="87">
        <v>45310.4744212963</v>
      </c>
      <c r="B303" s="88">
        <v>45310.4811574074</v>
      </c>
      <c r="C303" s="89">
        <f t="shared" si="4"/>
        <v>11</v>
      </c>
      <c r="D303" s="89"/>
      <c r="E303" s="100"/>
    </row>
    <row r="304" spans="1:5">
      <c r="A304" s="87">
        <v>45319.2604398148</v>
      </c>
      <c r="B304" s="88">
        <v>45319.2723148148</v>
      </c>
      <c r="C304" s="89">
        <f t="shared" si="4"/>
        <v>6</v>
      </c>
      <c r="D304" s="89"/>
      <c r="E304" s="100"/>
    </row>
    <row r="305" spans="1:5">
      <c r="A305" s="87">
        <v>45317.8016203704</v>
      </c>
      <c r="B305" s="88">
        <v>45317.8081944444</v>
      </c>
      <c r="C305" s="89">
        <f t="shared" si="4"/>
        <v>19</v>
      </c>
      <c r="D305" s="89"/>
      <c r="E305" s="100"/>
    </row>
    <row r="306" spans="1:5">
      <c r="A306" s="87">
        <v>45313.2994675926</v>
      </c>
      <c r="B306" s="88">
        <v>45313.319224537</v>
      </c>
      <c r="C306" s="89">
        <f t="shared" si="4"/>
        <v>7</v>
      </c>
      <c r="D306" s="89"/>
      <c r="E306" s="100"/>
    </row>
    <row r="307" spans="1:5">
      <c r="A307" s="87">
        <v>45319.6389467593</v>
      </c>
      <c r="B307" s="88">
        <v>45319.6527430556</v>
      </c>
      <c r="C307" s="89">
        <f t="shared" si="4"/>
        <v>15</v>
      </c>
      <c r="D307" s="89"/>
      <c r="E307" s="100"/>
    </row>
    <row r="308" spans="1:5">
      <c r="A308" s="87">
        <v>45311.5620717593</v>
      </c>
      <c r="B308" s="88">
        <v>45311.5767824074</v>
      </c>
      <c r="C308" s="89">
        <f t="shared" si="4"/>
        <v>13</v>
      </c>
      <c r="D308" s="89"/>
      <c r="E308" s="100"/>
    </row>
    <row r="309" spans="1:5">
      <c r="A309" s="87">
        <v>45303.2645833333</v>
      </c>
      <c r="B309" s="88">
        <v>45303.2832638889</v>
      </c>
      <c r="C309" s="89">
        <f t="shared" si="4"/>
        <v>6</v>
      </c>
      <c r="D309" s="89"/>
      <c r="E309" s="100"/>
    </row>
    <row r="310" spans="1:5">
      <c r="A310" s="87">
        <v>45307.2984375</v>
      </c>
      <c r="B310" s="88">
        <v>45307.3057638889</v>
      </c>
      <c r="C310" s="89">
        <f t="shared" si="4"/>
        <v>7</v>
      </c>
      <c r="D310" s="89"/>
      <c r="E310" s="100"/>
    </row>
    <row r="311" spans="1:5">
      <c r="A311" s="87">
        <v>45315.3590972222</v>
      </c>
      <c r="B311" s="88">
        <v>45315.3717708333</v>
      </c>
      <c r="C311" s="89">
        <f t="shared" si="4"/>
        <v>8</v>
      </c>
      <c r="D311" s="89"/>
      <c r="E311" s="100"/>
    </row>
    <row r="312" spans="1:5">
      <c r="A312" s="87">
        <v>45296.5543518519</v>
      </c>
      <c r="B312" s="88">
        <v>45296.5625115741</v>
      </c>
      <c r="C312" s="89">
        <f t="shared" si="4"/>
        <v>13</v>
      </c>
      <c r="D312" s="89"/>
      <c r="E312" s="100"/>
    </row>
    <row r="313" spans="1:5">
      <c r="A313" s="87">
        <v>45296.3813194444</v>
      </c>
      <c r="B313" s="88">
        <v>45296.3859027778</v>
      </c>
      <c r="C313" s="89">
        <f t="shared" si="4"/>
        <v>9</v>
      </c>
      <c r="D313" s="89"/>
      <c r="E313" s="100"/>
    </row>
    <row r="314" spans="1:5">
      <c r="A314" s="87">
        <v>45306.6453240741</v>
      </c>
      <c r="B314" s="88">
        <v>45306.6488541667</v>
      </c>
      <c r="C314" s="89">
        <f t="shared" si="4"/>
        <v>15</v>
      </c>
      <c r="D314" s="89"/>
      <c r="E314" s="100"/>
    </row>
    <row r="315" spans="1:5">
      <c r="A315" s="87">
        <v>45318.672974537</v>
      </c>
      <c r="B315" s="88">
        <v>45318.6905208333</v>
      </c>
      <c r="C315" s="89">
        <f t="shared" si="4"/>
        <v>16</v>
      </c>
      <c r="D315" s="89"/>
      <c r="E315" s="100"/>
    </row>
    <row r="316" spans="1:5">
      <c r="A316" s="87">
        <v>45292.7878240741</v>
      </c>
      <c r="B316" s="88">
        <v>45292.8016898148</v>
      </c>
      <c r="C316" s="89">
        <f t="shared" si="4"/>
        <v>18</v>
      </c>
      <c r="D316" s="89"/>
      <c r="E316" s="100"/>
    </row>
    <row r="317" spans="1:5">
      <c r="A317" s="87">
        <v>45318.5473611111</v>
      </c>
      <c r="B317" s="88">
        <v>45318.5675694444</v>
      </c>
      <c r="C317" s="89">
        <f t="shared" si="4"/>
        <v>13</v>
      </c>
      <c r="D317" s="89"/>
      <c r="E317" s="100"/>
    </row>
    <row r="318" spans="1:5">
      <c r="A318" s="87">
        <v>45294.5400578704</v>
      </c>
      <c r="B318" s="88">
        <v>45294.5512615741</v>
      </c>
      <c r="C318" s="89">
        <f t="shared" si="4"/>
        <v>12</v>
      </c>
      <c r="D318" s="89"/>
      <c r="E318" s="100"/>
    </row>
    <row r="319" spans="1:5">
      <c r="A319" s="87">
        <v>45310.8283101852</v>
      </c>
      <c r="B319" s="88">
        <v>45310.8383564815</v>
      </c>
      <c r="C319" s="89">
        <f t="shared" si="4"/>
        <v>19</v>
      </c>
      <c r="D319" s="89"/>
      <c r="E319" s="100"/>
    </row>
    <row r="320" spans="1:5">
      <c r="A320" s="87">
        <v>45297.595462963</v>
      </c>
      <c r="B320" s="88">
        <v>45297.5996759259</v>
      </c>
      <c r="C320" s="89">
        <f t="shared" si="4"/>
        <v>14</v>
      </c>
      <c r="D320" s="89"/>
      <c r="E320" s="100"/>
    </row>
    <row r="321" spans="1:5">
      <c r="A321" s="87">
        <v>45309.8771412037</v>
      </c>
      <c r="B321" s="88">
        <v>45309.8844560185</v>
      </c>
      <c r="C321" s="89">
        <f t="shared" si="4"/>
        <v>21</v>
      </c>
      <c r="D321" s="89"/>
      <c r="E321" s="100"/>
    </row>
    <row r="322" spans="1:5">
      <c r="A322" s="87">
        <v>45312.2672453704</v>
      </c>
      <c r="B322" s="88">
        <v>45312.284837963</v>
      </c>
      <c r="C322" s="89">
        <f t="shared" si="4"/>
        <v>6</v>
      </c>
      <c r="D322" s="89"/>
      <c r="E322" s="100"/>
    </row>
    <row r="323" spans="1:5">
      <c r="A323" s="87">
        <v>45304.5909837963</v>
      </c>
      <c r="B323" s="88">
        <v>45304.5992361111</v>
      </c>
      <c r="C323" s="89">
        <f t="shared" ref="C323:C386" si="5">HOUR(A323)</f>
        <v>14</v>
      </c>
      <c r="D323" s="89"/>
      <c r="E323" s="100"/>
    </row>
    <row r="324" spans="1:5">
      <c r="A324" s="87">
        <v>45303.5486805556</v>
      </c>
      <c r="B324" s="88">
        <v>45303.5552430556</v>
      </c>
      <c r="C324" s="89">
        <f t="shared" si="5"/>
        <v>13</v>
      </c>
      <c r="D324" s="89"/>
      <c r="E324" s="100"/>
    </row>
    <row r="325" spans="1:5">
      <c r="A325" s="87">
        <v>45318.4661458333</v>
      </c>
      <c r="B325" s="88">
        <v>45318.4808796296</v>
      </c>
      <c r="C325" s="89">
        <f t="shared" si="5"/>
        <v>11</v>
      </c>
      <c r="D325" s="89"/>
      <c r="E325" s="100"/>
    </row>
    <row r="326" spans="1:5">
      <c r="A326" s="87">
        <v>45296.5373958333</v>
      </c>
      <c r="B326" s="88">
        <v>45296.5497569444</v>
      </c>
      <c r="C326" s="89">
        <f t="shared" si="5"/>
        <v>12</v>
      </c>
      <c r="D326" s="89"/>
      <c r="E326" s="100"/>
    </row>
    <row r="327" spans="1:5">
      <c r="A327" s="87">
        <v>45292.9375</v>
      </c>
      <c r="B327" s="88">
        <v>45292.9460532407</v>
      </c>
      <c r="C327" s="89">
        <f t="shared" si="5"/>
        <v>22</v>
      </c>
      <c r="D327" s="89"/>
      <c r="E327" s="100"/>
    </row>
    <row r="328" spans="1:5">
      <c r="A328" s="87">
        <v>45310.450775463</v>
      </c>
      <c r="B328" s="88">
        <v>45310.4715277778</v>
      </c>
      <c r="C328" s="89">
        <f t="shared" si="5"/>
        <v>10</v>
      </c>
      <c r="D328" s="89"/>
      <c r="E328" s="100"/>
    </row>
    <row r="329" spans="1:5">
      <c r="A329" s="87">
        <v>45310.3898032407</v>
      </c>
      <c r="B329" s="88">
        <v>45310.3981365741</v>
      </c>
      <c r="C329" s="89">
        <f t="shared" si="5"/>
        <v>9</v>
      </c>
      <c r="D329" s="89"/>
      <c r="E329" s="100"/>
    </row>
    <row r="330" spans="1:5">
      <c r="A330" s="87">
        <v>45297.7185416667</v>
      </c>
      <c r="B330" s="88">
        <v>45297.7331944444</v>
      </c>
      <c r="C330" s="89">
        <f t="shared" si="5"/>
        <v>17</v>
      </c>
      <c r="D330" s="89"/>
      <c r="E330" s="100"/>
    </row>
    <row r="331" spans="1:5">
      <c r="A331" s="87">
        <v>45315.2809722222</v>
      </c>
      <c r="B331" s="88">
        <v>45315.2909375</v>
      </c>
      <c r="C331" s="89">
        <f t="shared" si="5"/>
        <v>6</v>
      </c>
      <c r="D331" s="89"/>
      <c r="E331" s="100"/>
    </row>
    <row r="332" spans="1:5">
      <c r="A332" s="87">
        <v>45312.4163310185</v>
      </c>
      <c r="B332" s="88">
        <v>45312.4203587963</v>
      </c>
      <c r="C332" s="89">
        <f t="shared" si="5"/>
        <v>9</v>
      </c>
      <c r="D332" s="89"/>
      <c r="E332" s="100"/>
    </row>
    <row r="333" spans="1:5">
      <c r="A333" s="87">
        <v>45294.6861111111</v>
      </c>
      <c r="B333" s="88">
        <v>45294.6930902778</v>
      </c>
      <c r="C333" s="89">
        <f t="shared" si="5"/>
        <v>16</v>
      </c>
      <c r="D333" s="89"/>
      <c r="E333" s="100"/>
    </row>
    <row r="334" spans="1:5">
      <c r="A334" s="87">
        <v>45292.3086574074</v>
      </c>
      <c r="B334" s="88">
        <v>45292.326712963</v>
      </c>
      <c r="C334" s="89">
        <f t="shared" si="5"/>
        <v>7</v>
      </c>
      <c r="D334" s="89"/>
      <c r="E334" s="100"/>
    </row>
    <row r="335" spans="1:5">
      <c r="A335" s="87">
        <v>45304.4121527778</v>
      </c>
      <c r="B335" s="88">
        <v>45304.4315393519</v>
      </c>
      <c r="C335" s="89">
        <f t="shared" si="5"/>
        <v>9</v>
      </c>
      <c r="D335" s="89"/>
      <c r="E335" s="100"/>
    </row>
    <row r="336" spans="1:5">
      <c r="A336" s="87">
        <v>45292.6778472222</v>
      </c>
      <c r="B336" s="88">
        <v>45292.6802893519</v>
      </c>
      <c r="C336" s="89">
        <f t="shared" si="5"/>
        <v>16</v>
      </c>
      <c r="D336" s="89"/>
      <c r="E336" s="100"/>
    </row>
    <row r="337" spans="1:5">
      <c r="A337" s="87">
        <v>45294.6935069444</v>
      </c>
      <c r="B337" s="88">
        <v>45294.7056365741</v>
      </c>
      <c r="C337" s="89">
        <f t="shared" si="5"/>
        <v>16</v>
      </c>
      <c r="D337" s="89"/>
      <c r="E337" s="100"/>
    </row>
    <row r="338" spans="1:5">
      <c r="A338" s="87">
        <v>45295.6758333333</v>
      </c>
      <c r="B338" s="88">
        <v>45295.6862268519</v>
      </c>
      <c r="C338" s="89">
        <f t="shared" si="5"/>
        <v>16</v>
      </c>
      <c r="D338" s="89"/>
      <c r="E338" s="100"/>
    </row>
    <row r="339" spans="1:5">
      <c r="A339" s="87">
        <v>45293.7754050926</v>
      </c>
      <c r="B339" s="88">
        <v>45293.7960069444</v>
      </c>
      <c r="C339" s="89">
        <f t="shared" si="5"/>
        <v>18</v>
      </c>
      <c r="D339" s="89"/>
      <c r="E339" s="100"/>
    </row>
    <row r="340" spans="1:5">
      <c r="A340" s="87">
        <v>45312.8834027778</v>
      </c>
      <c r="B340" s="88">
        <v>45312.8846990741</v>
      </c>
      <c r="C340" s="89">
        <f t="shared" si="5"/>
        <v>21</v>
      </c>
      <c r="D340" s="89"/>
      <c r="E340" s="100"/>
    </row>
    <row r="341" spans="1:5">
      <c r="A341" s="87">
        <v>45317.7711921296</v>
      </c>
      <c r="B341" s="88">
        <v>45317.7875462963</v>
      </c>
      <c r="C341" s="89">
        <f t="shared" si="5"/>
        <v>18</v>
      </c>
      <c r="D341" s="89"/>
      <c r="E341" s="100"/>
    </row>
    <row r="342" spans="1:5">
      <c r="A342" s="87">
        <v>45297.8349074074</v>
      </c>
      <c r="B342" s="88">
        <v>45297.8460185185</v>
      </c>
      <c r="C342" s="89">
        <f t="shared" si="5"/>
        <v>20</v>
      </c>
      <c r="D342" s="89"/>
      <c r="E342" s="100"/>
    </row>
    <row r="343" spans="1:5">
      <c r="A343" s="87">
        <v>45314.3789583333</v>
      </c>
      <c r="B343" s="88">
        <v>45314.3878009259</v>
      </c>
      <c r="C343" s="89">
        <f t="shared" si="5"/>
        <v>9</v>
      </c>
      <c r="D343" s="89"/>
      <c r="E343" s="100"/>
    </row>
    <row r="344" spans="1:5">
      <c r="A344" s="87">
        <v>45309.9006481481</v>
      </c>
      <c r="B344" s="88">
        <v>45309.9069212963</v>
      </c>
      <c r="C344" s="89">
        <f t="shared" si="5"/>
        <v>21</v>
      </c>
      <c r="D344" s="89"/>
      <c r="E344" s="100"/>
    </row>
    <row r="345" spans="1:5">
      <c r="A345" s="87">
        <v>45308.9525</v>
      </c>
      <c r="B345" s="88">
        <v>45308.9692476852</v>
      </c>
      <c r="C345" s="89">
        <f t="shared" si="5"/>
        <v>22</v>
      </c>
      <c r="D345" s="89"/>
      <c r="E345" s="100"/>
    </row>
    <row r="346" spans="1:5">
      <c r="A346" s="87">
        <v>45317.5055787037</v>
      </c>
      <c r="B346" s="88">
        <v>45317.5163078704</v>
      </c>
      <c r="C346" s="89">
        <f t="shared" si="5"/>
        <v>12</v>
      </c>
      <c r="D346" s="89"/>
      <c r="E346" s="100"/>
    </row>
    <row r="347" spans="1:5">
      <c r="A347" s="87">
        <v>45315.3370833333</v>
      </c>
      <c r="B347" s="88">
        <v>45315.3509606481</v>
      </c>
      <c r="C347" s="89">
        <f t="shared" si="5"/>
        <v>8</v>
      </c>
      <c r="D347" s="89"/>
      <c r="E347" s="100"/>
    </row>
    <row r="348" spans="1:5">
      <c r="A348" s="87">
        <v>45314.9516898148</v>
      </c>
      <c r="B348" s="88">
        <v>45314.9550462963</v>
      </c>
      <c r="C348" s="89">
        <f t="shared" si="5"/>
        <v>22</v>
      </c>
      <c r="D348" s="89"/>
      <c r="E348" s="100"/>
    </row>
    <row r="349" spans="1:5">
      <c r="A349" s="87">
        <v>45295.4099305556</v>
      </c>
      <c r="B349" s="88">
        <v>45295.4233101852</v>
      </c>
      <c r="C349" s="89">
        <f t="shared" si="5"/>
        <v>9</v>
      </c>
      <c r="D349" s="89"/>
      <c r="E349" s="100"/>
    </row>
    <row r="350" spans="1:5">
      <c r="A350" s="87">
        <v>45307.2995023148</v>
      </c>
      <c r="B350" s="88">
        <v>45307.3097453704</v>
      </c>
      <c r="C350" s="89">
        <f t="shared" si="5"/>
        <v>7</v>
      </c>
      <c r="D350" s="89"/>
      <c r="E350" s="100"/>
    </row>
    <row r="351" spans="1:5">
      <c r="A351" s="87">
        <v>45299.3246527778</v>
      </c>
      <c r="B351" s="88">
        <v>45299.331712963</v>
      </c>
      <c r="C351" s="89">
        <f t="shared" si="5"/>
        <v>7</v>
      </c>
      <c r="D351" s="89"/>
      <c r="E351" s="100"/>
    </row>
    <row r="352" spans="1:5">
      <c r="A352" s="87">
        <v>45314.4133564815</v>
      </c>
      <c r="B352" s="88">
        <v>45314.4172337963</v>
      </c>
      <c r="C352" s="89">
        <f t="shared" si="5"/>
        <v>9</v>
      </c>
      <c r="D352" s="89"/>
      <c r="E352" s="100"/>
    </row>
    <row r="353" spans="1:5">
      <c r="A353" s="87">
        <v>45294.5195949074</v>
      </c>
      <c r="B353" s="88">
        <v>45294.5398148148</v>
      </c>
      <c r="C353" s="89">
        <f t="shared" si="5"/>
        <v>12</v>
      </c>
      <c r="D353" s="89"/>
      <c r="E353" s="100"/>
    </row>
    <row r="354" spans="1:5">
      <c r="A354" s="87">
        <v>45301.9341203704</v>
      </c>
      <c r="B354" s="88">
        <v>45301.9533101852</v>
      </c>
      <c r="C354" s="89">
        <f t="shared" si="5"/>
        <v>22</v>
      </c>
      <c r="D354" s="89"/>
      <c r="E354" s="100"/>
    </row>
    <row r="355" spans="1:5">
      <c r="A355" s="87">
        <v>45293.836087963</v>
      </c>
      <c r="B355" s="88">
        <v>45293.8453240741</v>
      </c>
      <c r="C355" s="89">
        <f t="shared" si="5"/>
        <v>20</v>
      </c>
      <c r="D355" s="89"/>
      <c r="E355" s="100"/>
    </row>
    <row r="356" spans="1:5">
      <c r="A356" s="87">
        <v>45295.2606828704</v>
      </c>
      <c r="B356" s="88">
        <v>45295.272962963</v>
      </c>
      <c r="C356" s="89">
        <f t="shared" si="5"/>
        <v>6</v>
      </c>
      <c r="D356" s="89"/>
      <c r="E356" s="100"/>
    </row>
    <row r="357" spans="1:5">
      <c r="A357" s="87">
        <v>45318.6165856481</v>
      </c>
      <c r="B357" s="88">
        <v>45318.633599537</v>
      </c>
      <c r="C357" s="89">
        <f t="shared" si="5"/>
        <v>14</v>
      </c>
      <c r="D357" s="89"/>
      <c r="E357" s="100"/>
    </row>
    <row r="358" spans="1:5">
      <c r="A358" s="87">
        <v>45319.5703009259</v>
      </c>
      <c r="B358" s="88">
        <v>45319.5870486111</v>
      </c>
      <c r="C358" s="89">
        <f t="shared" si="5"/>
        <v>13</v>
      </c>
      <c r="D358" s="89"/>
      <c r="E358" s="100"/>
    </row>
    <row r="359" spans="1:5">
      <c r="A359" s="87">
        <v>45296.4853125</v>
      </c>
      <c r="B359" s="88">
        <v>45296.4862037037</v>
      </c>
      <c r="C359" s="89">
        <f t="shared" si="5"/>
        <v>11</v>
      </c>
      <c r="D359" s="89"/>
      <c r="E359" s="100"/>
    </row>
    <row r="360" spans="1:5">
      <c r="A360" s="87">
        <v>45305.7877546296</v>
      </c>
      <c r="B360" s="88">
        <v>45305.7993287037</v>
      </c>
      <c r="C360" s="89">
        <f t="shared" si="5"/>
        <v>18</v>
      </c>
      <c r="D360" s="89"/>
      <c r="E360" s="100"/>
    </row>
    <row r="361" spans="1:5">
      <c r="A361" s="87">
        <v>45310.3753703704</v>
      </c>
      <c r="B361" s="88">
        <v>45310.3917592593</v>
      </c>
      <c r="C361" s="89">
        <f t="shared" si="5"/>
        <v>9</v>
      </c>
      <c r="D361" s="89"/>
      <c r="E361" s="100"/>
    </row>
    <row r="362" spans="1:5">
      <c r="A362" s="87">
        <v>45302.6113425926</v>
      </c>
      <c r="B362" s="88">
        <v>45302.618599537</v>
      </c>
      <c r="C362" s="89">
        <f t="shared" si="5"/>
        <v>14</v>
      </c>
      <c r="D362" s="89"/>
      <c r="E362" s="100"/>
    </row>
    <row r="363" spans="1:5">
      <c r="A363" s="87">
        <v>45293.7793981481</v>
      </c>
      <c r="B363" s="88">
        <v>45293.7962268519</v>
      </c>
      <c r="C363" s="89">
        <f t="shared" si="5"/>
        <v>18</v>
      </c>
      <c r="D363" s="89"/>
      <c r="E363" s="100"/>
    </row>
    <row r="364" spans="1:5">
      <c r="A364" s="87">
        <v>45304.3178819444</v>
      </c>
      <c r="B364" s="88">
        <v>45304.3321296296</v>
      </c>
      <c r="C364" s="89">
        <f t="shared" si="5"/>
        <v>7</v>
      </c>
      <c r="D364" s="89"/>
      <c r="E364" s="100"/>
    </row>
    <row r="365" spans="1:5">
      <c r="A365" s="87">
        <v>45313.730775463</v>
      </c>
      <c r="B365" s="88">
        <v>45313.7515046296</v>
      </c>
      <c r="C365" s="89">
        <f t="shared" si="5"/>
        <v>17</v>
      </c>
      <c r="D365" s="89"/>
      <c r="E365" s="100"/>
    </row>
    <row r="366" spans="1:5">
      <c r="A366" s="87">
        <v>45317.4888541667</v>
      </c>
      <c r="B366" s="88">
        <v>45317.4975</v>
      </c>
      <c r="C366" s="89">
        <f t="shared" si="5"/>
        <v>11</v>
      </c>
      <c r="D366" s="89"/>
      <c r="E366" s="100"/>
    </row>
    <row r="367" spans="1:5">
      <c r="A367" s="87">
        <v>45317.6828240741</v>
      </c>
      <c r="B367" s="88">
        <v>45317.6973958333</v>
      </c>
      <c r="C367" s="89">
        <f t="shared" si="5"/>
        <v>16</v>
      </c>
      <c r="D367" s="89"/>
      <c r="E367" s="100"/>
    </row>
    <row r="368" spans="1:5">
      <c r="A368" s="87">
        <v>45294.9140277778</v>
      </c>
      <c r="B368" s="88">
        <v>45294.9265740741</v>
      </c>
      <c r="C368" s="89">
        <f t="shared" si="5"/>
        <v>21</v>
      </c>
      <c r="D368" s="89"/>
      <c r="E368" s="100"/>
    </row>
    <row r="369" spans="1:5">
      <c r="A369" s="87">
        <v>45302.8173263889</v>
      </c>
      <c r="B369" s="88">
        <v>45302.8288657407</v>
      </c>
      <c r="C369" s="89">
        <f t="shared" si="5"/>
        <v>19</v>
      </c>
      <c r="D369" s="89"/>
      <c r="E369" s="100"/>
    </row>
    <row r="370" spans="1:5">
      <c r="A370" s="87">
        <v>45302.2919907407</v>
      </c>
      <c r="B370" s="88">
        <v>45302.2991666667</v>
      </c>
      <c r="C370" s="89">
        <f t="shared" si="5"/>
        <v>7</v>
      </c>
      <c r="D370" s="89"/>
      <c r="E370" s="100"/>
    </row>
    <row r="371" spans="1:5">
      <c r="A371" s="87">
        <v>45311.8197569444</v>
      </c>
      <c r="B371" s="88">
        <v>45311.8300115741</v>
      </c>
      <c r="C371" s="89">
        <f t="shared" si="5"/>
        <v>19</v>
      </c>
      <c r="D371" s="89"/>
      <c r="E371" s="100"/>
    </row>
    <row r="372" spans="1:5">
      <c r="A372" s="87">
        <v>45302.9250115741</v>
      </c>
      <c r="B372" s="88">
        <v>45302.9417361111</v>
      </c>
      <c r="C372" s="89">
        <f t="shared" si="5"/>
        <v>22</v>
      </c>
      <c r="D372" s="89"/>
      <c r="E372" s="100"/>
    </row>
    <row r="373" spans="1:5">
      <c r="A373" s="87">
        <v>45295.772650463</v>
      </c>
      <c r="B373" s="88">
        <v>45295.7805902778</v>
      </c>
      <c r="C373" s="89">
        <f t="shared" si="5"/>
        <v>18</v>
      </c>
      <c r="D373" s="89"/>
      <c r="E373" s="100"/>
    </row>
    <row r="374" spans="1:5">
      <c r="A374" s="87">
        <v>45308.9315625</v>
      </c>
      <c r="B374" s="88">
        <v>45308.9485300926</v>
      </c>
      <c r="C374" s="89">
        <f t="shared" si="5"/>
        <v>22</v>
      </c>
      <c r="D374" s="89"/>
      <c r="E374" s="100"/>
    </row>
    <row r="375" spans="1:5">
      <c r="A375" s="87">
        <v>45317.7508564815</v>
      </c>
      <c r="B375" s="88">
        <v>45317.7568634259</v>
      </c>
      <c r="C375" s="89">
        <f t="shared" si="5"/>
        <v>18</v>
      </c>
      <c r="D375" s="89"/>
      <c r="E375" s="100"/>
    </row>
    <row r="376" spans="1:5">
      <c r="A376" s="87">
        <v>45314.3089814815</v>
      </c>
      <c r="B376" s="88">
        <v>45314.324849537</v>
      </c>
      <c r="C376" s="89">
        <f t="shared" si="5"/>
        <v>7</v>
      </c>
      <c r="D376" s="89"/>
      <c r="E376" s="100"/>
    </row>
    <row r="377" spans="1:5">
      <c r="A377" s="87">
        <v>45312.2525925926</v>
      </c>
      <c r="B377" s="88">
        <v>45312.2560300926</v>
      </c>
      <c r="C377" s="89">
        <f t="shared" si="5"/>
        <v>6</v>
      </c>
      <c r="D377" s="89"/>
      <c r="E377" s="100"/>
    </row>
    <row r="378" spans="1:5">
      <c r="A378" s="87">
        <v>45296.5310532407</v>
      </c>
      <c r="B378" s="88">
        <v>45296.5466782407</v>
      </c>
      <c r="C378" s="89">
        <f t="shared" si="5"/>
        <v>12</v>
      </c>
      <c r="D378" s="89"/>
      <c r="E378" s="100"/>
    </row>
    <row r="379" spans="1:5">
      <c r="A379" s="87">
        <v>45314.4353356482</v>
      </c>
      <c r="B379" s="88">
        <v>45314.4385069444</v>
      </c>
      <c r="C379" s="89">
        <f t="shared" si="5"/>
        <v>10</v>
      </c>
      <c r="D379" s="89"/>
      <c r="E379" s="100"/>
    </row>
    <row r="380" spans="1:5">
      <c r="A380" s="87">
        <v>45298.6205208333</v>
      </c>
      <c r="B380" s="88">
        <v>45298.6259953704</v>
      </c>
      <c r="C380" s="89">
        <f t="shared" si="5"/>
        <v>14</v>
      </c>
      <c r="D380" s="89"/>
      <c r="E380" s="100"/>
    </row>
    <row r="381" spans="1:5">
      <c r="A381" s="87">
        <v>45307.6770833333</v>
      </c>
      <c r="B381" s="88">
        <v>45307.6780787037</v>
      </c>
      <c r="C381" s="89">
        <f t="shared" si="5"/>
        <v>16</v>
      </c>
      <c r="D381" s="89"/>
      <c r="E381" s="100"/>
    </row>
    <row r="382" spans="1:5">
      <c r="A382" s="87">
        <v>45315.4147685185</v>
      </c>
      <c r="B382" s="88">
        <v>45315.4307291667</v>
      </c>
      <c r="C382" s="89">
        <f t="shared" si="5"/>
        <v>9</v>
      </c>
      <c r="D382" s="89"/>
      <c r="E382" s="100"/>
    </row>
    <row r="383" spans="1:5">
      <c r="A383" s="87">
        <v>45297.329375</v>
      </c>
      <c r="B383" s="88">
        <v>45297.338599537</v>
      </c>
      <c r="C383" s="89">
        <f t="shared" si="5"/>
        <v>7</v>
      </c>
      <c r="D383" s="89"/>
      <c r="E383" s="100"/>
    </row>
    <row r="384" spans="1:5">
      <c r="A384" s="87">
        <v>45319.4463078704</v>
      </c>
      <c r="B384" s="88">
        <v>45319.4510416667</v>
      </c>
      <c r="C384" s="89">
        <f t="shared" si="5"/>
        <v>10</v>
      </c>
      <c r="D384" s="89"/>
      <c r="E384" s="100"/>
    </row>
    <row r="385" spans="1:5">
      <c r="A385" s="87">
        <v>45303.6743865741</v>
      </c>
      <c r="B385" s="88">
        <v>45303.6845717593</v>
      </c>
      <c r="C385" s="89">
        <f t="shared" si="5"/>
        <v>16</v>
      </c>
      <c r="D385" s="89"/>
      <c r="E385" s="100"/>
    </row>
    <row r="386" spans="1:5">
      <c r="A386" s="87">
        <v>45305.463287037</v>
      </c>
      <c r="B386" s="88">
        <v>45305.480474537</v>
      </c>
      <c r="C386" s="89">
        <f t="shared" si="5"/>
        <v>11</v>
      </c>
      <c r="D386" s="89"/>
      <c r="E386" s="100"/>
    </row>
    <row r="387" spans="1:5">
      <c r="A387" s="87">
        <v>45310.8414236111</v>
      </c>
      <c r="B387" s="88">
        <v>45310.8511111111</v>
      </c>
      <c r="C387" s="89">
        <f t="shared" ref="C387:C450" si="6">HOUR(A387)</f>
        <v>20</v>
      </c>
      <c r="D387" s="89"/>
      <c r="E387" s="100"/>
    </row>
    <row r="388" spans="1:5">
      <c r="A388" s="87">
        <v>45296.9156365741</v>
      </c>
      <c r="B388" s="88">
        <v>45296.9190046296</v>
      </c>
      <c r="C388" s="89">
        <f t="shared" si="6"/>
        <v>21</v>
      </c>
      <c r="D388" s="89"/>
      <c r="E388" s="100"/>
    </row>
    <row r="389" spans="1:5">
      <c r="A389" s="87">
        <v>45314.9512384259</v>
      </c>
      <c r="B389" s="88">
        <v>45314.9655902778</v>
      </c>
      <c r="C389" s="89">
        <f t="shared" si="6"/>
        <v>22</v>
      </c>
      <c r="D389" s="89"/>
      <c r="E389" s="100"/>
    </row>
    <row r="390" spans="1:5">
      <c r="A390" s="87">
        <v>45295.8213657407</v>
      </c>
      <c r="B390" s="88">
        <v>45295.8279513889</v>
      </c>
      <c r="C390" s="89">
        <f t="shared" si="6"/>
        <v>19</v>
      </c>
      <c r="D390" s="89"/>
      <c r="E390" s="100"/>
    </row>
    <row r="391" spans="1:5">
      <c r="A391" s="87">
        <v>45311.2921412037</v>
      </c>
      <c r="B391" s="88">
        <v>45311.2965509259</v>
      </c>
      <c r="C391" s="89">
        <f t="shared" si="6"/>
        <v>7</v>
      </c>
      <c r="D391" s="89"/>
      <c r="E391" s="100"/>
    </row>
    <row r="392" spans="1:5">
      <c r="A392" s="87">
        <v>45300.3140509259</v>
      </c>
      <c r="B392" s="88">
        <v>45300.3277893519</v>
      </c>
      <c r="C392" s="89">
        <f t="shared" si="6"/>
        <v>7</v>
      </c>
      <c r="D392" s="89"/>
      <c r="E392" s="100"/>
    </row>
    <row r="393" spans="1:5">
      <c r="A393" s="87">
        <v>45294.8946759259</v>
      </c>
      <c r="B393" s="88">
        <v>45294.8981828704</v>
      </c>
      <c r="C393" s="89">
        <f t="shared" si="6"/>
        <v>21</v>
      </c>
      <c r="D393" s="89"/>
      <c r="E393" s="100"/>
    </row>
    <row r="394" spans="1:5">
      <c r="A394" s="87">
        <v>45292.3684953704</v>
      </c>
      <c r="B394" s="88">
        <v>45292.3838541667</v>
      </c>
      <c r="C394" s="89">
        <f t="shared" si="6"/>
        <v>8</v>
      </c>
      <c r="D394" s="89"/>
      <c r="E394" s="100"/>
    </row>
    <row r="395" spans="1:5">
      <c r="A395" s="87">
        <v>45318.3279398148</v>
      </c>
      <c r="B395" s="88">
        <v>45318.3486458333</v>
      </c>
      <c r="C395" s="89">
        <f t="shared" si="6"/>
        <v>7</v>
      </c>
      <c r="D395" s="89"/>
      <c r="E395" s="100"/>
    </row>
    <row r="396" spans="1:5">
      <c r="A396" s="87">
        <v>45295.4088194444</v>
      </c>
      <c r="B396" s="88">
        <v>45295.4147685185</v>
      </c>
      <c r="C396" s="89">
        <f t="shared" si="6"/>
        <v>9</v>
      </c>
      <c r="D396" s="89"/>
      <c r="E396" s="100"/>
    </row>
    <row r="397" spans="1:5">
      <c r="A397" s="87">
        <v>45308.7389583333</v>
      </c>
      <c r="B397" s="88">
        <v>45308.7407291667</v>
      </c>
      <c r="C397" s="89">
        <f t="shared" si="6"/>
        <v>17</v>
      </c>
      <c r="D397" s="89"/>
      <c r="E397" s="100"/>
    </row>
    <row r="398" spans="1:5">
      <c r="A398" s="87">
        <v>45300.5084143519</v>
      </c>
      <c r="B398" s="88">
        <v>45300.5184143518</v>
      </c>
      <c r="C398" s="89">
        <f t="shared" si="6"/>
        <v>12</v>
      </c>
      <c r="D398" s="89"/>
      <c r="E398" s="100"/>
    </row>
    <row r="399" spans="1:5">
      <c r="A399" s="87">
        <v>45312.4096875</v>
      </c>
      <c r="B399" s="88">
        <v>45312.4210532407</v>
      </c>
      <c r="C399" s="89">
        <f t="shared" si="6"/>
        <v>9</v>
      </c>
      <c r="D399" s="89"/>
      <c r="E399" s="100"/>
    </row>
    <row r="400" spans="1:5">
      <c r="A400" s="87">
        <v>45305.9163425926</v>
      </c>
      <c r="B400" s="88">
        <v>45305.9355439815</v>
      </c>
      <c r="C400" s="89">
        <f t="shared" si="6"/>
        <v>21</v>
      </c>
      <c r="D400" s="89"/>
      <c r="E400" s="100"/>
    </row>
    <row r="401" spans="1:5">
      <c r="A401" s="87">
        <v>45313.689537037</v>
      </c>
      <c r="B401" s="88">
        <v>45313.6993402778</v>
      </c>
      <c r="C401" s="89">
        <f t="shared" si="6"/>
        <v>16</v>
      </c>
      <c r="D401" s="89"/>
      <c r="E401" s="100"/>
    </row>
    <row r="402" spans="1:5">
      <c r="A402" s="87">
        <v>45306.4225231481</v>
      </c>
      <c r="B402" s="88">
        <v>45306.4374884259</v>
      </c>
      <c r="C402" s="89">
        <f t="shared" si="6"/>
        <v>10</v>
      </c>
      <c r="D402" s="89"/>
      <c r="E402" s="100"/>
    </row>
    <row r="403" spans="1:5">
      <c r="A403" s="87">
        <v>45298.5094791667</v>
      </c>
      <c r="B403" s="88">
        <v>45298.5271064815</v>
      </c>
      <c r="C403" s="89">
        <f t="shared" si="6"/>
        <v>12</v>
      </c>
      <c r="D403" s="89"/>
      <c r="E403" s="100"/>
    </row>
    <row r="404" spans="1:5">
      <c r="A404" s="87">
        <v>45309.6979976852</v>
      </c>
      <c r="B404" s="88">
        <v>45309.716724537</v>
      </c>
      <c r="C404" s="89">
        <f t="shared" si="6"/>
        <v>16</v>
      </c>
      <c r="D404" s="89"/>
      <c r="E404" s="100"/>
    </row>
    <row r="405" spans="1:5">
      <c r="A405" s="87">
        <v>45305.6645138889</v>
      </c>
      <c r="B405" s="88">
        <v>45305.6752199074</v>
      </c>
      <c r="C405" s="89">
        <f t="shared" si="6"/>
        <v>15</v>
      </c>
      <c r="D405" s="89"/>
      <c r="E405" s="100"/>
    </row>
    <row r="406" spans="1:5">
      <c r="A406" s="87">
        <v>45293.5123611111</v>
      </c>
      <c r="B406" s="88">
        <v>45293.5316666667</v>
      </c>
      <c r="C406" s="89">
        <f t="shared" si="6"/>
        <v>12</v>
      </c>
      <c r="D406" s="89"/>
      <c r="E406" s="100"/>
    </row>
    <row r="407" spans="1:5">
      <c r="A407" s="87">
        <v>45301.5337268518</v>
      </c>
      <c r="B407" s="88">
        <v>45301.5351851852</v>
      </c>
      <c r="C407" s="89">
        <f t="shared" si="6"/>
        <v>12</v>
      </c>
      <c r="D407" s="89"/>
      <c r="E407" s="100"/>
    </row>
    <row r="408" spans="1:5">
      <c r="A408" s="87">
        <v>45319.5747800926</v>
      </c>
      <c r="B408" s="88">
        <v>45319.5887731481</v>
      </c>
      <c r="C408" s="89">
        <f t="shared" si="6"/>
        <v>13</v>
      </c>
      <c r="D408" s="89"/>
      <c r="E408" s="100"/>
    </row>
    <row r="409" spans="1:5">
      <c r="A409" s="87">
        <v>45305.6910069444</v>
      </c>
      <c r="B409" s="88">
        <v>45305.6920023148</v>
      </c>
      <c r="C409" s="89">
        <f t="shared" si="6"/>
        <v>16</v>
      </c>
      <c r="D409" s="89"/>
      <c r="E409" s="100"/>
    </row>
    <row r="410" spans="1:5">
      <c r="A410" s="87">
        <v>45312.7420949074</v>
      </c>
      <c r="B410" s="88">
        <v>45312.7557407407</v>
      </c>
      <c r="C410" s="89">
        <f t="shared" si="6"/>
        <v>17</v>
      </c>
      <c r="D410" s="89"/>
      <c r="E410" s="100"/>
    </row>
    <row r="411" spans="1:5">
      <c r="A411" s="87">
        <v>45315.9218055556</v>
      </c>
      <c r="B411" s="88">
        <v>45315.9234606481</v>
      </c>
      <c r="C411" s="89">
        <f t="shared" si="6"/>
        <v>22</v>
      </c>
      <c r="D411" s="89"/>
      <c r="E411" s="100"/>
    </row>
    <row r="412" spans="1:5">
      <c r="A412" s="87">
        <v>45314.4181597222</v>
      </c>
      <c r="B412" s="88">
        <v>45314.4264930556</v>
      </c>
      <c r="C412" s="89">
        <f t="shared" si="6"/>
        <v>10</v>
      </c>
      <c r="D412" s="89"/>
      <c r="E412" s="100"/>
    </row>
    <row r="413" spans="1:5">
      <c r="A413" s="87">
        <v>45294.6897453704</v>
      </c>
      <c r="B413" s="88">
        <v>45294.6947916667</v>
      </c>
      <c r="C413" s="89">
        <f t="shared" si="6"/>
        <v>16</v>
      </c>
      <c r="D413" s="89"/>
      <c r="E413" s="100"/>
    </row>
    <row r="414" spans="1:5">
      <c r="A414" s="87">
        <v>45303.5807060185</v>
      </c>
      <c r="B414" s="88">
        <v>45303.5971180556</v>
      </c>
      <c r="C414" s="89">
        <f t="shared" si="6"/>
        <v>13</v>
      </c>
      <c r="D414" s="89"/>
      <c r="E414" s="100"/>
    </row>
    <row r="415" spans="1:5">
      <c r="A415" s="87">
        <v>45318.2553472222</v>
      </c>
      <c r="B415" s="88">
        <v>45318.2642361111</v>
      </c>
      <c r="C415" s="89">
        <f t="shared" si="6"/>
        <v>6</v>
      </c>
      <c r="D415" s="89"/>
      <c r="E415" s="100"/>
    </row>
    <row r="416" spans="1:5">
      <c r="A416" s="87">
        <v>45317.3918518519</v>
      </c>
      <c r="B416" s="88">
        <v>45317.4053472222</v>
      </c>
      <c r="C416" s="89">
        <f t="shared" si="6"/>
        <v>9</v>
      </c>
      <c r="D416" s="89"/>
      <c r="E416" s="100"/>
    </row>
    <row r="417" spans="1:5">
      <c r="A417" s="87">
        <v>45293.6650578704</v>
      </c>
      <c r="B417" s="88">
        <v>45293.6703125</v>
      </c>
      <c r="C417" s="89">
        <f t="shared" si="6"/>
        <v>15</v>
      </c>
      <c r="D417" s="89"/>
      <c r="E417" s="100"/>
    </row>
    <row r="418" spans="1:5">
      <c r="A418" s="87">
        <v>45294.5296296296</v>
      </c>
      <c r="B418" s="88">
        <v>45294.5486574074</v>
      </c>
      <c r="C418" s="89">
        <f t="shared" si="6"/>
        <v>12</v>
      </c>
      <c r="D418" s="89"/>
      <c r="E418" s="100"/>
    </row>
    <row r="419" spans="1:5">
      <c r="A419" s="87">
        <v>45315.8207407407</v>
      </c>
      <c r="B419" s="88">
        <v>45315.8231365741</v>
      </c>
      <c r="C419" s="89">
        <f t="shared" si="6"/>
        <v>19</v>
      </c>
      <c r="D419" s="89"/>
      <c r="E419" s="100"/>
    </row>
    <row r="420" spans="1:5">
      <c r="A420" s="87">
        <v>45293.4932407407</v>
      </c>
      <c r="B420" s="88">
        <v>45293.5071527778</v>
      </c>
      <c r="C420" s="89">
        <f t="shared" si="6"/>
        <v>11</v>
      </c>
      <c r="D420" s="89"/>
      <c r="E420" s="100"/>
    </row>
    <row r="421" spans="1:5">
      <c r="A421" s="87">
        <v>45304.8055671296</v>
      </c>
      <c r="B421" s="88">
        <v>45304.8154861111</v>
      </c>
      <c r="C421" s="89">
        <f t="shared" si="6"/>
        <v>19</v>
      </c>
      <c r="D421" s="89"/>
      <c r="E421" s="100"/>
    </row>
    <row r="422" spans="1:5">
      <c r="A422" s="87">
        <v>45315.3228472222</v>
      </c>
      <c r="B422" s="88">
        <v>45315.3252546296</v>
      </c>
      <c r="C422" s="89">
        <f t="shared" si="6"/>
        <v>7</v>
      </c>
      <c r="D422" s="89"/>
      <c r="E422" s="100"/>
    </row>
    <row r="423" spans="1:5">
      <c r="A423" s="87">
        <v>45294.6590162037</v>
      </c>
      <c r="B423" s="88">
        <v>45294.6700810185</v>
      </c>
      <c r="C423" s="89">
        <f t="shared" si="6"/>
        <v>15</v>
      </c>
      <c r="D423" s="89"/>
      <c r="E423" s="100"/>
    </row>
    <row r="424" spans="1:5">
      <c r="A424" s="87">
        <v>45317.6528819444</v>
      </c>
      <c r="B424" s="88">
        <v>45317.6606365741</v>
      </c>
      <c r="C424" s="89">
        <f t="shared" si="6"/>
        <v>15</v>
      </c>
      <c r="D424" s="89"/>
      <c r="E424" s="100"/>
    </row>
    <row r="425" spans="1:5">
      <c r="A425" s="87">
        <v>45309.3466782407</v>
      </c>
      <c r="B425" s="88">
        <v>45309.3651041667</v>
      </c>
      <c r="C425" s="89">
        <f t="shared" si="6"/>
        <v>8</v>
      </c>
      <c r="D425" s="89"/>
      <c r="E425" s="100"/>
    </row>
    <row r="426" spans="1:5">
      <c r="A426" s="87">
        <v>45297.5693634259</v>
      </c>
      <c r="B426" s="88">
        <v>45297.5760416667</v>
      </c>
      <c r="C426" s="89">
        <f t="shared" si="6"/>
        <v>13</v>
      </c>
      <c r="D426" s="89"/>
      <c r="E426" s="100"/>
    </row>
    <row r="427" spans="1:5">
      <c r="A427" s="87">
        <v>45316.8622106481</v>
      </c>
      <c r="B427" s="88">
        <v>45316.8646296296</v>
      </c>
      <c r="C427" s="89">
        <f t="shared" si="6"/>
        <v>20</v>
      </c>
      <c r="D427" s="89"/>
      <c r="E427" s="100"/>
    </row>
    <row r="428" spans="1:5">
      <c r="A428" s="87">
        <v>45303.4463078704</v>
      </c>
      <c r="B428" s="88">
        <v>45303.4525578704</v>
      </c>
      <c r="C428" s="89">
        <f t="shared" si="6"/>
        <v>10</v>
      </c>
      <c r="D428" s="89"/>
      <c r="E428" s="100"/>
    </row>
    <row r="429" spans="1:5">
      <c r="A429" s="87">
        <v>45311.6559837963</v>
      </c>
      <c r="B429" s="88">
        <v>45311.6602893519</v>
      </c>
      <c r="C429" s="89">
        <f t="shared" si="6"/>
        <v>15</v>
      </c>
      <c r="D429" s="89"/>
      <c r="E429" s="100"/>
    </row>
    <row r="430" spans="1:5">
      <c r="A430" s="87">
        <v>45302.5765509259</v>
      </c>
      <c r="B430" s="88">
        <v>45302.5941203704</v>
      </c>
      <c r="C430" s="89">
        <f t="shared" si="6"/>
        <v>13</v>
      </c>
      <c r="D430" s="89"/>
      <c r="E430" s="100"/>
    </row>
    <row r="431" spans="1:5">
      <c r="A431" s="87">
        <v>45307.8530324074</v>
      </c>
      <c r="B431" s="88">
        <v>45307.8720833333</v>
      </c>
      <c r="C431" s="89">
        <f t="shared" si="6"/>
        <v>20</v>
      </c>
      <c r="D431" s="89"/>
      <c r="E431" s="100"/>
    </row>
    <row r="432" spans="1:5">
      <c r="A432" s="87">
        <v>45300.4566435185</v>
      </c>
      <c r="B432" s="88">
        <v>45300.4619907407</v>
      </c>
      <c r="C432" s="89">
        <f t="shared" si="6"/>
        <v>10</v>
      </c>
      <c r="D432" s="89"/>
      <c r="E432" s="100"/>
    </row>
    <row r="433" spans="1:5">
      <c r="A433" s="87">
        <v>45318.7844560185</v>
      </c>
      <c r="B433" s="88">
        <v>45318.7901851852</v>
      </c>
      <c r="C433" s="89">
        <f t="shared" si="6"/>
        <v>18</v>
      </c>
      <c r="D433" s="89"/>
      <c r="E433" s="100"/>
    </row>
    <row r="434" spans="1:5">
      <c r="A434" s="87">
        <v>45312.4329282407</v>
      </c>
      <c r="B434" s="88">
        <v>45312.438912037</v>
      </c>
      <c r="C434" s="89">
        <f t="shared" si="6"/>
        <v>10</v>
      </c>
      <c r="D434" s="89"/>
      <c r="E434" s="100"/>
    </row>
    <row r="435" spans="1:5">
      <c r="A435" s="87">
        <v>45308.2793402778</v>
      </c>
      <c r="B435" s="88">
        <v>45308.3001273148</v>
      </c>
      <c r="C435" s="89">
        <f t="shared" si="6"/>
        <v>6</v>
      </c>
      <c r="D435" s="89"/>
      <c r="E435" s="100"/>
    </row>
    <row r="436" spans="1:5">
      <c r="A436" s="87">
        <v>45319.449837963</v>
      </c>
      <c r="B436" s="88">
        <v>45319.4619907407</v>
      </c>
      <c r="C436" s="89">
        <f t="shared" si="6"/>
        <v>10</v>
      </c>
      <c r="D436" s="89"/>
      <c r="E436" s="100"/>
    </row>
    <row r="437" spans="1:5">
      <c r="A437" s="87">
        <v>45313.523587963</v>
      </c>
      <c r="B437" s="88">
        <v>45313.5430324074</v>
      </c>
      <c r="C437" s="89">
        <f t="shared" si="6"/>
        <v>12</v>
      </c>
      <c r="D437" s="89"/>
      <c r="E437" s="100"/>
    </row>
    <row r="438" spans="1:5">
      <c r="A438" s="87">
        <v>45302.4066319444</v>
      </c>
      <c r="B438" s="88">
        <v>45302.422337963</v>
      </c>
      <c r="C438" s="89">
        <f t="shared" si="6"/>
        <v>9</v>
      </c>
      <c r="D438" s="89"/>
      <c r="E438" s="100"/>
    </row>
    <row r="439" spans="1:5">
      <c r="A439" s="87">
        <v>45312.3564351852</v>
      </c>
      <c r="B439" s="88">
        <v>45312.3660416667</v>
      </c>
      <c r="C439" s="89">
        <f t="shared" si="6"/>
        <v>8</v>
      </c>
      <c r="D439" s="89"/>
      <c r="E439" s="100"/>
    </row>
    <row r="440" spans="1:5">
      <c r="A440" s="87">
        <v>45317.9143287037</v>
      </c>
      <c r="B440" s="88">
        <v>45317.9151736111</v>
      </c>
      <c r="C440" s="89">
        <f t="shared" si="6"/>
        <v>21</v>
      </c>
      <c r="D440" s="89"/>
      <c r="E440" s="100"/>
    </row>
    <row r="441" spans="1:5">
      <c r="A441" s="87">
        <v>45296.4655439815</v>
      </c>
      <c r="B441" s="88">
        <v>45296.4804976852</v>
      </c>
      <c r="C441" s="89">
        <f t="shared" si="6"/>
        <v>11</v>
      </c>
      <c r="D441" s="89"/>
      <c r="E441" s="100"/>
    </row>
    <row r="442" spans="1:5">
      <c r="A442" s="87">
        <v>45307.8844560185</v>
      </c>
      <c r="B442" s="88">
        <v>45307.8889699074</v>
      </c>
      <c r="C442" s="89">
        <f t="shared" si="6"/>
        <v>21</v>
      </c>
      <c r="D442" s="89"/>
      <c r="E442" s="100"/>
    </row>
    <row r="443" spans="1:5">
      <c r="A443" s="87">
        <v>45308.3316666667</v>
      </c>
      <c r="B443" s="88">
        <v>45308.3358333333</v>
      </c>
      <c r="C443" s="89">
        <f t="shared" si="6"/>
        <v>7</v>
      </c>
      <c r="D443" s="89"/>
      <c r="E443" s="100"/>
    </row>
    <row r="444" spans="1:5">
      <c r="A444" s="87">
        <v>45310.2894212963</v>
      </c>
      <c r="B444" s="88">
        <v>45310.3073611111</v>
      </c>
      <c r="C444" s="89">
        <f t="shared" si="6"/>
        <v>6</v>
      </c>
      <c r="D444" s="89"/>
      <c r="E444" s="100"/>
    </row>
    <row r="445" spans="1:5">
      <c r="A445" s="87">
        <v>45307.4686689815</v>
      </c>
      <c r="B445" s="88">
        <v>45307.4790972222</v>
      </c>
      <c r="C445" s="89">
        <f t="shared" si="6"/>
        <v>11</v>
      </c>
      <c r="D445" s="89"/>
      <c r="E445" s="100"/>
    </row>
    <row r="446" spans="1:5">
      <c r="A446" s="87">
        <v>45315.707974537</v>
      </c>
      <c r="B446" s="88">
        <v>45315.7228009259</v>
      </c>
      <c r="C446" s="89">
        <f t="shared" si="6"/>
        <v>16</v>
      </c>
      <c r="D446" s="89"/>
      <c r="E446" s="100"/>
    </row>
    <row r="447" spans="1:5">
      <c r="A447" s="87">
        <v>45308.8278819444</v>
      </c>
      <c r="B447" s="88">
        <v>45308.8429282407</v>
      </c>
      <c r="C447" s="89">
        <f t="shared" si="6"/>
        <v>19</v>
      </c>
      <c r="D447" s="89"/>
      <c r="E447" s="100"/>
    </row>
    <row r="448" spans="1:5">
      <c r="A448" s="87">
        <v>45316.3788194444</v>
      </c>
      <c r="B448" s="88">
        <v>45316.3951388889</v>
      </c>
      <c r="C448" s="89">
        <f t="shared" si="6"/>
        <v>9</v>
      </c>
      <c r="D448" s="89"/>
      <c r="E448" s="100"/>
    </row>
    <row r="449" spans="1:5">
      <c r="A449" s="87">
        <v>45303.3226041667</v>
      </c>
      <c r="B449" s="88">
        <v>45303.3334606482</v>
      </c>
      <c r="C449" s="89">
        <f t="shared" si="6"/>
        <v>7</v>
      </c>
      <c r="D449" s="89"/>
      <c r="E449" s="100"/>
    </row>
    <row r="450" spans="1:5">
      <c r="A450" s="87">
        <v>45316.3938425926</v>
      </c>
      <c r="B450" s="88">
        <v>45316.4005671296</v>
      </c>
      <c r="C450" s="89">
        <f t="shared" si="6"/>
        <v>9</v>
      </c>
      <c r="D450" s="89"/>
      <c r="E450" s="100"/>
    </row>
    <row r="451" spans="1:5">
      <c r="A451" s="87">
        <v>45300.5005208333</v>
      </c>
      <c r="B451" s="88">
        <v>45300.5188310185</v>
      </c>
      <c r="C451" s="89">
        <f t="shared" ref="C451:C501" si="7">HOUR(A451)</f>
        <v>12</v>
      </c>
      <c r="D451" s="89"/>
      <c r="E451" s="100"/>
    </row>
    <row r="452" spans="1:5">
      <c r="A452" s="87">
        <v>45302.8077083333</v>
      </c>
      <c r="B452" s="88">
        <v>45302.8120601852</v>
      </c>
      <c r="C452" s="89">
        <f t="shared" si="7"/>
        <v>19</v>
      </c>
      <c r="D452" s="89"/>
      <c r="E452" s="100"/>
    </row>
    <row r="453" spans="1:5">
      <c r="A453" s="87">
        <v>45303.6134837963</v>
      </c>
      <c r="B453" s="88">
        <v>45303.6320717593</v>
      </c>
      <c r="C453" s="89">
        <f t="shared" si="7"/>
        <v>14</v>
      </c>
      <c r="D453" s="89"/>
      <c r="E453" s="100"/>
    </row>
    <row r="454" spans="1:5">
      <c r="A454" s="87">
        <v>45300.6502546296</v>
      </c>
      <c r="B454" s="88">
        <v>45300.6692939815</v>
      </c>
      <c r="C454" s="89">
        <f t="shared" si="7"/>
        <v>15</v>
      </c>
      <c r="D454" s="89"/>
      <c r="E454" s="100"/>
    </row>
    <row r="455" spans="1:5">
      <c r="A455" s="87">
        <v>45298.9346064815</v>
      </c>
      <c r="B455" s="88">
        <v>45298.9433217593</v>
      </c>
      <c r="C455" s="89">
        <f t="shared" si="7"/>
        <v>22</v>
      </c>
      <c r="D455" s="89"/>
      <c r="E455" s="100"/>
    </row>
    <row r="456" spans="1:5">
      <c r="A456" s="87">
        <v>45317.3695486111</v>
      </c>
      <c r="B456" s="88">
        <v>45317.381412037</v>
      </c>
      <c r="C456" s="89">
        <f t="shared" si="7"/>
        <v>8</v>
      </c>
      <c r="D456" s="89"/>
      <c r="E456" s="100"/>
    </row>
    <row r="457" spans="1:5">
      <c r="A457" s="87">
        <v>45304.7775578704</v>
      </c>
      <c r="B457" s="88">
        <v>45304.7906018519</v>
      </c>
      <c r="C457" s="89">
        <f t="shared" si="7"/>
        <v>18</v>
      </c>
      <c r="D457" s="89"/>
      <c r="E457" s="100"/>
    </row>
    <row r="458" spans="1:5">
      <c r="A458" s="87">
        <v>45298.9293055556</v>
      </c>
      <c r="B458" s="88">
        <v>45298.930787037</v>
      </c>
      <c r="C458" s="89">
        <f t="shared" si="7"/>
        <v>22</v>
      </c>
      <c r="D458" s="89"/>
      <c r="E458" s="100"/>
    </row>
    <row r="459" spans="1:5">
      <c r="A459" s="87">
        <v>45292.4620023148</v>
      </c>
      <c r="B459" s="88">
        <v>45292.4811689815</v>
      </c>
      <c r="C459" s="89">
        <f t="shared" si="7"/>
        <v>11</v>
      </c>
      <c r="D459" s="89"/>
      <c r="E459" s="100"/>
    </row>
    <row r="460" spans="1:5">
      <c r="A460" s="87">
        <v>45315.3736689815</v>
      </c>
      <c r="B460" s="88">
        <v>45315.3873842593</v>
      </c>
      <c r="C460" s="89">
        <f t="shared" si="7"/>
        <v>8</v>
      </c>
      <c r="D460" s="89"/>
      <c r="E460" s="100"/>
    </row>
    <row r="461" spans="1:5">
      <c r="A461" s="87">
        <v>45311.5208217593</v>
      </c>
      <c r="B461" s="88">
        <v>45311.531087963</v>
      </c>
      <c r="C461" s="89">
        <f t="shared" si="7"/>
        <v>12</v>
      </c>
      <c r="D461" s="89"/>
      <c r="E461" s="100"/>
    </row>
    <row r="462" spans="1:5">
      <c r="A462" s="87">
        <v>45294.9294097222</v>
      </c>
      <c r="B462" s="88">
        <v>45294.9328703704</v>
      </c>
      <c r="C462" s="89">
        <f t="shared" si="7"/>
        <v>22</v>
      </c>
      <c r="D462" s="89"/>
      <c r="E462" s="100"/>
    </row>
    <row r="463" spans="1:5">
      <c r="A463" s="87">
        <v>45307.5752430556</v>
      </c>
      <c r="B463" s="88">
        <v>45307.5943171296</v>
      </c>
      <c r="C463" s="89">
        <f t="shared" si="7"/>
        <v>13</v>
      </c>
      <c r="D463" s="89"/>
      <c r="E463" s="100"/>
    </row>
    <row r="464" spans="1:5">
      <c r="A464" s="87">
        <v>45299.5773148148</v>
      </c>
      <c r="B464" s="88">
        <v>45299.5877777778</v>
      </c>
      <c r="C464" s="89">
        <f t="shared" si="7"/>
        <v>13</v>
      </c>
      <c r="D464" s="89"/>
      <c r="E464" s="100"/>
    </row>
    <row r="465" spans="1:5">
      <c r="A465" s="87">
        <v>45294.7804050926</v>
      </c>
      <c r="B465" s="88">
        <v>45294.8005555556</v>
      </c>
      <c r="C465" s="89">
        <f t="shared" si="7"/>
        <v>18</v>
      </c>
      <c r="D465" s="89"/>
      <c r="E465" s="100"/>
    </row>
    <row r="466" spans="1:5">
      <c r="A466" s="87">
        <v>45310.5915162037</v>
      </c>
      <c r="B466" s="88">
        <v>45310.6084027778</v>
      </c>
      <c r="C466" s="89">
        <f t="shared" si="7"/>
        <v>14</v>
      </c>
      <c r="D466" s="89"/>
      <c r="E466" s="100"/>
    </row>
    <row r="467" spans="1:5">
      <c r="A467" s="87">
        <v>45299.5369791667</v>
      </c>
      <c r="B467" s="88">
        <v>45299.5574884259</v>
      </c>
      <c r="C467" s="89">
        <f t="shared" si="7"/>
        <v>12</v>
      </c>
      <c r="D467" s="89"/>
      <c r="E467" s="100"/>
    </row>
    <row r="468" spans="1:5">
      <c r="A468" s="87">
        <v>45307.2839583333</v>
      </c>
      <c r="B468" s="88">
        <v>45307.2974768519</v>
      </c>
      <c r="C468" s="89">
        <f t="shared" si="7"/>
        <v>6</v>
      </c>
      <c r="D468" s="89"/>
      <c r="E468" s="100"/>
    </row>
    <row r="469" spans="1:5">
      <c r="A469" s="87">
        <v>45300.8831944444</v>
      </c>
      <c r="B469" s="88">
        <v>45300.8959953704</v>
      </c>
      <c r="C469" s="89">
        <f t="shared" si="7"/>
        <v>21</v>
      </c>
      <c r="D469" s="89"/>
      <c r="E469" s="100"/>
    </row>
    <row r="470" spans="1:5">
      <c r="A470" s="87">
        <v>45309.3141435185</v>
      </c>
      <c r="B470" s="88">
        <v>45309.3241666667</v>
      </c>
      <c r="C470" s="89">
        <f t="shared" si="7"/>
        <v>7</v>
      </c>
      <c r="D470" s="89"/>
      <c r="E470" s="100"/>
    </row>
    <row r="471" spans="1:5">
      <c r="A471" s="87">
        <v>45292.2800115741</v>
      </c>
      <c r="B471" s="88">
        <v>45292.2896990741</v>
      </c>
      <c r="C471" s="89">
        <f t="shared" si="7"/>
        <v>6</v>
      </c>
      <c r="D471" s="89"/>
      <c r="E471" s="100"/>
    </row>
    <row r="472" spans="1:5">
      <c r="A472" s="87">
        <v>45300.5538194444</v>
      </c>
      <c r="B472" s="88">
        <v>45300.5690393519</v>
      </c>
      <c r="C472" s="89">
        <f t="shared" si="7"/>
        <v>13</v>
      </c>
      <c r="D472" s="89"/>
      <c r="E472" s="100"/>
    </row>
    <row r="473" spans="1:5">
      <c r="A473" s="87">
        <v>45316.7249305556</v>
      </c>
      <c r="B473" s="88">
        <v>45316.7351157407</v>
      </c>
      <c r="C473" s="89">
        <f t="shared" si="7"/>
        <v>17</v>
      </c>
      <c r="D473" s="89"/>
      <c r="E473" s="100"/>
    </row>
    <row r="474" spans="1:5">
      <c r="A474" s="87">
        <v>45295.6189236111</v>
      </c>
      <c r="B474" s="88">
        <v>45295.6327777778</v>
      </c>
      <c r="C474" s="89">
        <f t="shared" si="7"/>
        <v>14</v>
      </c>
      <c r="D474" s="89"/>
      <c r="E474" s="100"/>
    </row>
    <row r="475" spans="1:5">
      <c r="A475" s="87">
        <v>45307.2579398148</v>
      </c>
      <c r="B475" s="88">
        <v>45307.270474537</v>
      </c>
      <c r="C475" s="89">
        <f t="shared" si="7"/>
        <v>6</v>
      </c>
      <c r="D475" s="89"/>
      <c r="E475" s="100"/>
    </row>
    <row r="476" spans="1:5">
      <c r="A476" s="87">
        <v>45310.3090972222</v>
      </c>
      <c r="B476" s="88">
        <v>45310.3261574074</v>
      </c>
      <c r="C476" s="89">
        <f t="shared" si="7"/>
        <v>7</v>
      </c>
      <c r="D476" s="89"/>
      <c r="E476" s="100"/>
    </row>
    <row r="477" spans="1:5">
      <c r="A477" s="87">
        <v>45306.6780439815</v>
      </c>
      <c r="B477" s="88">
        <v>45306.6872685185</v>
      </c>
      <c r="C477" s="89">
        <f t="shared" si="7"/>
        <v>16</v>
      </c>
      <c r="D477" s="89"/>
      <c r="E477" s="100"/>
    </row>
    <row r="478" spans="1:5">
      <c r="A478" s="87">
        <v>45311.5254166667</v>
      </c>
      <c r="B478" s="88">
        <v>45311.5415046296</v>
      </c>
      <c r="C478" s="89">
        <f t="shared" si="7"/>
        <v>12</v>
      </c>
      <c r="D478" s="89"/>
      <c r="E478" s="100"/>
    </row>
    <row r="479" spans="1:5">
      <c r="A479" s="87">
        <v>45316.8722800926</v>
      </c>
      <c r="B479" s="88">
        <v>45316.8820023148</v>
      </c>
      <c r="C479" s="89">
        <f t="shared" si="7"/>
        <v>20</v>
      </c>
      <c r="D479" s="89"/>
      <c r="E479" s="100"/>
    </row>
    <row r="480" spans="1:5">
      <c r="A480" s="87">
        <v>45312.7881712963</v>
      </c>
      <c r="B480" s="88">
        <v>45312.7905555556</v>
      </c>
      <c r="C480" s="89">
        <f t="shared" si="7"/>
        <v>18</v>
      </c>
      <c r="D480" s="89"/>
      <c r="E480" s="100"/>
    </row>
    <row r="481" spans="1:5">
      <c r="A481" s="87">
        <v>45314.6101967593</v>
      </c>
      <c r="B481" s="88">
        <v>45314.6202546296</v>
      </c>
      <c r="C481" s="89">
        <f t="shared" si="7"/>
        <v>14</v>
      </c>
      <c r="D481" s="89"/>
      <c r="E481" s="100"/>
    </row>
    <row r="482" spans="1:5">
      <c r="A482" s="87">
        <v>45297.4958449074</v>
      </c>
      <c r="B482" s="88">
        <v>45297.4995023148</v>
      </c>
      <c r="C482" s="89">
        <f t="shared" si="7"/>
        <v>11</v>
      </c>
      <c r="D482" s="89"/>
      <c r="E482" s="100"/>
    </row>
    <row r="483" spans="1:5">
      <c r="A483" s="87">
        <v>45307.2929282407</v>
      </c>
      <c r="B483" s="88">
        <v>45307.3030324074</v>
      </c>
      <c r="C483" s="89">
        <f t="shared" si="7"/>
        <v>7</v>
      </c>
      <c r="D483" s="89"/>
      <c r="E483" s="100"/>
    </row>
    <row r="484" spans="1:5">
      <c r="A484" s="87">
        <v>45304.6348958333</v>
      </c>
      <c r="B484" s="88">
        <v>45304.6530671296</v>
      </c>
      <c r="C484" s="89">
        <f t="shared" si="7"/>
        <v>15</v>
      </c>
      <c r="D484" s="89"/>
      <c r="E484" s="100"/>
    </row>
    <row r="485" spans="1:5">
      <c r="A485" s="87">
        <v>45293.7471990741</v>
      </c>
      <c r="B485" s="88">
        <v>45293.7556018519</v>
      </c>
      <c r="C485" s="89">
        <f t="shared" si="7"/>
        <v>17</v>
      </c>
      <c r="D485" s="89"/>
      <c r="E485" s="100"/>
    </row>
    <row r="486" spans="1:5">
      <c r="A486" s="87">
        <v>45297.8616550926</v>
      </c>
      <c r="B486" s="88">
        <v>45297.8774189815</v>
      </c>
      <c r="C486" s="89">
        <f t="shared" si="7"/>
        <v>20</v>
      </c>
      <c r="D486" s="89"/>
      <c r="E486" s="100"/>
    </row>
    <row r="487" spans="1:5">
      <c r="A487" s="87">
        <v>45294.8467939815</v>
      </c>
      <c r="B487" s="88">
        <v>45294.8572569444</v>
      </c>
      <c r="C487" s="89">
        <f t="shared" si="7"/>
        <v>20</v>
      </c>
      <c r="D487" s="89"/>
      <c r="E487" s="100"/>
    </row>
    <row r="488" spans="1:5">
      <c r="A488" s="87">
        <v>45309.2812384259</v>
      </c>
      <c r="B488" s="88">
        <v>45309.293587963</v>
      </c>
      <c r="C488" s="89">
        <f t="shared" si="7"/>
        <v>6</v>
      </c>
      <c r="D488" s="89"/>
      <c r="E488" s="100"/>
    </row>
    <row r="489" spans="1:5">
      <c r="A489" s="87">
        <v>45317.2745717593</v>
      </c>
      <c r="B489" s="88">
        <v>45317.2797337963</v>
      </c>
      <c r="C489" s="89">
        <f t="shared" si="7"/>
        <v>6</v>
      </c>
      <c r="D489" s="89"/>
      <c r="E489" s="100"/>
    </row>
    <row r="490" spans="1:5">
      <c r="A490" s="87">
        <v>45318.7599074074</v>
      </c>
      <c r="B490" s="88">
        <v>45318.7624768519</v>
      </c>
      <c r="C490" s="89">
        <f t="shared" si="7"/>
        <v>18</v>
      </c>
      <c r="D490" s="89"/>
      <c r="E490" s="100"/>
    </row>
    <row r="491" spans="1:5">
      <c r="A491" s="87">
        <v>45300.800625</v>
      </c>
      <c r="B491" s="88">
        <v>45300.8029398148</v>
      </c>
      <c r="C491" s="89">
        <f t="shared" si="7"/>
        <v>19</v>
      </c>
      <c r="D491" s="89"/>
      <c r="E491" s="100"/>
    </row>
    <row r="492" spans="1:5">
      <c r="A492" s="87">
        <v>45300.8835648148</v>
      </c>
      <c r="B492" s="88">
        <v>45300.8847106481</v>
      </c>
      <c r="C492" s="89">
        <f t="shared" si="7"/>
        <v>21</v>
      </c>
      <c r="D492" s="89"/>
      <c r="E492" s="100"/>
    </row>
    <row r="493" spans="1:5">
      <c r="A493" s="87">
        <v>45296.8652777778</v>
      </c>
      <c r="B493" s="88">
        <v>45296.8714814815</v>
      </c>
      <c r="C493" s="89">
        <f t="shared" si="7"/>
        <v>20</v>
      </c>
      <c r="D493" s="89"/>
      <c r="E493" s="100"/>
    </row>
    <row r="494" spans="1:5">
      <c r="A494" s="87">
        <v>45307.7289814815</v>
      </c>
      <c r="B494" s="88">
        <v>45307.7484259259</v>
      </c>
      <c r="C494" s="89">
        <f t="shared" si="7"/>
        <v>17</v>
      </c>
      <c r="D494" s="89"/>
      <c r="E494" s="100"/>
    </row>
    <row r="495" spans="1:5">
      <c r="A495" s="87">
        <v>45297.5401967593</v>
      </c>
      <c r="B495" s="88">
        <v>45297.5468171296</v>
      </c>
      <c r="C495" s="89">
        <f t="shared" si="7"/>
        <v>12</v>
      </c>
      <c r="D495" s="89"/>
      <c r="E495" s="100"/>
    </row>
    <row r="496" spans="1:5">
      <c r="A496" s="87">
        <v>45298.8665393519</v>
      </c>
      <c r="B496" s="88">
        <v>45298.8694560185</v>
      </c>
      <c r="C496" s="89">
        <f t="shared" si="7"/>
        <v>20</v>
      </c>
      <c r="D496" s="89"/>
      <c r="E496" s="100"/>
    </row>
    <row r="497" spans="1:5">
      <c r="A497" s="87">
        <v>45302.4866435185</v>
      </c>
      <c r="B497" s="88">
        <v>45302.4883333333</v>
      </c>
      <c r="C497" s="89">
        <f t="shared" si="7"/>
        <v>11</v>
      </c>
      <c r="D497" s="89"/>
      <c r="E497" s="100"/>
    </row>
    <row r="498" spans="1:5">
      <c r="A498" s="87">
        <v>45303.3303472222</v>
      </c>
      <c r="B498" s="88">
        <v>45303.3362037037</v>
      </c>
      <c r="C498" s="89">
        <f t="shared" si="7"/>
        <v>7</v>
      </c>
      <c r="D498" s="89"/>
      <c r="E498" s="100"/>
    </row>
    <row r="499" spans="1:5">
      <c r="A499" s="87">
        <v>45317.5416898148</v>
      </c>
      <c r="B499" s="88">
        <v>45317.5561574074</v>
      </c>
      <c r="C499" s="89">
        <f t="shared" si="7"/>
        <v>13</v>
      </c>
      <c r="D499" s="89"/>
      <c r="E499" s="100"/>
    </row>
    <row r="500" spans="1:5">
      <c r="A500" s="87">
        <v>45307.3636458333</v>
      </c>
      <c r="B500" s="88">
        <v>45307.3723611111</v>
      </c>
      <c r="C500" s="89">
        <f t="shared" si="7"/>
        <v>8</v>
      </c>
      <c r="D500" s="89"/>
      <c r="E500" s="100"/>
    </row>
    <row r="501" spans="1:5">
      <c r="A501" s="87">
        <v>45307.5559606481</v>
      </c>
      <c r="B501" s="88">
        <v>45307.5753356482</v>
      </c>
      <c r="C501" s="89">
        <f t="shared" si="7"/>
        <v>13</v>
      </c>
      <c r="D501" s="89"/>
      <c r="E501" s="100"/>
    </row>
  </sheetData>
  <autoFilter ref="D1:E501">
    <sortState ref="D2:E501">
      <sortCondition ref="E1" descending="1"/>
    </sortState>
    <extLst/>
  </autoFilter>
  <mergeCells count="2">
    <mergeCell ref="F2:F4"/>
    <mergeCell ref="F16:F18"/>
  </mergeCells>
  <conditionalFormatting sqref="A1:F1 A19:F501 A2:C18">
    <cfRule type="expression" dxfId="0" priority="2">
      <formula>MOD(ROW(),2)=1</formula>
    </cfRule>
  </conditionalFormatting>
  <conditionalFormatting sqref="D2:F2 D3:E4 D5:F16 D17:E18">
    <cfRule type="expression" dxfId="0" priority="1">
      <formula>MOD(ROW(),2)=1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01"/>
  <sheetViews>
    <sheetView topLeftCell="D1" workbookViewId="0">
      <selection activeCell="A1" sqref="K$1:K$1048576 A$1:A$1048576"/>
    </sheetView>
  </sheetViews>
  <sheetFormatPr defaultColWidth="8.8" defaultRowHeight="15"/>
  <cols>
    <col min="1" max="2" width="15.8" style="29" customWidth="1"/>
    <col min="3" max="3" width="13.2" style="29" customWidth="1"/>
    <col min="4" max="4" width="9" style="29" customWidth="1"/>
    <col min="5" max="5" width="11.6" style="29" customWidth="1"/>
    <col min="6" max="6" width="8.2" style="29" customWidth="1"/>
    <col min="7" max="7" width="9" style="29" customWidth="1"/>
    <col min="8" max="12" width="15.5" style="29" customWidth="1"/>
    <col min="13" max="14" width="20.1" customWidth="1"/>
    <col min="15" max="15" width="22.2" customWidth="1"/>
    <col min="16" max="16" width="21.3" style="1" customWidth="1"/>
    <col min="17" max="17" width="16" style="29" customWidth="1"/>
    <col min="18" max="18" width="19.2" style="1" customWidth="1"/>
    <col min="19" max="19" width="18.1" customWidth="1"/>
    <col min="20" max="20" width="18.1" style="1" customWidth="1"/>
  </cols>
  <sheetData>
    <row r="1" spans="1:21">
      <c r="A1" s="54" t="s">
        <v>0</v>
      </c>
      <c r="B1" s="32" t="s">
        <v>1</v>
      </c>
      <c r="C1" s="32" t="s">
        <v>2</v>
      </c>
      <c r="D1" s="32" t="s">
        <v>17</v>
      </c>
      <c r="E1" s="32" t="s">
        <v>18</v>
      </c>
      <c r="F1" s="32" t="s">
        <v>19</v>
      </c>
      <c r="G1" s="32" t="s">
        <v>20</v>
      </c>
      <c r="H1" s="32" t="s">
        <v>21</v>
      </c>
      <c r="I1" s="32" t="s">
        <v>13</v>
      </c>
      <c r="J1" s="32" t="s">
        <v>22</v>
      </c>
      <c r="K1" s="32" t="s">
        <v>11</v>
      </c>
      <c r="L1" s="57" t="s">
        <v>23</v>
      </c>
      <c r="M1" s="59" t="s">
        <v>24</v>
      </c>
      <c r="N1" s="60" t="s">
        <v>25</v>
      </c>
      <c r="O1" s="61" t="s">
        <v>26</v>
      </c>
      <c r="P1" s="62" t="s">
        <v>27</v>
      </c>
      <c r="Q1" s="71" t="s">
        <v>28</v>
      </c>
      <c r="R1" s="62" t="s">
        <v>29</v>
      </c>
      <c r="S1" s="61" t="s">
        <v>30</v>
      </c>
      <c r="T1" s="72" t="s">
        <v>31</v>
      </c>
      <c r="U1" s="79"/>
    </row>
    <row r="2" spans="1:20">
      <c r="A2" s="55">
        <v>45295.2828356481</v>
      </c>
      <c r="B2" s="56">
        <v>45295.2893287037</v>
      </c>
      <c r="C2" s="35">
        <v>238</v>
      </c>
      <c r="D2" s="35" t="s">
        <v>32</v>
      </c>
      <c r="E2" s="35" t="s">
        <v>33</v>
      </c>
      <c r="F2" s="35" t="s">
        <v>34</v>
      </c>
      <c r="G2" s="35" t="s">
        <v>35</v>
      </c>
      <c r="H2" s="35">
        <f>IF(G2="Y",1,0)</f>
        <v>1</v>
      </c>
      <c r="I2" s="35">
        <f t="array" ref="I2">COUNTIF($H$2:$H$501,H2)</f>
        <v>375</v>
      </c>
      <c r="J2" s="35">
        <v>5</v>
      </c>
      <c r="K2" s="35">
        <f>HOUR(A2:A501)</f>
        <v>6</v>
      </c>
      <c r="L2" s="58" t="str">
        <f>IF(AND(K2&gt;=6,K2&lt;=18),"Morning","Evening")</f>
        <v>Morning</v>
      </c>
      <c r="M2" s="63" t="str">
        <f t="array" ref="M2:M3">_xlfn.UNIQUE(L2:L501,TRUE,TRUE)</f>
        <v>Morning</v>
      </c>
      <c r="N2" s="64">
        <f>AVERAGEIF($L$2:$L$3,M2,$C$2:$C$501)</f>
        <v>238</v>
      </c>
      <c r="O2" s="65">
        <f>AVERAGEIF($L$2:$L$3,M2,$J$2:$J$501)</f>
        <v>5</v>
      </c>
      <c r="P2" s="66">
        <f>AVERAGEIF($L$2:$L$501,M2,H2:H501)</f>
        <v>0.766839378238342</v>
      </c>
      <c r="Q2" s="35" t="s">
        <v>32</v>
      </c>
      <c r="R2" s="66">
        <f>AVERAGEIF($D$2:$D$501,Q2,$C$2:$C$501)</f>
        <v>294.03125</v>
      </c>
      <c r="S2" s="73" t="s">
        <v>34</v>
      </c>
      <c r="T2" s="74">
        <f>AVERAGEIF($F$2:$F$501,S2,$C$2:$C$501)</f>
        <v>299.618181818182</v>
      </c>
    </row>
    <row r="3" spans="1:20">
      <c r="A3" s="55">
        <v>45310.7930671296</v>
      </c>
      <c r="B3" s="56">
        <v>45310.7959722222</v>
      </c>
      <c r="C3" s="35">
        <v>233</v>
      </c>
      <c r="D3" s="35" t="s">
        <v>32</v>
      </c>
      <c r="E3" s="35" t="s">
        <v>33</v>
      </c>
      <c r="F3" s="35" t="s">
        <v>34</v>
      </c>
      <c r="G3" s="35" t="s">
        <v>36</v>
      </c>
      <c r="H3" s="35">
        <f t="shared" ref="H3:H66" si="0">IF(G3="Y",1,0)</f>
        <v>0</v>
      </c>
      <c r="I3" s="35">
        <f t="array" ref="I3">COUNTIF($H$2:$H$501,H3)</f>
        <v>125</v>
      </c>
      <c r="J3" s="35">
        <v>3</v>
      </c>
      <c r="K3" s="35">
        <f t="shared" ref="K3:K66" si="1">HOUR(A3:A502)</f>
        <v>19</v>
      </c>
      <c r="L3" s="58" t="str">
        <f t="shared" ref="L3:L66" si="2">IF(AND(K3&gt;=6,K3&lt;=18),"Morning","Evening")</f>
        <v>Evening</v>
      </c>
      <c r="M3" s="63" t="str">
        <v>Evening</v>
      </c>
      <c r="N3" s="64">
        <f>AVERAGEIF($L$2:$L$3,M3,$C$2:$C$501)</f>
        <v>233</v>
      </c>
      <c r="O3" s="65">
        <f>AVERAGEIF($M$2:$M$3,M3,$J$2:$J$501)</f>
        <v>3</v>
      </c>
      <c r="P3" s="66">
        <f>AVERAGEIF($L$2:$L$501,M3,H3:H502)</f>
        <v>0.736842105263158</v>
      </c>
      <c r="Q3" s="35" t="s">
        <v>37</v>
      </c>
      <c r="R3" s="66">
        <f>AVERAGEIF($D$2:$D$501,Q3,$C$2:$C$501)</f>
        <v>311.211538461538</v>
      </c>
      <c r="S3" s="73" t="s">
        <v>38</v>
      </c>
      <c r="T3" s="74">
        <f>AVERAGEIF($F$2:$F$501,S3,$C$2:$C$501)</f>
        <v>333.970760233918</v>
      </c>
    </row>
    <row r="4" spans="1:20">
      <c r="A4" s="55">
        <v>45299.859224537</v>
      </c>
      <c r="B4" s="56">
        <v>45299.8790972222</v>
      </c>
      <c r="C4" s="35">
        <v>16</v>
      </c>
      <c r="D4" s="35" t="s">
        <v>32</v>
      </c>
      <c r="E4" s="35" t="s">
        <v>32</v>
      </c>
      <c r="F4" s="35" t="s">
        <v>38</v>
      </c>
      <c r="G4" s="35" t="s">
        <v>35</v>
      </c>
      <c r="H4" s="35">
        <f t="shared" si="0"/>
        <v>1</v>
      </c>
      <c r="I4" s="35"/>
      <c r="J4" s="35">
        <v>3</v>
      </c>
      <c r="K4" s="35">
        <f t="shared" si="1"/>
        <v>20</v>
      </c>
      <c r="L4" s="58" t="str">
        <f t="shared" si="2"/>
        <v>Evening</v>
      </c>
      <c r="M4" s="63"/>
      <c r="N4" s="64"/>
      <c r="O4" s="65"/>
      <c r="P4" s="66"/>
      <c r="Q4" s="35" t="s">
        <v>39</v>
      </c>
      <c r="R4" s="66">
        <f>AVERAGEIF($D$2:$D$501,Q4,$C$2:$C$501)</f>
        <v>317.106382978723</v>
      </c>
      <c r="S4" s="73" t="s">
        <v>40</v>
      </c>
      <c r="T4" s="74">
        <f>AVERAGEIF($F$2:$F$501,S4,$C$2:$C$501)</f>
        <v>316.317073170732</v>
      </c>
    </row>
    <row r="5" spans="1:20">
      <c r="A5" s="55">
        <v>45302.37875</v>
      </c>
      <c r="B5" s="56">
        <v>45302.3817361111</v>
      </c>
      <c r="C5" s="35">
        <v>377</v>
      </c>
      <c r="D5" s="35" t="s">
        <v>37</v>
      </c>
      <c r="E5" s="35" t="s">
        <v>41</v>
      </c>
      <c r="F5" s="35" t="s">
        <v>40</v>
      </c>
      <c r="G5" s="35" t="s">
        <v>35</v>
      </c>
      <c r="H5" s="35">
        <f t="shared" si="0"/>
        <v>1</v>
      </c>
      <c r="I5" s="35"/>
      <c r="J5" s="35">
        <v>5</v>
      </c>
      <c r="K5" s="35">
        <f t="shared" si="1"/>
        <v>9</v>
      </c>
      <c r="L5" s="58" t="str">
        <f t="shared" si="2"/>
        <v>Morning</v>
      </c>
      <c r="M5" s="63"/>
      <c r="N5" s="64"/>
      <c r="O5" s="65"/>
      <c r="P5" s="66"/>
      <c r="Q5" s="35" t="s">
        <v>42</v>
      </c>
      <c r="R5" s="66">
        <f>AVERAGEIF($D$2:$D$501,Q5,$C$2:$C$501)</f>
        <v>328.284403669725</v>
      </c>
      <c r="S5" s="73"/>
      <c r="T5" s="74"/>
    </row>
    <row r="6" ht="15.75" spans="1:20">
      <c r="A6" s="55">
        <v>45304.3578472222</v>
      </c>
      <c r="B6" s="56">
        <v>45304.3781944444</v>
      </c>
      <c r="C6" s="35">
        <v>380</v>
      </c>
      <c r="D6" s="35" t="s">
        <v>39</v>
      </c>
      <c r="E6" s="35" t="s">
        <v>39</v>
      </c>
      <c r="F6" s="35" t="s">
        <v>34</v>
      </c>
      <c r="G6" s="35" t="s">
        <v>36</v>
      </c>
      <c r="H6" s="35">
        <f t="shared" si="0"/>
        <v>0</v>
      </c>
      <c r="I6" s="35"/>
      <c r="J6" s="35">
        <v>3</v>
      </c>
      <c r="K6" s="35">
        <f t="shared" si="1"/>
        <v>8</v>
      </c>
      <c r="L6" s="58" t="str">
        <f t="shared" si="2"/>
        <v>Morning</v>
      </c>
      <c r="M6" s="67"/>
      <c r="N6" s="68"/>
      <c r="O6" s="69"/>
      <c r="P6" s="70"/>
      <c r="Q6" s="75" t="s">
        <v>43</v>
      </c>
      <c r="R6" s="70">
        <f>AVERAGEIF($D$2:$D$501,Q6,$C$2:$C$501)</f>
        <v>332.350515463918</v>
      </c>
      <c r="S6" s="76"/>
      <c r="T6" s="77"/>
    </row>
    <row r="7" spans="1:20">
      <c r="A7" s="55">
        <v>45294.5799305556</v>
      </c>
      <c r="B7" s="56">
        <v>45294.5896296296</v>
      </c>
      <c r="C7" s="35">
        <v>294</v>
      </c>
      <c r="D7" s="35" t="s">
        <v>42</v>
      </c>
      <c r="E7" s="35" t="s">
        <v>41</v>
      </c>
      <c r="F7" s="35" t="s">
        <v>40</v>
      </c>
      <c r="G7" s="35" t="s">
        <v>35</v>
      </c>
      <c r="H7" s="35">
        <f t="shared" si="0"/>
        <v>1</v>
      </c>
      <c r="I7" s="35"/>
      <c r="J7" s="35">
        <v>3</v>
      </c>
      <c r="K7" s="35">
        <f t="shared" si="1"/>
        <v>13</v>
      </c>
      <c r="L7" s="35" t="str">
        <f t="shared" si="2"/>
        <v>Morning</v>
      </c>
      <c r="M7" s="64"/>
      <c r="N7" s="64"/>
      <c r="O7" s="65"/>
      <c r="P7" s="66"/>
      <c r="Q7" s="35"/>
      <c r="R7" s="66"/>
      <c r="S7" s="73"/>
      <c r="T7" s="78"/>
    </row>
    <row r="8" spans="1:20">
      <c r="A8" s="55">
        <v>45300.3601851852</v>
      </c>
      <c r="B8" s="56">
        <v>45300.3649305556</v>
      </c>
      <c r="C8" s="35">
        <v>556</v>
      </c>
      <c r="D8" s="35" t="s">
        <v>32</v>
      </c>
      <c r="E8" s="35" t="s">
        <v>39</v>
      </c>
      <c r="F8" s="35" t="s">
        <v>38</v>
      </c>
      <c r="G8" s="35" t="s">
        <v>35</v>
      </c>
      <c r="H8" s="35">
        <f t="shared" si="0"/>
        <v>1</v>
      </c>
      <c r="I8" s="35"/>
      <c r="J8" s="35">
        <v>5</v>
      </c>
      <c r="K8" s="35">
        <f t="shared" si="1"/>
        <v>8</v>
      </c>
      <c r="L8" s="35" t="str">
        <f t="shared" si="2"/>
        <v>Morning</v>
      </c>
      <c r="M8" s="64"/>
      <c r="N8" s="64"/>
      <c r="O8" s="65"/>
      <c r="P8" s="66"/>
      <c r="Q8" s="35"/>
      <c r="R8" s="66"/>
      <c r="S8" s="73"/>
      <c r="T8" s="78"/>
    </row>
    <row r="9" spans="1:20">
      <c r="A9" s="55">
        <v>45309.5717592593</v>
      </c>
      <c r="B9" s="56">
        <v>45309.5924305556</v>
      </c>
      <c r="C9" s="35">
        <v>67</v>
      </c>
      <c r="D9" s="35" t="s">
        <v>32</v>
      </c>
      <c r="E9" s="35" t="s">
        <v>33</v>
      </c>
      <c r="F9" s="35" t="s">
        <v>38</v>
      </c>
      <c r="G9" s="35" t="s">
        <v>35</v>
      </c>
      <c r="H9" s="35">
        <f t="shared" si="0"/>
        <v>1</v>
      </c>
      <c r="I9" s="35"/>
      <c r="J9" s="35">
        <v>3</v>
      </c>
      <c r="K9" s="35">
        <f t="shared" si="1"/>
        <v>13</v>
      </c>
      <c r="L9" s="35" t="str">
        <f t="shared" si="2"/>
        <v>Morning</v>
      </c>
      <c r="M9" s="64"/>
      <c r="N9" s="64"/>
      <c r="O9" s="65"/>
      <c r="P9" s="66"/>
      <c r="Q9" s="35"/>
      <c r="R9" s="66"/>
      <c r="S9" s="73"/>
      <c r="T9" s="78"/>
    </row>
    <row r="10" spans="1:20">
      <c r="A10" s="55">
        <v>45310.6761689815</v>
      </c>
      <c r="B10" s="56">
        <v>45310.6886921296</v>
      </c>
      <c r="C10" s="35">
        <v>415</v>
      </c>
      <c r="D10" s="35" t="s">
        <v>42</v>
      </c>
      <c r="E10" s="35" t="s">
        <v>39</v>
      </c>
      <c r="F10" s="35" t="s">
        <v>38</v>
      </c>
      <c r="G10" s="35" t="s">
        <v>36</v>
      </c>
      <c r="H10" s="35">
        <f t="shared" si="0"/>
        <v>0</v>
      </c>
      <c r="I10" s="35"/>
      <c r="J10" s="35">
        <v>3</v>
      </c>
      <c r="K10" s="35">
        <f t="shared" si="1"/>
        <v>16</v>
      </c>
      <c r="L10" s="35" t="str">
        <f t="shared" si="2"/>
        <v>Morning</v>
      </c>
      <c r="M10" s="64"/>
      <c r="N10" s="64"/>
      <c r="O10" s="65"/>
      <c r="P10" s="66"/>
      <c r="Q10" s="35"/>
      <c r="R10" s="66"/>
      <c r="S10" s="73"/>
      <c r="T10" s="78"/>
    </row>
    <row r="11" spans="1:20">
      <c r="A11" s="55">
        <v>45315.8316782407</v>
      </c>
      <c r="B11" s="56">
        <v>45315.8418287037</v>
      </c>
      <c r="C11" s="35">
        <v>380</v>
      </c>
      <c r="D11" s="35" t="s">
        <v>32</v>
      </c>
      <c r="E11" s="35" t="s">
        <v>39</v>
      </c>
      <c r="F11" s="35" t="s">
        <v>34</v>
      </c>
      <c r="G11" s="35" t="s">
        <v>35</v>
      </c>
      <c r="H11" s="35">
        <f t="shared" si="0"/>
        <v>1</v>
      </c>
      <c r="I11" s="35"/>
      <c r="J11" s="35">
        <v>3</v>
      </c>
      <c r="K11" s="35">
        <f t="shared" si="1"/>
        <v>19</v>
      </c>
      <c r="L11" s="35" t="str">
        <f t="shared" si="2"/>
        <v>Evening</v>
      </c>
      <c r="M11" s="64"/>
      <c r="N11" s="64"/>
      <c r="O11" s="65"/>
      <c r="P11" s="66"/>
      <c r="Q11" s="35"/>
      <c r="R11" s="66"/>
      <c r="S11" s="73"/>
      <c r="T11" s="78"/>
    </row>
    <row r="12" spans="1:20">
      <c r="A12" s="55">
        <v>45295.4445601852</v>
      </c>
      <c r="B12" s="56">
        <v>45295.4640277778</v>
      </c>
      <c r="C12" s="35">
        <v>442</v>
      </c>
      <c r="D12" s="35" t="s">
        <v>39</v>
      </c>
      <c r="E12" s="35" t="s">
        <v>33</v>
      </c>
      <c r="F12" s="35" t="s">
        <v>38</v>
      </c>
      <c r="G12" s="35" t="s">
        <v>35</v>
      </c>
      <c r="H12" s="35">
        <f t="shared" si="0"/>
        <v>1</v>
      </c>
      <c r="I12" s="35"/>
      <c r="J12" s="35">
        <v>4</v>
      </c>
      <c r="K12" s="35">
        <f t="shared" si="1"/>
        <v>10</v>
      </c>
      <c r="L12" s="35" t="str">
        <f t="shared" si="2"/>
        <v>Morning</v>
      </c>
      <c r="M12" s="64"/>
      <c r="N12" s="64"/>
      <c r="O12" s="65"/>
      <c r="P12" s="66"/>
      <c r="Q12" s="35"/>
      <c r="R12" s="66"/>
      <c r="S12" s="73"/>
      <c r="T12" s="78"/>
    </row>
    <row r="13" spans="1:20">
      <c r="A13" s="55">
        <v>45300.2803935185</v>
      </c>
      <c r="B13" s="56">
        <v>45300.2837962963</v>
      </c>
      <c r="C13" s="35">
        <v>559</v>
      </c>
      <c r="D13" s="35" t="s">
        <v>37</v>
      </c>
      <c r="E13" s="35" t="s">
        <v>41</v>
      </c>
      <c r="F13" s="35" t="s">
        <v>40</v>
      </c>
      <c r="G13" s="35" t="s">
        <v>35</v>
      </c>
      <c r="H13" s="35">
        <f t="shared" si="0"/>
        <v>1</v>
      </c>
      <c r="I13" s="35"/>
      <c r="J13" s="35">
        <v>3</v>
      </c>
      <c r="K13" s="35">
        <f t="shared" si="1"/>
        <v>6</v>
      </c>
      <c r="L13" s="35" t="str">
        <f t="shared" si="2"/>
        <v>Morning</v>
      </c>
      <c r="M13" s="64"/>
      <c r="N13" s="64"/>
      <c r="O13" s="65"/>
      <c r="P13" s="66"/>
      <c r="Q13" s="35"/>
      <c r="R13" s="66"/>
      <c r="S13" s="73"/>
      <c r="T13" s="78"/>
    </row>
    <row r="14" spans="1:20">
      <c r="A14" s="55">
        <v>45292.6061111111</v>
      </c>
      <c r="B14" s="56">
        <v>45292.6110300926</v>
      </c>
      <c r="C14" s="35">
        <v>529</v>
      </c>
      <c r="D14" s="35" t="s">
        <v>43</v>
      </c>
      <c r="E14" s="35" t="s">
        <v>41</v>
      </c>
      <c r="F14" s="35" t="s">
        <v>34</v>
      </c>
      <c r="G14" s="35" t="s">
        <v>35</v>
      </c>
      <c r="H14" s="35">
        <f t="shared" si="0"/>
        <v>1</v>
      </c>
      <c r="I14" s="35"/>
      <c r="J14" s="35">
        <v>3</v>
      </c>
      <c r="K14" s="35">
        <f t="shared" si="1"/>
        <v>14</v>
      </c>
      <c r="L14" s="35" t="str">
        <f t="shared" si="2"/>
        <v>Morning</v>
      </c>
      <c r="M14" s="64"/>
      <c r="N14" s="64"/>
      <c r="O14" s="65"/>
      <c r="P14" s="66"/>
      <c r="Q14" s="35"/>
      <c r="R14" s="66"/>
      <c r="S14" s="73"/>
      <c r="T14" s="78"/>
    </row>
    <row r="15" spans="1:20">
      <c r="A15" s="55">
        <v>45303.4825115741</v>
      </c>
      <c r="B15" s="56">
        <v>45303.495775463</v>
      </c>
      <c r="C15" s="35">
        <v>10</v>
      </c>
      <c r="D15" s="35" t="s">
        <v>39</v>
      </c>
      <c r="E15" s="35" t="s">
        <v>41</v>
      </c>
      <c r="F15" s="35" t="s">
        <v>38</v>
      </c>
      <c r="G15" s="35" t="s">
        <v>36</v>
      </c>
      <c r="H15" s="35">
        <f t="shared" si="0"/>
        <v>0</v>
      </c>
      <c r="I15" s="35"/>
      <c r="J15" s="35">
        <v>2</v>
      </c>
      <c r="K15" s="35">
        <f t="shared" si="1"/>
        <v>11</v>
      </c>
      <c r="L15" s="35" t="str">
        <f t="shared" si="2"/>
        <v>Morning</v>
      </c>
      <c r="M15" s="64"/>
      <c r="N15" s="64"/>
      <c r="O15" s="65"/>
      <c r="P15" s="66"/>
      <c r="Q15" s="35"/>
      <c r="R15" s="66"/>
      <c r="S15" s="73"/>
      <c r="T15" s="78"/>
    </row>
    <row r="16" spans="1:20">
      <c r="A16" s="55">
        <v>45317.6354513889</v>
      </c>
      <c r="B16" s="56">
        <v>45317.6418518519</v>
      </c>
      <c r="C16" s="35">
        <v>590</v>
      </c>
      <c r="D16" s="35" t="s">
        <v>43</v>
      </c>
      <c r="E16" s="35" t="s">
        <v>33</v>
      </c>
      <c r="F16" s="35" t="s">
        <v>34</v>
      </c>
      <c r="G16" s="35" t="s">
        <v>35</v>
      </c>
      <c r="H16" s="35">
        <f t="shared" si="0"/>
        <v>1</v>
      </c>
      <c r="I16" s="35"/>
      <c r="J16" s="35">
        <v>3</v>
      </c>
      <c r="K16" s="35">
        <f t="shared" si="1"/>
        <v>15</v>
      </c>
      <c r="L16" s="35" t="str">
        <f t="shared" si="2"/>
        <v>Morning</v>
      </c>
      <c r="M16" s="64"/>
      <c r="N16" s="64"/>
      <c r="O16" s="65"/>
      <c r="P16" s="66"/>
      <c r="Q16" s="35"/>
      <c r="R16" s="66"/>
      <c r="S16" s="73"/>
      <c r="T16" s="78"/>
    </row>
    <row r="17" spans="1:20">
      <c r="A17" s="55">
        <v>45309.4227083333</v>
      </c>
      <c r="B17" s="56">
        <v>45309.4346643519</v>
      </c>
      <c r="C17" s="35">
        <v>572</v>
      </c>
      <c r="D17" s="35" t="s">
        <v>32</v>
      </c>
      <c r="E17" s="35" t="s">
        <v>41</v>
      </c>
      <c r="F17" s="35" t="s">
        <v>34</v>
      </c>
      <c r="G17" s="35" t="s">
        <v>35</v>
      </c>
      <c r="H17" s="35">
        <f t="shared" si="0"/>
        <v>1</v>
      </c>
      <c r="I17" s="35"/>
      <c r="J17" s="35">
        <v>4</v>
      </c>
      <c r="K17" s="35">
        <f t="shared" si="1"/>
        <v>10</v>
      </c>
      <c r="L17" s="35" t="str">
        <f t="shared" si="2"/>
        <v>Morning</v>
      </c>
      <c r="M17" s="64"/>
      <c r="N17" s="64"/>
      <c r="O17" s="65"/>
      <c r="P17" s="66"/>
      <c r="Q17" s="35"/>
      <c r="R17" s="66"/>
      <c r="S17" s="73"/>
      <c r="T17" s="78"/>
    </row>
    <row r="18" spans="1:20">
      <c r="A18" s="55">
        <v>45309.5314699074</v>
      </c>
      <c r="B18" s="56">
        <v>45309.5416203704</v>
      </c>
      <c r="C18" s="35">
        <v>392</v>
      </c>
      <c r="D18" s="35" t="s">
        <v>42</v>
      </c>
      <c r="E18" s="35" t="s">
        <v>32</v>
      </c>
      <c r="F18" s="35" t="s">
        <v>40</v>
      </c>
      <c r="G18" s="35" t="s">
        <v>36</v>
      </c>
      <c r="H18" s="35">
        <f t="shared" si="0"/>
        <v>0</v>
      </c>
      <c r="I18" s="35"/>
      <c r="J18" s="35">
        <v>1</v>
      </c>
      <c r="K18" s="35">
        <f t="shared" si="1"/>
        <v>12</v>
      </c>
      <c r="L18" s="35" t="str">
        <f t="shared" si="2"/>
        <v>Morning</v>
      </c>
      <c r="M18" s="64"/>
      <c r="N18" s="64"/>
      <c r="O18" s="65"/>
      <c r="P18" s="66"/>
      <c r="Q18" s="35"/>
      <c r="R18" s="66"/>
      <c r="S18" s="73"/>
      <c r="T18" s="78"/>
    </row>
    <row r="19" spans="1:20">
      <c r="A19" s="55">
        <v>45309.5675231482</v>
      </c>
      <c r="B19" s="56">
        <v>45309.5683796296</v>
      </c>
      <c r="C19" s="35">
        <v>82</v>
      </c>
      <c r="D19" s="35" t="s">
        <v>43</v>
      </c>
      <c r="E19" s="35" t="s">
        <v>39</v>
      </c>
      <c r="F19" s="35" t="s">
        <v>40</v>
      </c>
      <c r="G19" s="35" t="s">
        <v>35</v>
      </c>
      <c r="H19" s="35">
        <f t="shared" si="0"/>
        <v>1</v>
      </c>
      <c r="I19" s="35"/>
      <c r="J19" s="35">
        <v>4</v>
      </c>
      <c r="K19" s="35">
        <f t="shared" si="1"/>
        <v>13</v>
      </c>
      <c r="L19" s="35" t="str">
        <f t="shared" si="2"/>
        <v>Morning</v>
      </c>
      <c r="M19" s="65"/>
      <c r="N19" s="65"/>
      <c r="O19" s="65"/>
      <c r="P19" s="66"/>
      <c r="Q19" s="35"/>
      <c r="R19" s="66"/>
      <c r="S19" s="73"/>
      <c r="T19" s="78"/>
    </row>
    <row r="20" spans="1:20">
      <c r="A20" s="55">
        <v>45308.5539583333</v>
      </c>
      <c r="B20" s="56">
        <v>45308.5661574074</v>
      </c>
      <c r="C20" s="35">
        <v>229</v>
      </c>
      <c r="D20" s="35" t="s">
        <v>39</v>
      </c>
      <c r="E20" s="35" t="s">
        <v>39</v>
      </c>
      <c r="F20" s="35" t="s">
        <v>34</v>
      </c>
      <c r="G20" s="35" t="s">
        <v>35</v>
      </c>
      <c r="H20" s="35">
        <f t="shared" si="0"/>
        <v>1</v>
      </c>
      <c r="I20" s="35"/>
      <c r="J20" s="35">
        <v>5</v>
      </c>
      <c r="K20" s="35">
        <f t="shared" si="1"/>
        <v>13</v>
      </c>
      <c r="L20" s="35" t="str">
        <f t="shared" si="2"/>
        <v>Morning</v>
      </c>
      <c r="M20" s="65"/>
      <c r="N20" s="65"/>
      <c r="O20" s="65"/>
      <c r="P20" s="66"/>
      <c r="Q20" s="35"/>
      <c r="R20" s="66"/>
      <c r="S20" s="73"/>
      <c r="T20" s="78"/>
    </row>
    <row r="21" spans="1:20">
      <c r="A21" s="55">
        <v>45307.5767361111</v>
      </c>
      <c r="B21" s="56">
        <v>45307.5965625</v>
      </c>
      <c r="C21" s="35">
        <v>426</v>
      </c>
      <c r="D21" s="35" t="s">
        <v>32</v>
      </c>
      <c r="E21" s="35" t="s">
        <v>33</v>
      </c>
      <c r="F21" s="35" t="s">
        <v>40</v>
      </c>
      <c r="G21" s="35" t="s">
        <v>35</v>
      </c>
      <c r="H21" s="35">
        <f t="shared" si="0"/>
        <v>1</v>
      </c>
      <c r="I21" s="35"/>
      <c r="J21" s="35">
        <v>4</v>
      </c>
      <c r="K21" s="35">
        <f t="shared" si="1"/>
        <v>13</v>
      </c>
      <c r="L21" s="35" t="str">
        <f t="shared" si="2"/>
        <v>Morning</v>
      </c>
      <c r="M21" s="65"/>
      <c r="N21" s="65"/>
      <c r="O21" s="65"/>
      <c r="P21" s="66"/>
      <c r="Q21" s="35"/>
      <c r="R21" s="66"/>
      <c r="S21" s="73"/>
      <c r="T21" s="78"/>
    </row>
    <row r="22" spans="1:20">
      <c r="A22" s="55">
        <v>45305.8720601852</v>
      </c>
      <c r="B22" s="56">
        <v>45305.8740277778</v>
      </c>
      <c r="C22" s="35">
        <v>110</v>
      </c>
      <c r="D22" s="35" t="s">
        <v>43</v>
      </c>
      <c r="E22" s="35" t="s">
        <v>32</v>
      </c>
      <c r="F22" s="35" t="s">
        <v>34</v>
      </c>
      <c r="G22" s="35" t="s">
        <v>35</v>
      </c>
      <c r="H22" s="35">
        <f t="shared" si="0"/>
        <v>1</v>
      </c>
      <c r="I22" s="35"/>
      <c r="J22" s="35">
        <v>3</v>
      </c>
      <c r="K22" s="35">
        <f t="shared" si="1"/>
        <v>20</v>
      </c>
      <c r="L22" s="35" t="str">
        <f t="shared" si="2"/>
        <v>Evening</v>
      </c>
      <c r="M22" s="65"/>
      <c r="N22" s="65"/>
      <c r="O22" s="65"/>
      <c r="P22" s="66"/>
      <c r="Q22" s="35"/>
      <c r="R22" s="66"/>
      <c r="S22" s="73"/>
      <c r="T22" s="78"/>
    </row>
    <row r="23" spans="1:20">
      <c r="A23" s="55">
        <v>45298.5239351852</v>
      </c>
      <c r="B23" s="56">
        <v>45298.5279513889</v>
      </c>
      <c r="C23" s="35">
        <v>442</v>
      </c>
      <c r="D23" s="35" t="s">
        <v>32</v>
      </c>
      <c r="E23" s="35" t="s">
        <v>41</v>
      </c>
      <c r="F23" s="35" t="s">
        <v>38</v>
      </c>
      <c r="G23" s="35" t="s">
        <v>36</v>
      </c>
      <c r="H23" s="35">
        <f t="shared" si="0"/>
        <v>0</v>
      </c>
      <c r="I23" s="35"/>
      <c r="J23" s="35">
        <v>1</v>
      </c>
      <c r="K23" s="35">
        <f t="shared" si="1"/>
        <v>12</v>
      </c>
      <c r="L23" s="35" t="str">
        <f t="shared" si="2"/>
        <v>Morning</v>
      </c>
      <c r="M23" s="65"/>
      <c r="N23" s="65"/>
      <c r="O23" s="65"/>
      <c r="P23" s="66"/>
      <c r="Q23" s="35"/>
      <c r="R23" s="66"/>
      <c r="S23" s="73"/>
      <c r="T23" s="78"/>
    </row>
    <row r="24" spans="1:20">
      <c r="A24" s="55">
        <v>45319.3775578704</v>
      </c>
      <c r="B24" s="56">
        <v>45319.3910648148</v>
      </c>
      <c r="C24" s="35">
        <v>25</v>
      </c>
      <c r="D24" s="35" t="s">
        <v>43</v>
      </c>
      <c r="E24" s="35" t="s">
        <v>39</v>
      </c>
      <c r="F24" s="35" t="s">
        <v>40</v>
      </c>
      <c r="G24" s="35" t="s">
        <v>35</v>
      </c>
      <c r="H24" s="35">
        <f t="shared" si="0"/>
        <v>1</v>
      </c>
      <c r="I24" s="35"/>
      <c r="J24" s="35">
        <v>4</v>
      </c>
      <c r="K24" s="35">
        <f t="shared" si="1"/>
        <v>9</v>
      </c>
      <c r="L24" s="35" t="str">
        <f t="shared" si="2"/>
        <v>Morning</v>
      </c>
      <c r="M24" s="65"/>
      <c r="N24" s="65"/>
      <c r="O24" s="65"/>
      <c r="P24" s="66"/>
      <c r="Q24" s="35"/>
      <c r="R24" s="66"/>
      <c r="S24" s="73"/>
      <c r="T24" s="78"/>
    </row>
    <row r="25" spans="1:20">
      <c r="A25" s="55">
        <v>45319.7896180556</v>
      </c>
      <c r="B25" s="56">
        <v>45319.794212963</v>
      </c>
      <c r="C25" s="35">
        <v>398</v>
      </c>
      <c r="D25" s="35" t="s">
        <v>43</v>
      </c>
      <c r="E25" s="35" t="s">
        <v>32</v>
      </c>
      <c r="F25" s="35" t="s">
        <v>38</v>
      </c>
      <c r="G25" s="35" t="s">
        <v>35</v>
      </c>
      <c r="H25" s="35">
        <f t="shared" si="0"/>
        <v>1</v>
      </c>
      <c r="I25" s="35"/>
      <c r="J25" s="35">
        <v>4</v>
      </c>
      <c r="K25" s="35">
        <f t="shared" si="1"/>
        <v>18</v>
      </c>
      <c r="L25" s="35" t="str">
        <f t="shared" si="2"/>
        <v>Morning</v>
      </c>
      <c r="M25" s="65"/>
      <c r="N25" s="65"/>
      <c r="O25" s="65"/>
      <c r="P25" s="66"/>
      <c r="Q25" s="35"/>
      <c r="R25" s="66"/>
      <c r="S25" s="73"/>
      <c r="T25" s="78"/>
    </row>
    <row r="26" spans="1:20">
      <c r="A26" s="55">
        <v>45305.8813888889</v>
      </c>
      <c r="B26" s="56">
        <v>45305.8891087963</v>
      </c>
      <c r="C26" s="35">
        <v>232</v>
      </c>
      <c r="D26" s="35" t="s">
        <v>43</v>
      </c>
      <c r="E26" s="35" t="s">
        <v>33</v>
      </c>
      <c r="F26" s="35" t="s">
        <v>34</v>
      </c>
      <c r="G26" s="35" t="s">
        <v>35</v>
      </c>
      <c r="H26" s="35">
        <f t="shared" si="0"/>
        <v>1</v>
      </c>
      <c r="I26" s="35"/>
      <c r="J26" s="35">
        <v>3</v>
      </c>
      <c r="K26" s="35">
        <f t="shared" si="1"/>
        <v>21</v>
      </c>
      <c r="L26" s="35" t="str">
        <f t="shared" si="2"/>
        <v>Evening</v>
      </c>
      <c r="M26" s="65"/>
      <c r="N26" s="65"/>
      <c r="O26" s="65"/>
      <c r="P26" s="66"/>
      <c r="Q26" s="35"/>
      <c r="R26" s="66"/>
      <c r="S26" s="73"/>
      <c r="T26" s="78"/>
    </row>
    <row r="27" spans="1:20">
      <c r="A27" s="55">
        <v>45307.9575694444</v>
      </c>
      <c r="B27" s="56">
        <v>45307.9708449074</v>
      </c>
      <c r="C27" s="35">
        <v>171</v>
      </c>
      <c r="D27" s="35" t="s">
        <v>43</v>
      </c>
      <c r="E27" s="35" t="s">
        <v>33</v>
      </c>
      <c r="F27" s="35" t="s">
        <v>40</v>
      </c>
      <c r="G27" s="35" t="s">
        <v>36</v>
      </c>
      <c r="H27" s="35">
        <f t="shared" si="0"/>
        <v>0</v>
      </c>
      <c r="I27" s="35"/>
      <c r="J27" s="35">
        <v>1</v>
      </c>
      <c r="K27" s="35">
        <f t="shared" si="1"/>
        <v>22</v>
      </c>
      <c r="L27" s="35" t="str">
        <f t="shared" si="2"/>
        <v>Evening</v>
      </c>
      <c r="M27" s="65"/>
      <c r="N27" s="65"/>
      <c r="O27" s="65"/>
      <c r="P27" s="66"/>
      <c r="Q27" s="35"/>
      <c r="R27" s="66"/>
      <c r="S27" s="73"/>
      <c r="T27" s="78"/>
    </row>
    <row r="28" spans="1:20">
      <c r="A28" s="55">
        <v>45304.4143055556</v>
      </c>
      <c r="B28" s="56">
        <v>45304.4208333333</v>
      </c>
      <c r="C28" s="35">
        <v>50</v>
      </c>
      <c r="D28" s="35" t="s">
        <v>39</v>
      </c>
      <c r="E28" s="35" t="s">
        <v>33</v>
      </c>
      <c r="F28" s="35" t="s">
        <v>38</v>
      </c>
      <c r="G28" s="35" t="s">
        <v>35</v>
      </c>
      <c r="H28" s="35">
        <f t="shared" si="0"/>
        <v>1</v>
      </c>
      <c r="I28" s="35"/>
      <c r="J28" s="35">
        <v>5</v>
      </c>
      <c r="K28" s="35">
        <f t="shared" si="1"/>
        <v>9</v>
      </c>
      <c r="L28" s="35" t="str">
        <f t="shared" si="2"/>
        <v>Morning</v>
      </c>
      <c r="M28" s="65"/>
      <c r="N28" s="65"/>
      <c r="O28" s="65"/>
      <c r="P28" s="66"/>
      <c r="Q28" s="35"/>
      <c r="R28" s="66"/>
      <c r="S28" s="73"/>
      <c r="T28" s="78"/>
    </row>
    <row r="29" spans="1:20">
      <c r="A29" s="55">
        <v>45302.5928472222</v>
      </c>
      <c r="B29" s="56">
        <v>45302.6105092593</v>
      </c>
      <c r="C29" s="35">
        <v>331</v>
      </c>
      <c r="D29" s="35" t="s">
        <v>32</v>
      </c>
      <c r="E29" s="35" t="s">
        <v>41</v>
      </c>
      <c r="F29" s="35" t="s">
        <v>38</v>
      </c>
      <c r="G29" s="35" t="s">
        <v>36</v>
      </c>
      <c r="H29" s="35">
        <f t="shared" si="0"/>
        <v>0</v>
      </c>
      <c r="I29" s="35"/>
      <c r="J29" s="35">
        <v>3</v>
      </c>
      <c r="K29" s="35">
        <f t="shared" si="1"/>
        <v>14</v>
      </c>
      <c r="L29" s="35" t="str">
        <f t="shared" si="2"/>
        <v>Morning</v>
      </c>
      <c r="M29" s="65"/>
      <c r="N29" s="65"/>
      <c r="O29" s="65"/>
      <c r="P29" s="66"/>
      <c r="Q29" s="35"/>
      <c r="R29" s="66"/>
      <c r="S29" s="73"/>
      <c r="T29" s="78"/>
    </row>
    <row r="30" spans="1:20">
      <c r="A30" s="55">
        <v>45316.3336689815</v>
      </c>
      <c r="B30" s="56">
        <v>45316.3490856482</v>
      </c>
      <c r="C30" s="35">
        <v>586</v>
      </c>
      <c r="D30" s="35" t="s">
        <v>43</v>
      </c>
      <c r="E30" s="35" t="s">
        <v>33</v>
      </c>
      <c r="F30" s="35" t="s">
        <v>34</v>
      </c>
      <c r="G30" s="35" t="s">
        <v>36</v>
      </c>
      <c r="H30" s="35">
        <f t="shared" si="0"/>
        <v>0</v>
      </c>
      <c r="I30" s="35"/>
      <c r="J30" s="35">
        <v>2</v>
      </c>
      <c r="K30" s="35">
        <f t="shared" si="1"/>
        <v>8</v>
      </c>
      <c r="L30" s="35" t="str">
        <f t="shared" si="2"/>
        <v>Morning</v>
      </c>
      <c r="M30" s="65"/>
      <c r="N30" s="65"/>
      <c r="O30" s="65"/>
      <c r="P30" s="66"/>
      <c r="Q30" s="35"/>
      <c r="R30" s="66"/>
      <c r="S30" s="73"/>
      <c r="T30" s="78"/>
    </row>
    <row r="31" spans="1:20">
      <c r="A31" s="55">
        <v>45294.5578472222</v>
      </c>
      <c r="B31" s="56">
        <v>45294.5622800926</v>
      </c>
      <c r="C31" s="35">
        <v>458</v>
      </c>
      <c r="D31" s="35" t="s">
        <v>39</v>
      </c>
      <c r="E31" s="35" t="s">
        <v>41</v>
      </c>
      <c r="F31" s="35" t="s">
        <v>34</v>
      </c>
      <c r="G31" s="35" t="s">
        <v>35</v>
      </c>
      <c r="H31" s="35">
        <f t="shared" si="0"/>
        <v>1</v>
      </c>
      <c r="I31" s="35"/>
      <c r="J31" s="35">
        <v>5</v>
      </c>
      <c r="K31" s="35">
        <f t="shared" si="1"/>
        <v>13</v>
      </c>
      <c r="L31" s="35" t="str">
        <f t="shared" si="2"/>
        <v>Morning</v>
      </c>
      <c r="M31" s="65"/>
      <c r="N31" s="65"/>
      <c r="O31" s="65"/>
      <c r="P31" s="66"/>
      <c r="Q31" s="35"/>
      <c r="R31" s="66"/>
      <c r="S31" s="73"/>
      <c r="T31" s="78"/>
    </row>
    <row r="32" spans="1:20">
      <c r="A32" s="55">
        <v>45292.6664583333</v>
      </c>
      <c r="B32" s="56">
        <v>45292.6696064815</v>
      </c>
      <c r="C32" s="35">
        <v>147</v>
      </c>
      <c r="D32" s="35" t="s">
        <v>37</v>
      </c>
      <c r="E32" s="35" t="s">
        <v>33</v>
      </c>
      <c r="F32" s="35" t="s">
        <v>40</v>
      </c>
      <c r="G32" s="35" t="s">
        <v>35</v>
      </c>
      <c r="H32" s="35">
        <f t="shared" si="0"/>
        <v>1</v>
      </c>
      <c r="I32" s="35"/>
      <c r="J32" s="35">
        <v>3</v>
      </c>
      <c r="K32" s="35">
        <f t="shared" si="1"/>
        <v>15</v>
      </c>
      <c r="L32" s="35" t="str">
        <f t="shared" si="2"/>
        <v>Morning</v>
      </c>
      <c r="M32" s="65"/>
      <c r="N32" s="65"/>
      <c r="O32" s="65"/>
      <c r="P32" s="66"/>
      <c r="Q32" s="35"/>
      <c r="R32" s="66"/>
      <c r="S32" s="73"/>
      <c r="T32" s="78"/>
    </row>
    <row r="33" spans="1:20">
      <c r="A33" s="55">
        <v>45301.5314930556</v>
      </c>
      <c r="B33" s="56">
        <v>45301.5370023148</v>
      </c>
      <c r="C33" s="35">
        <v>280</v>
      </c>
      <c r="D33" s="35" t="s">
        <v>39</v>
      </c>
      <c r="E33" s="35" t="s">
        <v>32</v>
      </c>
      <c r="F33" s="35" t="s">
        <v>38</v>
      </c>
      <c r="G33" s="35" t="s">
        <v>35</v>
      </c>
      <c r="H33" s="35">
        <f t="shared" si="0"/>
        <v>1</v>
      </c>
      <c r="I33" s="35"/>
      <c r="J33" s="35">
        <v>3</v>
      </c>
      <c r="K33" s="35">
        <f t="shared" si="1"/>
        <v>12</v>
      </c>
      <c r="L33" s="35" t="str">
        <f t="shared" si="2"/>
        <v>Morning</v>
      </c>
      <c r="M33" s="65"/>
      <c r="N33" s="65"/>
      <c r="O33" s="65"/>
      <c r="P33" s="66"/>
      <c r="Q33" s="35"/>
      <c r="R33" s="66"/>
      <c r="S33" s="73"/>
      <c r="T33" s="78"/>
    </row>
    <row r="34" spans="1:20">
      <c r="A34" s="55">
        <v>45312.8286689815</v>
      </c>
      <c r="B34" s="56">
        <v>45312.8304050926</v>
      </c>
      <c r="C34" s="35">
        <v>13</v>
      </c>
      <c r="D34" s="35" t="s">
        <v>37</v>
      </c>
      <c r="E34" s="35" t="s">
        <v>39</v>
      </c>
      <c r="F34" s="35" t="s">
        <v>34</v>
      </c>
      <c r="G34" s="35" t="s">
        <v>35</v>
      </c>
      <c r="H34" s="35">
        <f t="shared" si="0"/>
        <v>1</v>
      </c>
      <c r="I34" s="35"/>
      <c r="J34" s="35">
        <v>3</v>
      </c>
      <c r="K34" s="35">
        <f t="shared" si="1"/>
        <v>19</v>
      </c>
      <c r="L34" s="35" t="str">
        <f t="shared" si="2"/>
        <v>Evening</v>
      </c>
      <c r="M34" s="65"/>
      <c r="N34" s="65"/>
      <c r="O34" s="65"/>
      <c r="P34" s="66"/>
      <c r="Q34" s="35"/>
      <c r="R34" s="66"/>
      <c r="S34" s="73"/>
      <c r="T34" s="78"/>
    </row>
    <row r="35" spans="1:20">
      <c r="A35" s="55">
        <v>45306.8159722222</v>
      </c>
      <c r="B35" s="56">
        <v>45306.8193171296</v>
      </c>
      <c r="C35" s="35">
        <v>87</v>
      </c>
      <c r="D35" s="35" t="s">
        <v>32</v>
      </c>
      <c r="E35" s="35" t="s">
        <v>33</v>
      </c>
      <c r="F35" s="35" t="s">
        <v>38</v>
      </c>
      <c r="G35" s="35" t="s">
        <v>35</v>
      </c>
      <c r="H35" s="35">
        <f t="shared" si="0"/>
        <v>1</v>
      </c>
      <c r="I35" s="35"/>
      <c r="J35" s="35">
        <v>3</v>
      </c>
      <c r="K35" s="35">
        <f t="shared" si="1"/>
        <v>19</v>
      </c>
      <c r="L35" s="35" t="str">
        <f t="shared" si="2"/>
        <v>Evening</v>
      </c>
      <c r="M35" s="65"/>
      <c r="N35" s="65"/>
      <c r="O35" s="65"/>
      <c r="P35" s="66"/>
      <c r="Q35" s="35"/>
      <c r="R35" s="66"/>
      <c r="S35" s="73"/>
      <c r="T35" s="78"/>
    </row>
    <row r="36" spans="1:20">
      <c r="A36" s="55">
        <v>45296.3051273148</v>
      </c>
      <c r="B36" s="56">
        <v>45296.3246875</v>
      </c>
      <c r="C36" s="35">
        <v>50</v>
      </c>
      <c r="D36" s="35" t="s">
        <v>37</v>
      </c>
      <c r="E36" s="35" t="s">
        <v>39</v>
      </c>
      <c r="F36" s="35" t="s">
        <v>34</v>
      </c>
      <c r="G36" s="35" t="s">
        <v>36</v>
      </c>
      <c r="H36" s="35">
        <f t="shared" si="0"/>
        <v>0</v>
      </c>
      <c r="I36" s="35"/>
      <c r="J36" s="35">
        <v>1</v>
      </c>
      <c r="K36" s="35">
        <f t="shared" si="1"/>
        <v>7</v>
      </c>
      <c r="L36" s="35" t="str">
        <f t="shared" si="2"/>
        <v>Morning</v>
      </c>
      <c r="M36" s="65"/>
      <c r="N36" s="65"/>
      <c r="O36" s="65"/>
      <c r="P36" s="66"/>
      <c r="Q36" s="35"/>
      <c r="R36" s="66"/>
      <c r="S36" s="73"/>
      <c r="T36" s="78"/>
    </row>
    <row r="37" spans="1:20">
      <c r="A37" s="55">
        <v>45319.8192939815</v>
      </c>
      <c r="B37" s="56">
        <v>45319.8236458333</v>
      </c>
      <c r="C37" s="35">
        <v>252</v>
      </c>
      <c r="D37" s="35" t="s">
        <v>32</v>
      </c>
      <c r="E37" s="35" t="s">
        <v>39</v>
      </c>
      <c r="F37" s="35" t="s">
        <v>38</v>
      </c>
      <c r="G37" s="35" t="s">
        <v>36</v>
      </c>
      <c r="H37" s="35">
        <f t="shared" si="0"/>
        <v>0</v>
      </c>
      <c r="I37" s="35"/>
      <c r="J37" s="35">
        <v>3</v>
      </c>
      <c r="K37" s="35">
        <f t="shared" si="1"/>
        <v>19</v>
      </c>
      <c r="L37" s="35" t="str">
        <f t="shared" si="2"/>
        <v>Evening</v>
      </c>
      <c r="M37" s="65"/>
      <c r="N37" s="65"/>
      <c r="O37" s="65"/>
      <c r="P37" s="66"/>
      <c r="Q37" s="35"/>
      <c r="R37" s="66"/>
      <c r="S37" s="73"/>
      <c r="T37" s="78"/>
    </row>
    <row r="38" spans="1:20">
      <c r="A38" s="55">
        <v>45305.553587963</v>
      </c>
      <c r="B38" s="56">
        <v>45305.5729398148</v>
      </c>
      <c r="C38" s="35">
        <v>120</v>
      </c>
      <c r="D38" s="35" t="s">
        <v>42</v>
      </c>
      <c r="E38" s="35" t="s">
        <v>33</v>
      </c>
      <c r="F38" s="35" t="s">
        <v>38</v>
      </c>
      <c r="G38" s="35" t="s">
        <v>36</v>
      </c>
      <c r="H38" s="35">
        <f t="shared" si="0"/>
        <v>0</v>
      </c>
      <c r="I38" s="35"/>
      <c r="J38" s="35">
        <v>2</v>
      </c>
      <c r="K38" s="35">
        <f t="shared" si="1"/>
        <v>13</v>
      </c>
      <c r="L38" s="35" t="str">
        <f t="shared" si="2"/>
        <v>Morning</v>
      </c>
      <c r="M38" s="65"/>
      <c r="N38" s="65"/>
      <c r="O38" s="65"/>
      <c r="P38" s="66"/>
      <c r="Q38" s="35"/>
      <c r="R38" s="66"/>
      <c r="S38" s="73"/>
      <c r="T38" s="78"/>
    </row>
    <row r="39" spans="1:20">
      <c r="A39" s="55">
        <v>45317.551400463</v>
      </c>
      <c r="B39" s="56">
        <v>45317.5677314815</v>
      </c>
      <c r="C39" s="35">
        <v>207</v>
      </c>
      <c r="D39" s="35" t="s">
        <v>42</v>
      </c>
      <c r="E39" s="35" t="s">
        <v>41</v>
      </c>
      <c r="F39" s="35" t="s">
        <v>38</v>
      </c>
      <c r="G39" s="35" t="s">
        <v>35</v>
      </c>
      <c r="H39" s="35">
        <f t="shared" si="0"/>
        <v>1</v>
      </c>
      <c r="I39" s="35"/>
      <c r="J39" s="35">
        <v>4</v>
      </c>
      <c r="K39" s="35">
        <f t="shared" si="1"/>
        <v>13</v>
      </c>
      <c r="L39" s="35" t="str">
        <f t="shared" si="2"/>
        <v>Morning</v>
      </c>
      <c r="M39" s="65"/>
      <c r="N39" s="65"/>
      <c r="O39" s="65"/>
      <c r="P39" s="66"/>
      <c r="Q39" s="35"/>
      <c r="R39" s="66"/>
      <c r="S39" s="73"/>
      <c r="T39" s="78"/>
    </row>
    <row r="40" spans="1:20">
      <c r="A40" s="55">
        <v>45312.934525463</v>
      </c>
      <c r="B40" s="56">
        <v>45312.9552083333</v>
      </c>
      <c r="C40" s="35">
        <v>559</v>
      </c>
      <c r="D40" s="35" t="s">
        <v>37</v>
      </c>
      <c r="E40" s="35" t="s">
        <v>33</v>
      </c>
      <c r="F40" s="35" t="s">
        <v>40</v>
      </c>
      <c r="G40" s="35" t="s">
        <v>35</v>
      </c>
      <c r="H40" s="35">
        <f t="shared" si="0"/>
        <v>1</v>
      </c>
      <c r="I40" s="35"/>
      <c r="J40" s="35">
        <v>4</v>
      </c>
      <c r="K40" s="35">
        <f t="shared" si="1"/>
        <v>22</v>
      </c>
      <c r="L40" s="35" t="str">
        <f t="shared" si="2"/>
        <v>Evening</v>
      </c>
      <c r="M40" s="65"/>
      <c r="N40" s="65"/>
      <c r="O40" s="65"/>
      <c r="P40" s="66"/>
      <c r="Q40" s="35"/>
      <c r="R40" s="66"/>
      <c r="S40" s="73"/>
      <c r="T40" s="78"/>
    </row>
    <row r="41" spans="1:20">
      <c r="A41" s="55">
        <v>45310.5847916667</v>
      </c>
      <c r="B41" s="56">
        <v>45310.5996180556</v>
      </c>
      <c r="C41" s="35">
        <v>454</v>
      </c>
      <c r="D41" s="35" t="s">
        <v>37</v>
      </c>
      <c r="E41" s="35" t="s">
        <v>41</v>
      </c>
      <c r="F41" s="35" t="s">
        <v>38</v>
      </c>
      <c r="G41" s="35" t="s">
        <v>35</v>
      </c>
      <c r="H41" s="35">
        <f t="shared" si="0"/>
        <v>1</v>
      </c>
      <c r="I41" s="35"/>
      <c r="J41" s="35">
        <v>5</v>
      </c>
      <c r="K41" s="35">
        <f t="shared" si="1"/>
        <v>14</v>
      </c>
      <c r="L41" s="35" t="str">
        <f t="shared" si="2"/>
        <v>Morning</v>
      </c>
      <c r="M41" s="65"/>
      <c r="N41" s="65"/>
      <c r="O41" s="65"/>
      <c r="P41" s="66"/>
      <c r="Q41" s="35"/>
      <c r="R41" s="66"/>
      <c r="S41" s="73"/>
      <c r="T41" s="78"/>
    </row>
    <row r="42" spans="1:20">
      <c r="A42" s="55">
        <v>45304.5111342593</v>
      </c>
      <c r="B42" s="56">
        <v>45304.5286226852</v>
      </c>
      <c r="C42" s="35">
        <v>456</v>
      </c>
      <c r="D42" s="35" t="s">
        <v>43</v>
      </c>
      <c r="E42" s="35" t="s">
        <v>39</v>
      </c>
      <c r="F42" s="35" t="s">
        <v>38</v>
      </c>
      <c r="G42" s="35" t="s">
        <v>35</v>
      </c>
      <c r="H42" s="35">
        <f t="shared" si="0"/>
        <v>1</v>
      </c>
      <c r="I42" s="35"/>
      <c r="J42" s="35">
        <v>5</v>
      </c>
      <c r="K42" s="35">
        <f t="shared" si="1"/>
        <v>12</v>
      </c>
      <c r="L42" s="35" t="str">
        <f t="shared" si="2"/>
        <v>Morning</v>
      </c>
      <c r="M42" s="65"/>
      <c r="N42" s="65"/>
      <c r="O42" s="65"/>
      <c r="P42" s="66"/>
      <c r="Q42" s="35"/>
      <c r="R42" s="66"/>
      <c r="S42" s="73"/>
      <c r="T42" s="78"/>
    </row>
    <row r="43" spans="1:20">
      <c r="A43" s="55">
        <v>45302.6964583333</v>
      </c>
      <c r="B43" s="56">
        <v>45302.7001041667</v>
      </c>
      <c r="C43" s="35">
        <v>317</v>
      </c>
      <c r="D43" s="35" t="s">
        <v>39</v>
      </c>
      <c r="E43" s="35" t="s">
        <v>41</v>
      </c>
      <c r="F43" s="35" t="s">
        <v>34</v>
      </c>
      <c r="G43" s="35" t="s">
        <v>35</v>
      </c>
      <c r="H43" s="35">
        <f t="shared" si="0"/>
        <v>1</v>
      </c>
      <c r="I43" s="35"/>
      <c r="J43" s="35">
        <v>4</v>
      </c>
      <c r="K43" s="35">
        <f t="shared" si="1"/>
        <v>16</v>
      </c>
      <c r="L43" s="35" t="str">
        <f t="shared" si="2"/>
        <v>Morning</v>
      </c>
      <c r="M43" s="65"/>
      <c r="N43" s="65"/>
      <c r="O43" s="65"/>
      <c r="P43" s="66"/>
      <c r="Q43" s="35"/>
      <c r="R43" s="66"/>
      <c r="S43" s="73"/>
      <c r="T43" s="78"/>
    </row>
    <row r="44" spans="1:20">
      <c r="A44" s="55">
        <v>45301.4253009259</v>
      </c>
      <c r="B44" s="56">
        <v>45301.4417476852</v>
      </c>
      <c r="C44" s="35">
        <v>398</v>
      </c>
      <c r="D44" s="35" t="s">
        <v>32</v>
      </c>
      <c r="E44" s="35" t="s">
        <v>41</v>
      </c>
      <c r="F44" s="35" t="s">
        <v>38</v>
      </c>
      <c r="G44" s="35" t="s">
        <v>35</v>
      </c>
      <c r="H44" s="35">
        <f t="shared" si="0"/>
        <v>1</v>
      </c>
      <c r="I44" s="35"/>
      <c r="J44" s="35">
        <v>3</v>
      </c>
      <c r="K44" s="35">
        <f t="shared" si="1"/>
        <v>10</v>
      </c>
      <c r="L44" s="35" t="str">
        <f t="shared" si="2"/>
        <v>Morning</v>
      </c>
      <c r="M44" s="65"/>
      <c r="N44" s="65"/>
      <c r="O44" s="65"/>
      <c r="P44" s="66"/>
      <c r="Q44" s="35"/>
      <c r="R44" s="66"/>
      <c r="S44" s="73"/>
      <c r="T44" s="78"/>
    </row>
    <row r="45" spans="1:20">
      <c r="A45" s="55">
        <v>45301.5193287037</v>
      </c>
      <c r="B45" s="56">
        <v>45301.5337615741</v>
      </c>
      <c r="C45" s="35">
        <v>339</v>
      </c>
      <c r="D45" s="35" t="s">
        <v>42</v>
      </c>
      <c r="E45" s="35" t="s">
        <v>32</v>
      </c>
      <c r="F45" s="35" t="s">
        <v>38</v>
      </c>
      <c r="G45" s="35" t="s">
        <v>35</v>
      </c>
      <c r="H45" s="35">
        <f t="shared" si="0"/>
        <v>1</v>
      </c>
      <c r="I45" s="35"/>
      <c r="J45" s="35">
        <v>5</v>
      </c>
      <c r="K45" s="35">
        <f t="shared" si="1"/>
        <v>12</v>
      </c>
      <c r="L45" s="35" t="str">
        <f t="shared" si="2"/>
        <v>Morning</v>
      </c>
      <c r="M45" s="65"/>
      <c r="N45" s="65"/>
      <c r="O45" s="65"/>
      <c r="P45" s="66"/>
      <c r="Q45" s="35"/>
      <c r="R45" s="66"/>
      <c r="S45" s="73"/>
      <c r="T45" s="78"/>
    </row>
    <row r="46" spans="1:20">
      <c r="A46" s="55">
        <v>45317.4875578704</v>
      </c>
      <c r="B46" s="56">
        <v>45317.4949768518</v>
      </c>
      <c r="C46" s="35">
        <v>537</v>
      </c>
      <c r="D46" s="35" t="s">
        <v>39</v>
      </c>
      <c r="E46" s="35" t="s">
        <v>41</v>
      </c>
      <c r="F46" s="35" t="s">
        <v>40</v>
      </c>
      <c r="G46" s="35" t="s">
        <v>35</v>
      </c>
      <c r="H46" s="35">
        <f t="shared" si="0"/>
        <v>1</v>
      </c>
      <c r="I46" s="35"/>
      <c r="J46" s="35">
        <v>3</v>
      </c>
      <c r="K46" s="35">
        <f t="shared" si="1"/>
        <v>11</v>
      </c>
      <c r="L46" s="35" t="str">
        <f t="shared" si="2"/>
        <v>Morning</v>
      </c>
      <c r="M46" s="65"/>
      <c r="N46" s="65"/>
      <c r="O46" s="65"/>
      <c r="P46" s="66"/>
      <c r="Q46" s="35"/>
      <c r="R46" s="66"/>
      <c r="S46" s="73"/>
      <c r="T46" s="78"/>
    </row>
    <row r="47" spans="1:20">
      <c r="A47" s="55">
        <v>45301.5772222222</v>
      </c>
      <c r="B47" s="56">
        <v>45301.581400463</v>
      </c>
      <c r="C47" s="35">
        <v>35</v>
      </c>
      <c r="D47" s="35" t="s">
        <v>43</v>
      </c>
      <c r="E47" s="35" t="s">
        <v>39</v>
      </c>
      <c r="F47" s="35" t="s">
        <v>38</v>
      </c>
      <c r="G47" s="35" t="s">
        <v>35</v>
      </c>
      <c r="H47" s="35">
        <f t="shared" si="0"/>
        <v>1</v>
      </c>
      <c r="I47" s="35"/>
      <c r="J47" s="35">
        <v>3</v>
      </c>
      <c r="K47" s="35">
        <f t="shared" si="1"/>
        <v>13</v>
      </c>
      <c r="L47" s="35" t="str">
        <f t="shared" si="2"/>
        <v>Morning</v>
      </c>
      <c r="M47" s="65"/>
      <c r="N47" s="65"/>
      <c r="O47" s="65"/>
      <c r="P47" s="66"/>
      <c r="Q47" s="35"/>
      <c r="R47" s="66"/>
      <c r="S47" s="73"/>
      <c r="T47" s="78"/>
    </row>
    <row r="48" spans="1:20">
      <c r="A48" s="55">
        <v>45305.5317592593</v>
      </c>
      <c r="B48" s="56">
        <v>45305.5415509259</v>
      </c>
      <c r="C48" s="35">
        <v>516</v>
      </c>
      <c r="D48" s="35" t="s">
        <v>42</v>
      </c>
      <c r="E48" s="35" t="s">
        <v>39</v>
      </c>
      <c r="F48" s="35" t="s">
        <v>40</v>
      </c>
      <c r="G48" s="35" t="s">
        <v>35</v>
      </c>
      <c r="H48" s="35">
        <f t="shared" si="0"/>
        <v>1</v>
      </c>
      <c r="I48" s="35"/>
      <c r="J48" s="35">
        <v>3</v>
      </c>
      <c r="K48" s="35">
        <f t="shared" si="1"/>
        <v>12</v>
      </c>
      <c r="L48" s="35" t="str">
        <f t="shared" si="2"/>
        <v>Morning</v>
      </c>
      <c r="M48" s="65"/>
      <c r="N48" s="65"/>
      <c r="O48" s="65"/>
      <c r="P48" s="66"/>
      <c r="Q48" s="35"/>
      <c r="R48" s="66"/>
      <c r="S48" s="73"/>
      <c r="T48" s="78"/>
    </row>
    <row r="49" spans="1:20">
      <c r="A49" s="55">
        <v>45316.4093402778</v>
      </c>
      <c r="B49" s="56">
        <v>45316.4152199074</v>
      </c>
      <c r="C49" s="35">
        <v>190</v>
      </c>
      <c r="D49" s="35" t="s">
        <v>39</v>
      </c>
      <c r="E49" s="35" t="s">
        <v>32</v>
      </c>
      <c r="F49" s="35" t="s">
        <v>40</v>
      </c>
      <c r="G49" s="35" t="s">
        <v>35</v>
      </c>
      <c r="H49" s="35">
        <f t="shared" si="0"/>
        <v>1</v>
      </c>
      <c r="I49" s="35"/>
      <c r="J49" s="35">
        <v>3</v>
      </c>
      <c r="K49" s="35">
        <f t="shared" si="1"/>
        <v>9</v>
      </c>
      <c r="L49" s="35" t="str">
        <f t="shared" si="2"/>
        <v>Morning</v>
      </c>
      <c r="M49" s="65"/>
      <c r="N49" s="65"/>
      <c r="O49" s="65"/>
      <c r="P49" s="66"/>
      <c r="Q49" s="35"/>
      <c r="R49" s="66"/>
      <c r="S49" s="73"/>
      <c r="T49" s="78"/>
    </row>
    <row r="50" spans="1:20">
      <c r="A50" s="55">
        <v>45296.8628819444</v>
      </c>
      <c r="B50" s="56">
        <v>45296.8768171296</v>
      </c>
      <c r="C50" s="35">
        <v>334</v>
      </c>
      <c r="D50" s="35" t="s">
        <v>42</v>
      </c>
      <c r="E50" s="35" t="s">
        <v>32</v>
      </c>
      <c r="F50" s="35" t="s">
        <v>34</v>
      </c>
      <c r="G50" s="35" t="s">
        <v>35</v>
      </c>
      <c r="H50" s="35">
        <f t="shared" si="0"/>
        <v>1</v>
      </c>
      <c r="I50" s="35"/>
      <c r="J50" s="35">
        <v>3</v>
      </c>
      <c r="K50" s="35">
        <f t="shared" si="1"/>
        <v>20</v>
      </c>
      <c r="L50" s="35" t="str">
        <f t="shared" si="2"/>
        <v>Evening</v>
      </c>
      <c r="M50" s="65"/>
      <c r="N50" s="65"/>
      <c r="O50" s="65"/>
      <c r="P50" s="66"/>
      <c r="Q50" s="35"/>
      <c r="R50" s="66"/>
      <c r="S50" s="73"/>
      <c r="T50" s="78"/>
    </row>
    <row r="51" spans="1:20">
      <c r="A51" s="55">
        <v>45319.8946296296</v>
      </c>
      <c r="B51" s="56">
        <v>45319.9131365741</v>
      </c>
      <c r="C51" s="35">
        <v>263</v>
      </c>
      <c r="D51" s="35" t="s">
        <v>37</v>
      </c>
      <c r="E51" s="35" t="s">
        <v>32</v>
      </c>
      <c r="F51" s="35" t="s">
        <v>34</v>
      </c>
      <c r="G51" s="35" t="s">
        <v>36</v>
      </c>
      <c r="H51" s="35">
        <f t="shared" si="0"/>
        <v>0</v>
      </c>
      <c r="I51" s="35"/>
      <c r="J51" s="35">
        <v>2</v>
      </c>
      <c r="K51" s="35">
        <f t="shared" si="1"/>
        <v>21</v>
      </c>
      <c r="L51" s="35" t="str">
        <f t="shared" si="2"/>
        <v>Evening</v>
      </c>
      <c r="M51" s="65"/>
      <c r="N51" s="65"/>
      <c r="O51" s="65"/>
      <c r="P51" s="66"/>
      <c r="Q51" s="35"/>
      <c r="R51" s="66"/>
      <c r="S51" s="73"/>
      <c r="T51" s="78"/>
    </row>
    <row r="52" spans="1:20">
      <c r="A52" s="55">
        <v>45299.5981481482</v>
      </c>
      <c r="B52" s="56">
        <v>45299.6116435185</v>
      </c>
      <c r="C52" s="35">
        <v>92</v>
      </c>
      <c r="D52" s="35" t="s">
        <v>32</v>
      </c>
      <c r="E52" s="35" t="s">
        <v>39</v>
      </c>
      <c r="F52" s="35" t="s">
        <v>40</v>
      </c>
      <c r="G52" s="35" t="s">
        <v>35</v>
      </c>
      <c r="H52" s="35">
        <f t="shared" si="0"/>
        <v>1</v>
      </c>
      <c r="I52" s="35"/>
      <c r="J52" s="35">
        <v>3</v>
      </c>
      <c r="K52" s="35">
        <f t="shared" si="1"/>
        <v>14</v>
      </c>
      <c r="L52" s="35" t="str">
        <f t="shared" si="2"/>
        <v>Morning</v>
      </c>
      <c r="M52" s="65"/>
      <c r="N52" s="65"/>
      <c r="O52" s="65"/>
      <c r="P52" s="66"/>
      <c r="Q52" s="35"/>
      <c r="R52" s="66"/>
      <c r="S52" s="73"/>
      <c r="T52" s="78"/>
    </row>
    <row r="53" spans="1:20">
      <c r="A53" s="55">
        <v>45298.3516898148</v>
      </c>
      <c r="B53" s="56">
        <v>45298.3602199074</v>
      </c>
      <c r="C53" s="35">
        <v>565</v>
      </c>
      <c r="D53" s="35" t="s">
        <v>42</v>
      </c>
      <c r="E53" s="35" t="s">
        <v>32</v>
      </c>
      <c r="F53" s="35" t="s">
        <v>40</v>
      </c>
      <c r="G53" s="35" t="s">
        <v>36</v>
      </c>
      <c r="H53" s="35">
        <f t="shared" si="0"/>
        <v>0</v>
      </c>
      <c r="I53" s="35"/>
      <c r="J53" s="35">
        <v>2</v>
      </c>
      <c r="K53" s="35">
        <f t="shared" si="1"/>
        <v>8</v>
      </c>
      <c r="L53" s="35" t="str">
        <f t="shared" si="2"/>
        <v>Morning</v>
      </c>
      <c r="M53" s="65"/>
      <c r="N53" s="65"/>
      <c r="O53" s="65"/>
      <c r="P53" s="66"/>
      <c r="Q53" s="35"/>
      <c r="R53" s="66"/>
      <c r="S53" s="73"/>
      <c r="T53" s="78"/>
    </row>
    <row r="54" spans="1:20">
      <c r="A54" s="55">
        <v>45310.2881481481</v>
      </c>
      <c r="B54" s="56">
        <v>45310.3069791667</v>
      </c>
      <c r="C54" s="35">
        <v>599</v>
      </c>
      <c r="D54" s="35" t="s">
        <v>42</v>
      </c>
      <c r="E54" s="35" t="s">
        <v>32</v>
      </c>
      <c r="F54" s="35" t="s">
        <v>40</v>
      </c>
      <c r="G54" s="35" t="s">
        <v>35</v>
      </c>
      <c r="H54" s="35">
        <f t="shared" si="0"/>
        <v>1</v>
      </c>
      <c r="I54" s="35"/>
      <c r="J54" s="35">
        <v>4</v>
      </c>
      <c r="K54" s="35">
        <f t="shared" si="1"/>
        <v>6</v>
      </c>
      <c r="L54" s="35" t="str">
        <f t="shared" si="2"/>
        <v>Morning</v>
      </c>
      <c r="M54" s="65"/>
      <c r="N54" s="65"/>
      <c r="O54" s="65"/>
      <c r="P54" s="66"/>
      <c r="Q54" s="35"/>
      <c r="R54" s="66"/>
      <c r="S54" s="73"/>
      <c r="T54" s="78"/>
    </row>
    <row r="55" spans="1:20">
      <c r="A55" s="55">
        <v>45304.8158217593</v>
      </c>
      <c r="B55" s="56">
        <v>45304.8339236111</v>
      </c>
      <c r="C55" s="35">
        <v>569</v>
      </c>
      <c r="D55" s="35" t="s">
        <v>39</v>
      </c>
      <c r="E55" s="35" t="s">
        <v>39</v>
      </c>
      <c r="F55" s="35" t="s">
        <v>38</v>
      </c>
      <c r="G55" s="35" t="s">
        <v>36</v>
      </c>
      <c r="H55" s="35">
        <f t="shared" si="0"/>
        <v>0</v>
      </c>
      <c r="I55" s="35"/>
      <c r="J55" s="35">
        <v>2</v>
      </c>
      <c r="K55" s="35">
        <f t="shared" si="1"/>
        <v>19</v>
      </c>
      <c r="L55" s="35" t="str">
        <f t="shared" si="2"/>
        <v>Evening</v>
      </c>
      <c r="M55" s="65"/>
      <c r="N55" s="65"/>
      <c r="O55" s="65"/>
      <c r="P55" s="66"/>
      <c r="Q55" s="35"/>
      <c r="R55" s="66"/>
      <c r="S55" s="73"/>
      <c r="T55" s="78"/>
    </row>
    <row r="56" spans="1:20">
      <c r="A56" s="55">
        <v>45302.7820601852</v>
      </c>
      <c r="B56" s="56">
        <v>45302.8026736111</v>
      </c>
      <c r="C56" s="35">
        <v>488</v>
      </c>
      <c r="D56" s="35" t="s">
        <v>32</v>
      </c>
      <c r="E56" s="35" t="s">
        <v>33</v>
      </c>
      <c r="F56" s="35" t="s">
        <v>38</v>
      </c>
      <c r="G56" s="35" t="s">
        <v>35</v>
      </c>
      <c r="H56" s="35">
        <f t="shared" si="0"/>
        <v>1</v>
      </c>
      <c r="I56" s="35"/>
      <c r="J56" s="35">
        <v>5</v>
      </c>
      <c r="K56" s="35">
        <f t="shared" si="1"/>
        <v>18</v>
      </c>
      <c r="L56" s="35" t="str">
        <f t="shared" si="2"/>
        <v>Morning</v>
      </c>
      <c r="M56" s="65"/>
      <c r="N56" s="65"/>
      <c r="O56" s="65"/>
      <c r="P56" s="66"/>
      <c r="Q56" s="35"/>
      <c r="R56" s="66"/>
      <c r="S56" s="73"/>
      <c r="T56" s="78"/>
    </row>
    <row r="57" spans="1:20">
      <c r="A57" s="55">
        <v>45294.7978587963</v>
      </c>
      <c r="B57" s="56">
        <v>45294.8094907407</v>
      </c>
      <c r="C57" s="35">
        <v>196</v>
      </c>
      <c r="D57" s="35" t="s">
        <v>43</v>
      </c>
      <c r="E57" s="35" t="s">
        <v>41</v>
      </c>
      <c r="F57" s="35" t="s">
        <v>38</v>
      </c>
      <c r="G57" s="35" t="s">
        <v>35</v>
      </c>
      <c r="H57" s="35">
        <f t="shared" si="0"/>
        <v>1</v>
      </c>
      <c r="I57" s="35"/>
      <c r="J57" s="35">
        <v>4</v>
      </c>
      <c r="K57" s="35">
        <f t="shared" si="1"/>
        <v>19</v>
      </c>
      <c r="L57" s="35" t="str">
        <f t="shared" si="2"/>
        <v>Evening</v>
      </c>
      <c r="M57" s="65"/>
      <c r="N57" s="65"/>
      <c r="O57" s="65"/>
      <c r="P57" s="66"/>
      <c r="Q57" s="35"/>
      <c r="R57" s="66"/>
      <c r="S57" s="73"/>
      <c r="T57" s="78"/>
    </row>
    <row r="58" spans="1:20">
      <c r="A58" s="55">
        <v>45302.7623611111</v>
      </c>
      <c r="B58" s="56">
        <v>45302.7827662037</v>
      </c>
      <c r="C58" s="35">
        <v>441</v>
      </c>
      <c r="D58" s="35" t="s">
        <v>37</v>
      </c>
      <c r="E58" s="35" t="s">
        <v>33</v>
      </c>
      <c r="F58" s="35" t="s">
        <v>38</v>
      </c>
      <c r="G58" s="35" t="s">
        <v>36</v>
      </c>
      <c r="H58" s="35">
        <f t="shared" si="0"/>
        <v>0</v>
      </c>
      <c r="I58" s="35"/>
      <c r="J58" s="35">
        <v>3</v>
      </c>
      <c r="K58" s="35">
        <f t="shared" si="1"/>
        <v>18</v>
      </c>
      <c r="L58" s="35" t="str">
        <f t="shared" si="2"/>
        <v>Morning</v>
      </c>
      <c r="M58" s="65"/>
      <c r="N58" s="65"/>
      <c r="O58" s="65"/>
      <c r="P58" s="66"/>
      <c r="Q58" s="35"/>
      <c r="R58" s="66"/>
      <c r="S58" s="73"/>
      <c r="T58" s="78"/>
    </row>
    <row r="59" spans="1:20">
      <c r="A59" s="55">
        <v>45299.3678356481</v>
      </c>
      <c r="B59" s="56">
        <v>45299.3694791667</v>
      </c>
      <c r="C59" s="35">
        <v>41</v>
      </c>
      <c r="D59" s="35" t="s">
        <v>32</v>
      </c>
      <c r="E59" s="35" t="s">
        <v>39</v>
      </c>
      <c r="F59" s="35" t="s">
        <v>40</v>
      </c>
      <c r="G59" s="35" t="s">
        <v>35</v>
      </c>
      <c r="H59" s="35">
        <f t="shared" si="0"/>
        <v>1</v>
      </c>
      <c r="I59" s="35"/>
      <c r="J59" s="35">
        <v>3</v>
      </c>
      <c r="K59" s="35">
        <f t="shared" si="1"/>
        <v>8</v>
      </c>
      <c r="L59" s="35" t="str">
        <f t="shared" si="2"/>
        <v>Morning</v>
      </c>
      <c r="M59" s="65"/>
      <c r="N59" s="65"/>
      <c r="O59" s="65"/>
      <c r="P59" s="66"/>
      <c r="Q59" s="35"/>
      <c r="R59" s="66"/>
      <c r="S59" s="73"/>
      <c r="T59" s="78"/>
    </row>
    <row r="60" spans="1:20">
      <c r="A60" s="55">
        <v>45307.400150463</v>
      </c>
      <c r="B60" s="56">
        <v>45307.4118634259</v>
      </c>
      <c r="C60" s="35">
        <v>272</v>
      </c>
      <c r="D60" s="35" t="s">
        <v>37</v>
      </c>
      <c r="E60" s="35" t="s">
        <v>39</v>
      </c>
      <c r="F60" s="35" t="s">
        <v>34</v>
      </c>
      <c r="G60" s="35" t="s">
        <v>35</v>
      </c>
      <c r="H60" s="35">
        <f t="shared" si="0"/>
        <v>1</v>
      </c>
      <c r="I60" s="35"/>
      <c r="J60" s="35">
        <v>5</v>
      </c>
      <c r="K60" s="35">
        <f t="shared" si="1"/>
        <v>9</v>
      </c>
      <c r="L60" s="35" t="str">
        <f t="shared" si="2"/>
        <v>Morning</v>
      </c>
      <c r="M60" s="65"/>
      <c r="N60" s="65"/>
      <c r="O60" s="65"/>
      <c r="P60" s="66"/>
      <c r="Q60" s="35"/>
      <c r="R60" s="66"/>
      <c r="S60" s="73"/>
      <c r="T60" s="78"/>
    </row>
    <row r="61" spans="1:20">
      <c r="A61" s="55">
        <v>45295.4715972222</v>
      </c>
      <c r="B61" s="56">
        <v>45295.4860069444</v>
      </c>
      <c r="C61" s="35">
        <v>36</v>
      </c>
      <c r="D61" s="35" t="s">
        <v>37</v>
      </c>
      <c r="E61" s="35" t="s">
        <v>32</v>
      </c>
      <c r="F61" s="35" t="s">
        <v>38</v>
      </c>
      <c r="G61" s="35" t="s">
        <v>35</v>
      </c>
      <c r="H61" s="35">
        <f t="shared" si="0"/>
        <v>1</v>
      </c>
      <c r="I61" s="35"/>
      <c r="J61" s="35">
        <v>3</v>
      </c>
      <c r="K61" s="35">
        <f t="shared" si="1"/>
        <v>11</v>
      </c>
      <c r="L61" s="35" t="str">
        <f t="shared" si="2"/>
        <v>Morning</v>
      </c>
      <c r="M61" s="65"/>
      <c r="N61" s="65"/>
      <c r="O61" s="65"/>
      <c r="P61" s="66"/>
      <c r="Q61" s="35"/>
      <c r="R61" s="66"/>
      <c r="S61" s="73"/>
      <c r="T61" s="78"/>
    </row>
    <row r="62" spans="1:20">
      <c r="A62" s="55">
        <v>45310.5463425926</v>
      </c>
      <c r="B62" s="56">
        <v>45310.5653472222</v>
      </c>
      <c r="C62" s="35">
        <v>318</v>
      </c>
      <c r="D62" s="35" t="s">
        <v>39</v>
      </c>
      <c r="E62" s="35" t="s">
        <v>33</v>
      </c>
      <c r="F62" s="35" t="s">
        <v>34</v>
      </c>
      <c r="G62" s="35" t="s">
        <v>35</v>
      </c>
      <c r="H62" s="35">
        <f t="shared" si="0"/>
        <v>1</v>
      </c>
      <c r="I62" s="35"/>
      <c r="J62" s="35">
        <v>4</v>
      </c>
      <c r="K62" s="35">
        <f t="shared" si="1"/>
        <v>13</v>
      </c>
      <c r="L62" s="35" t="str">
        <f t="shared" si="2"/>
        <v>Morning</v>
      </c>
      <c r="M62" s="65"/>
      <c r="N62" s="65"/>
      <c r="O62" s="65"/>
      <c r="P62" s="66"/>
      <c r="Q62" s="35"/>
      <c r="R62" s="66"/>
      <c r="S62" s="73"/>
      <c r="T62" s="78"/>
    </row>
    <row r="63" spans="1:20">
      <c r="A63" s="55">
        <v>45305.7114814815</v>
      </c>
      <c r="B63" s="56">
        <v>45305.7275231481</v>
      </c>
      <c r="C63" s="35">
        <v>359</v>
      </c>
      <c r="D63" s="35" t="s">
        <v>43</v>
      </c>
      <c r="E63" s="35" t="s">
        <v>32</v>
      </c>
      <c r="F63" s="35" t="s">
        <v>38</v>
      </c>
      <c r="G63" s="35" t="s">
        <v>36</v>
      </c>
      <c r="H63" s="35">
        <f t="shared" si="0"/>
        <v>0</v>
      </c>
      <c r="I63" s="35"/>
      <c r="J63" s="35">
        <v>2</v>
      </c>
      <c r="K63" s="35">
        <f t="shared" si="1"/>
        <v>17</v>
      </c>
      <c r="L63" s="35" t="str">
        <f t="shared" si="2"/>
        <v>Morning</v>
      </c>
      <c r="M63" s="65"/>
      <c r="N63" s="65"/>
      <c r="O63" s="65"/>
      <c r="P63" s="66"/>
      <c r="Q63" s="35"/>
      <c r="R63" s="66"/>
      <c r="S63" s="73"/>
      <c r="T63" s="78"/>
    </row>
    <row r="64" spans="1:20">
      <c r="A64" s="55">
        <v>45306.4355439815</v>
      </c>
      <c r="B64" s="56">
        <v>45306.4536226852</v>
      </c>
      <c r="C64" s="35">
        <v>544</v>
      </c>
      <c r="D64" s="35" t="s">
        <v>37</v>
      </c>
      <c r="E64" s="35" t="s">
        <v>32</v>
      </c>
      <c r="F64" s="35" t="s">
        <v>38</v>
      </c>
      <c r="G64" s="35" t="s">
        <v>35</v>
      </c>
      <c r="H64" s="35">
        <f t="shared" si="0"/>
        <v>1</v>
      </c>
      <c r="I64" s="35"/>
      <c r="J64" s="35">
        <v>5</v>
      </c>
      <c r="K64" s="35">
        <f t="shared" si="1"/>
        <v>10</v>
      </c>
      <c r="L64" s="35" t="str">
        <f t="shared" si="2"/>
        <v>Morning</v>
      </c>
      <c r="M64" s="65"/>
      <c r="N64" s="65"/>
      <c r="O64" s="65"/>
      <c r="P64" s="66"/>
      <c r="Q64" s="35"/>
      <c r="R64" s="66"/>
      <c r="S64" s="73"/>
      <c r="T64" s="78"/>
    </row>
    <row r="65" spans="1:20">
      <c r="A65" s="55">
        <v>45300.7043402778</v>
      </c>
      <c r="B65" s="56">
        <v>45300.7247222222</v>
      </c>
      <c r="C65" s="35">
        <v>98</v>
      </c>
      <c r="D65" s="35" t="s">
        <v>37</v>
      </c>
      <c r="E65" s="35" t="s">
        <v>32</v>
      </c>
      <c r="F65" s="35" t="s">
        <v>40</v>
      </c>
      <c r="G65" s="35" t="s">
        <v>35</v>
      </c>
      <c r="H65" s="35">
        <f t="shared" si="0"/>
        <v>1</v>
      </c>
      <c r="I65" s="35"/>
      <c r="J65" s="35">
        <v>5</v>
      </c>
      <c r="K65" s="35">
        <f t="shared" si="1"/>
        <v>16</v>
      </c>
      <c r="L65" s="35" t="str">
        <f t="shared" si="2"/>
        <v>Morning</v>
      </c>
      <c r="M65" s="65"/>
      <c r="N65" s="65"/>
      <c r="O65" s="65"/>
      <c r="P65" s="66"/>
      <c r="Q65" s="35"/>
      <c r="R65" s="66"/>
      <c r="S65" s="73"/>
      <c r="T65" s="78"/>
    </row>
    <row r="66" spans="1:20">
      <c r="A66" s="55">
        <v>45313.7645949074</v>
      </c>
      <c r="B66" s="56">
        <v>45313.7770023148</v>
      </c>
      <c r="C66" s="35">
        <v>342</v>
      </c>
      <c r="D66" s="35" t="s">
        <v>32</v>
      </c>
      <c r="E66" s="35" t="s">
        <v>32</v>
      </c>
      <c r="F66" s="35" t="s">
        <v>40</v>
      </c>
      <c r="G66" s="35" t="s">
        <v>35</v>
      </c>
      <c r="H66" s="35">
        <f t="shared" si="0"/>
        <v>1</v>
      </c>
      <c r="I66" s="35"/>
      <c r="J66" s="35">
        <v>4</v>
      </c>
      <c r="K66" s="35">
        <f t="shared" si="1"/>
        <v>18</v>
      </c>
      <c r="L66" s="35" t="str">
        <f t="shared" si="2"/>
        <v>Morning</v>
      </c>
      <c r="M66" s="65"/>
      <c r="N66" s="65"/>
      <c r="O66" s="65"/>
      <c r="P66" s="66"/>
      <c r="Q66" s="35"/>
      <c r="R66" s="66"/>
      <c r="S66" s="73"/>
      <c r="T66" s="78"/>
    </row>
    <row r="67" spans="1:20">
      <c r="A67" s="55">
        <v>45300.6076388889</v>
      </c>
      <c r="B67" s="56">
        <v>45300.6205787037</v>
      </c>
      <c r="C67" s="35">
        <v>205</v>
      </c>
      <c r="D67" s="35" t="s">
        <v>43</v>
      </c>
      <c r="E67" s="35" t="s">
        <v>39</v>
      </c>
      <c r="F67" s="35" t="s">
        <v>34</v>
      </c>
      <c r="G67" s="35" t="s">
        <v>35</v>
      </c>
      <c r="H67" s="35">
        <f t="shared" ref="H67:H130" si="3">IF(G67="Y",1,0)</f>
        <v>1</v>
      </c>
      <c r="I67" s="35"/>
      <c r="J67" s="35">
        <v>5</v>
      </c>
      <c r="K67" s="35">
        <f t="shared" ref="K67:K130" si="4">HOUR(A67:A566)</f>
        <v>14</v>
      </c>
      <c r="L67" s="35" t="str">
        <f t="shared" ref="L67:L130" si="5">IF(AND(K67&gt;=6,K67&lt;=18),"Morning","Evening")</f>
        <v>Morning</v>
      </c>
      <c r="M67" s="65"/>
      <c r="N67" s="65"/>
      <c r="O67" s="65"/>
      <c r="P67" s="66"/>
      <c r="Q67" s="35"/>
      <c r="R67" s="66"/>
      <c r="S67" s="73"/>
      <c r="T67" s="78"/>
    </row>
    <row r="68" spans="1:20">
      <c r="A68" s="55">
        <v>45299.9039930556</v>
      </c>
      <c r="B68" s="56">
        <v>45299.9163194444</v>
      </c>
      <c r="C68" s="35">
        <v>468</v>
      </c>
      <c r="D68" s="35" t="s">
        <v>43</v>
      </c>
      <c r="E68" s="35" t="s">
        <v>33</v>
      </c>
      <c r="F68" s="35" t="s">
        <v>38</v>
      </c>
      <c r="G68" s="35" t="s">
        <v>36</v>
      </c>
      <c r="H68" s="35">
        <f t="shared" si="3"/>
        <v>0</v>
      </c>
      <c r="I68" s="35"/>
      <c r="J68" s="35">
        <v>3</v>
      </c>
      <c r="K68" s="35">
        <f t="shared" si="4"/>
        <v>21</v>
      </c>
      <c r="L68" s="35" t="str">
        <f t="shared" si="5"/>
        <v>Evening</v>
      </c>
      <c r="M68" s="65"/>
      <c r="N68" s="65"/>
      <c r="O68" s="65"/>
      <c r="P68" s="66"/>
      <c r="Q68" s="35"/>
      <c r="R68" s="66"/>
      <c r="S68" s="73"/>
      <c r="T68" s="78"/>
    </row>
    <row r="69" spans="1:20">
      <c r="A69" s="55">
        <v>45310.7295717593</v>
      </c>
      <c r="B69" s="56">
        <v>45310.7428472222</v>
      </c>
      <c r="C69" s="35">
        <v>362</v>
      </c>
      <c r="D69" s="35" t="s">
        <v>42</v>
      </c>
      <c r="E69" s="35" t="s">
        <v>41</v>
      </c>
      <c r="F69" s="35" t="s">
        <v>38</v>
      </c>
      <c r="G69" s="35" t="s">
        <v>35</v>
      </c>
      <c r="H69" s="35">
        <f t="shared" si="3"/>
        <v>1</v>
      </c>
      <c r="I69" s="35"/>
      <c r="J69" s="35">
        <v>4</v>
      </c>
      <c r="K69" s="35">
        <f t="shared" si="4"/>
        <v>17</v>
      </c>
      <c r="L69" s="35" t="str">
        <f t="shared" si="5"/>
        <v>Morning</v>
      </c>
      <c r="M69" s="65"/>
      <c r="N69" s="65"/>
      <c r="O69" s="65"/>
      <c r="P69" s="66"/>
      <c r="Q69" s="35"/>
      <c r="R69" s="66"/>
      <c r="S69" s="73"/>
      <c r="T69" s="78"/>
    </row>
    <row r="70" spans="1:20">
      <c r="A70" s="55">
        <v>45300.5470601852</v>
      </c>
      <c r="B70" s="56">
        <v>45300.5523148148</v>
      </c>
      <c r="C70" s="35">
        <v>333</v>
      </c>
      <c r="D70" s="35" t="s">
        <v>43</v>
      </c>
      <c r="E70" s="35" t="s">
        <v>39</v>
      </c>
      <c r="F70" s="35" t="s">
        <v>40</v>
      </c>
      <c r="G70" s="35" t="s">
        <v>36</v>
      </c>
      <c r="H70" s="35">
        <f t="shared" si="3"/>
        <v>0</v>
      </c>
      <c r="I70" s="35"/>
      <c r="J70" s="35">
        <v>2</v>
      </c>
      <c r="K70" s="35">
        <f t="shared" si="4"/>
        <v>13</v>
      </c>
      <c r="L70" s="35" t="str">
        <f t="shared" si="5"/>
        <v>Morning</v>
      </c>
      <c r="M70" s="65"/>
      <c r="N70" s="65"/>
      <c r="O70" s="65"/>
      <c r="P70" s="66"/>
      <c r="Q70" s="35"/>
      <c r="R70" s="66"/>
      <c r="S70" s="73"/>
      <c r="T70" s="78"/>
    </row>
    <row r="71" spans="1:20">
      <c r="A71" s="55">
        <v>45316.9432638889</v>
      </c>
      <c r="B71" s="56">
        <v>45316.9463310185</v>
      </c>
      <c r="C71" s="35">
        <v>208</v>
      </c>
      <c r="D71" s="35" t="s">
        <v>37</v>
      </c>
      <c r="E71" s="35" t="s">
        <v>39</v>
      </c>
      <c r="F71" s="35" t="s">
        <v>38</v>
      </c>
      <c r="G71" s="35" t="s">
        <v>36</v>
      </c>
      <c r="H71" s="35">
        <f t="shared" si="3"/>
        <v>0</v>
      </c>
      <c r="I71" s="35"/>
      <c r="J71" s="35">
        <v>1</v>
      </c>
      <c r="K71" s="35">
        <f t="shared" si="4"/>
        <v>22</v>
      </c>
      <c r="L71" s="35" t="str">
        <f t="shared" si="5"/>
        <v>Evening</v>
      </c>
      <c r="M71" s="65"/>
      <c r="N71" s="65"/>
      <c r="O71" s="65"/>
      <c r="P71" s="66"/>
      <c r="Q71" s="35"/>
      <c r="R71" s="66"/>
      <c r="S71" s="73"/>
      <c r="T71" s="78"/>
    </row>
    <row r="72" spans="1:20">
      <c r="A72" s="55">
        <v>45300.2941550926</v>
      </c>
      <c r="B72" s="56">
        <v>45300.3017708333</v>
      </c>
      <c r="C72" s="35">
        <v>139</v>
      </c>
      <c r="D72" s="35" t="s">
        <v>42</v>
      </c>
      <c r="E72" s="35" t="s">
        <v>33</v>
      </c>
      <c r="F72" s="35" t="s">
        <v>40</v>
      </c>
      <c r="G72" s="35" t="s">
        <v>35</v>
      </c>
      <c r="H72" s="35">
        <f t="shared" si="3"/>
        <v>1</v>
      </c>
      <c r="I72" s="35"/>
      <c r="J72" s="35">
        <v>4</v>
      </c>
      <c r="K72" s="35">
        <f t="shared" si="4"/>
        <v>7</v>
      </c>
      <c r="L72" s="35" t="str">
        <f t="shared" si="5"/>
        <v>Morning</v>
      </c>
      <c r="M72" s="65"/>
      <c r="N72" s="65"/>
      <c r="O72" s="65"/>
      <c r="P72" s="66"/>
      <c r="Q72" s="35"/>
      <c r="R72" s="66"/>
      <c r="S72" s="73"/>
      <c r="T72" s="78"/>
    </row>
    <row r="73" spans="1:20">
      <c r="A73" s="55">
        <v>45306.6743402778</v>
      </c>
      <c r="B73" s="56">
        <v>45306.6810185185</v>
      </c>
      <c r="C73" s="35">
        <v>499</v>
      </c>
      <c r="D73" s="35" t="s">
        <v>43</v>
      </c>
      <c r="E73" s="35" t="s">
        <v>33</v>
      </c>
      <c r="F73" s="35" t="s">
        <v>38</v>
      </c>
      <c r="G73" s="35" t="s">
        <v>35</v>
      </c>
      <c r="H73" s="35">
        <f t="shared" si="3"/>
        <v>1</v>
      </c>
      <c r="I73" s="35"/>
      <c r="J73" s="35">
        <v>5</v>
      </c>
      <c r="K73" s="35">
        <f t="shared" si="4"/>
        <v>16</v>
      </c>
      <c r="L73" s="35" t="str">
        <f t="shared" si="5"/>
        <v>Morning</v>
      </c>
      <c r="M73" s="65"/>
      <c r="N73" s="65"/>
      <c r="O73" s="65"/>
      <c r="P73" s="66"/>
      <c r="Q73" s="35"/>
      <c r="R73" s="66"/>
      <c r="S73" s="73"/>
      <c r="T73" s="78"/>
    </row>
    <row r="74" spans="1:20">
      <c r="A74" s="55">
        <v>45313.2980208333</v>
      </c>
      <c r="B74" s="56">
        <v>45313.3179398148</v>
      </c>
      <c r="C74" s="35">
        <v>586</v>
      </c>
      <c r="D74" s="35" t="s">
        <v>37</v>
      </c>
      <c r="E74" s="35" t="s">
        <v>33</v>
      </c>
      <c r="F74" s="35" t="s">
        <v>40</v>
      </c>
      <c r="G74" s="35" t="s">
        <v>36</v>
      </c>
      <c r="H74" s="35">
        <f t="shared" si="3"/>
        <v>0</v>
      </c>
      <c r="I74" s="35"/>
      <c r="J74" s="35">
        <v>2</v>
      </c>
      <c r="K74" s="35">
        <f t="shared" si="4"/>
        <v>7</v>
      </c>
      <c r="L74" s="35" t="str">
        <f t="shared" si="5"/>
        <v>Morning</v>
      </c>
      <c r="M74" s="65"/>
      <c r="N74" s="65"/>
      <c r="O74" s="65"/>
      <c r="P74" s="66"/>
      <c r="Q74" s="35"/>
      <c r="R74" s="66"/>
      <c r="S74" s="73"/>
      <c r="T74" s="78"/>
    </row>
    <row r="75" spans="1:20">
      <c r="A75" s="55">
        <v>45311.5760763889</v>
      </c>
      <c r="B75" s="56">
        <v>45311.585787037</v>
      </c>
      <c r="C75" s="35">
        <v>471</v>
      </c>
      <c r="D75" s="35" t="s">
        <v>42</v>
      </c>
      <c r="E75" s="35" t="s">
        <v>41</v>
      </c>
      <c r="F75" s="35" t="s">
        <v>34</v>
      </c>
      <c r="G75" s="35" t="s">
        <v>35</v>
      </c>
      <c r="H75" s="35">
        <f t="shared" si="3"/>
        <v>1</v>
      </c>
      <c r="I75" s="35"/>
      <c r="J75" s="35">
        <v>4</v>
      </c>
      <c r="K75" s="35">
        <f t="shared" si="4"/>
        <v>13</v>
      </c>
      <c r="L75" s="35" t="str">
        <f t="shared" si="5"/>
        <v>Morning</v>
      </c>
      <c r="M75" s="65"/>
      <c r="N75" s="65"/>
      <c r="O75" s="65"/>
      <c r="P75" s="66"/>
      <c r="Q75" s="35"/>
      <c r="R75" s="66"/>
      <c r="S75" s="73"/>
      <c r="T75" s="78"/>
    </row>
    <row r="76" spans="1:20">
      <c r="A76" s="55">
        <v>45311.3192939815</v>
      </c>
      <c r="B76" s="56">
        <v>45311.322337963</v>
      </c>
      <c r="C76" s="35">
        <v>222</v>
      </c>
      <c r="D76" s="35" t="s">
        <v>32</v>
      </c>
      <c r="E76" s="35" t="s">
        <v>41</v>
      </c>
      <c r="F76" s="35" t="s">
        <v>34</v>
      </c>
      <c r="G76" s="35" t="s">
        <v>36</v>
      </c>
      <c r="H76" s="35">
        <f t="shared" si="3"/>
        <v>0</v>
      </c>
      <c r="I76" s="35"/>
      <c r="J76" s="35">
        <v>1</v>
      </c>
      <c r="K76" s="35">
        <f t="shared" si="4"/>
        <v>7</v>
      </c>
      <c r="L76" s="35" t="str">
        <f t="shared" si="5"/>
        <v>Morning</v>
      </c>
      <c r="M76" s="65"/>
      <c r="N76" s="65"/>
      <c r="O76" s="65"/>
      <c r="P76" s="66"/>
      <c r="Q76" s="35"/>
      <c r="R76" s="66"/>
      <c r="S76" s="73"/>
      <c r="T76" s="78"/>
    </row>
    <row r="77" spans="1:20">
      <c r="A77" s="55">
        <v>45297.2683796296</v>
      </c>
      <c r="B77" s="56">
        <v>45297.2854050926</v>
      </c>
      <c r="C77" s="35">
        <v>491</v>
      </c>
      <c r="D77" s="35" t="s">
        <v>37</v>
      </c>
      <c r="E77" s="35" t="s">
        <v>33</v>
      </c>
      <c r="F77" s="35" t="s">
        <v>40</v>
      </c>
      <c r="G77" s="35" t="s">
        <v>35</v>
      </c>
      <c r="H77" s="35">
        <f t="shared" si="3"/>
        <v>1</v>
      </c>
      <c r="I77" s="35"/>
      <c r="J77" s="35">
        <v>4</v>
      </c>
      <c r="K77" s="35">
        <f t="shared" si="4"/>
        <v>6</v>
      </c>
      <c r="L77" s="35" t="str">
        <f t="shared" si="5"/>
        <v>Morning</v>
      </c>
      <c r="M77" s="65"/>
      <c r="N77" s="65"/>
      <c r="O77" s="65"/>
      <c r="P77" s="66"/>
      <c r="Q77" s="35"/>
      <c r="R77" s="66"/>
      <c r="S77" s="73"/>
      <c r="T77" s="78"/>
    </row>
    <row r="78" spans="1:20">
      <c r="A78" s="55">
        <v>45319.8366087963</v>
      </c>
      <c r="B78" s="56">
        <v>45319.8428356481</v>
      </c>
      <c r="C78" s="35">
        <v>280</v>
      </c>
      <c r="D78" s="35" t="s">
        <v>39</v>
      </c>
      <c r="E78" s="35" t="s">
        <v>39</v>
      </c>
      <c r="F78" s="35" t="s">
        <v>38</v>
      </c>
      <c r="G78" s="35" t="s">
        <v>36</v>
      </c>
      <c r="H78" s="35">
        <f t="shared" si="3"/>
        <v>0</v>
      </c>
      <c r="I78" s="35"/>
      <c r="J78" s="35">
        <v>1</v>
      </c>
      <c r="K78" s="35">
        <f t="shared" si="4"/>
        <v>20</v>
      </c>
      <c r="L78" s="35" t="str">
        <f t="shared" si="5"/>
        <v>Evening</v>
      </c>
      <c r="M78" s="65"/>
      <c r="N78" s="65"/>
      <c r="O78" s="65"/>
      <c r="P78" s="66"/>
      <c r="Q78" s="35"/>
      <c r="R78" s="66"/>
      <c r="S78" s="73"/>
      <c r="T78" s="78"/>
    </row>
    <row r="79" spans="1:20">
      <c r="A79" s="55">
        <v>45300.4194791667</v>
      </c>
      <c r="B79" s="56">
        <v>45300.4240972222</v>
      </c>
      <c r="C79" s="35">
        <v>324</v>
      </c>
      <c r="D79" s="35" t="s">
        <v>39</v>
      </c>
      <c r="E79" s="35" t="s">
        <v>41</v>
      </c>
      <c r="F79" s="35" t="s">
        <v>38</v>
      </c>
      <c r="G79" s="35" t="s">
        <v>36</v>
      </c>
      <c r="H79" s="35">
        <f t="shared" si="3"/>
        <v>0</v>
      </c>
      <c r="I79" s="35"/>
      <c r="J79" s="35">
        <v>3</v>
      </c>
      <c r="K79" s="35">
        <f t="shared" si="4"/>
        <v>10</v>
      </c>
      <c r="L79" s="35" t="str">
        <f t="shared" si="5"/>
        <v>Morning</v>
      </c>
      <c r="M79" s="65"/>
      <c r="N79" s="65"/>
      <c r="O79" s="65"/>
      <c r="P79" s="66"/>
      <c r="Q79" s="35"/>
      <c r="R79" s="66"/>
      <c r="S79" s="73"/>
      <c r="T79" s="78"/>
    </row>
    <row r="80" spans="1:20">
      <c r="A80" s="55">
        <v>45300.9406365741</v>
      </c>
      <c r="B80" s="56">
        <v>45300.9517013889</v>
      </c>
      <c r="C80" s="35">
        <v>92</v>
      </c>
      <c r="D80" s="35" t="s">
        <v>39</v>
      </c>
      <c r="E80" s="35" t="s">
        <v>33</v>
      </c>
      <c r="F80" s="35" t="s">
        <v>38</v>
      </c>
      <c r="G80" s="35" t="s">
        <v>35</v>
      </c>
      <c r="H80" s="35">
        <f t="shared" si="3"/>
        <v>1</v>
      </c>
      <c r="I80" s="35"/>
      <c r="J80" s="35">
        <v>5</v>
      </c>
      <c r="K80" s="35">
        <f t="shared" si="4"/>
        <v>22</v>
      </c>
      <c r="L80" s="35" t="str">
        <f t="shared" si="5"/>
        <v>Evening</v>
      </c>
      <c r="M80" s="65"/>
      <c r="N80" s="65"/>
      <c r="O80" s="65"/>
      <c r="P80" s="66"/>
      <c r="Q80" s="35"/>
      <c r="R80" s="66"/>
      <c r="S80" s="73"/>
      <c r="T80" s="78"/>
    </row>
    <row r="81" spans="1:20">
      <c r="A81" s="55">
        <v>45292.3435532407</v>
      </c>
      <c r="B81" s="56">
        <v>45292.3640625</v>
      </c>
      <c r="C81" s="35">
        <v>599</v>
      </c>
      <c r="D81" s="35" t="s">
        <v>39</v>
      </c>
      <c r="E81" s="35" t="s">
        <v>33</v>
      </c>
      <c r="F81" s="35" t="s">
        <v>34</v>
      </c>
      <c r="G81" s="35" t="s">
        <v>35</v>
      </c>
      <c r="H81" s="35">
        <f t="shared" si="3"/>
        <v>1</v>
      </c>
      <c r="I81" s="35"/>
      <c r="J81" s="35">
        <v>5</v>
      </c>
      <c r="K81" s="35">
        <f t="shared" si="4"/>
        <v>8</v>
      </c>
      <c r="L81" s="35" t="str">
        <f t="shared" si="5"/>
        <v>Morning</v>
      </c>
      <c r="M81" s="65"/>
      <c r="N81" s="65"/>
      <c r="O81" s="65"/>
      <c r="P81" s="66"/>
      <c r="Q81" s="35"/>
      <c r="R81" s="66"/>
      <c r="S81" s="73"/>
      <c r="T81" s="78"/>
    </row>
    <row r="82" spans="1:20">
      <c r="A82" s="55">
        <v>45316.4795486111</v>
      </c>
      <c r="B82" s="56">
        <v>45316.4956828704</v>
      </c>
      <c r="C82" s="35">
        <v>462</v>
      </c>
      <c r="D82" s="35" t="s">
        <v>37</v>
      </c>
      <c r="E82" s="35" t="s">
        <v>39</v>
      </c>
      <c r="F82" s="35" t="s">
        <v>34</v>
      </c>
      <c r="G82" s="35" t="s">
        <v>35</v>
      </c>
      <c r="H82" s="35">
        <f t="shared" si="3"/>
        <v>1</v>
      </c>
      <c r="I82" s="35"/>
      <c r="J82" s="35">
        <v>4</v>
      </c>
      <c r="K82" s="35">
        <f t="shared" si="4"/>
        <v>11</v>
      </c>
      <c r="L82" s="35" t="str">
        <f t="shared" si="5"/>
        <v>Morning</v>
      </c>
      <c r="M82" s="65"/>
      <c r="N82" s="65"/>
      <c r="O82" s="65"/>
      <c r="P82" s="66"/>
      <c r="Q82" s="35"/>
      <c r="R82" s="66"/>
      <c r="S82" s="73"/>
      <c r="T82" s="78"/>
    </row>
    <row r="83" spans="1:20">
      <c r="A83" s="55">
        <v>45307.7266319444</v>
      </c>
      <c r="B83" s="56">
        <v>45307.7349305556</v>
      </c>
      <c r="C83" s="35">
        <v>117</v>
      </c>
      <c r="D83" s="35" t="s">
        <v>32</v>
      </c>
      <c r="E83" s="35" t="s">
        <v>41</v>
      </c>
      <c r="F83" s="35" t="s">
        <v>38</v>
      </c>
      <c r="G83" s="35" t="s">
        <v>35</v>
      </c>
      <c r="H83" s="35">
        <f t="shared" si="3"/>
        <v>1</v>
      </c>
      <c r="I83" s="35"/>
      <c r="J83" s="35">
        <v>4</v>
      </c>
      <c r="K83" s="35">
        <f t="shared" si="4"/>
        <v>17</v>
      </c>
      <c r="L83" s="35" t="str">
        <f t="shared" si="5"/>
        <v>Morning</v>
      </c>
      <c r="M83" s="65"/>
      <c r="N83" s="65"/>
      <c r="O83" s="65"/>
      <c r="P83" s="66"/>
      <c r="Q83" s="35"/>
      <c r="R83" s="66"/>
      <c r="S83" s="73"/>
      <c r="T83" s="78"/>
    </row>
    <row r="84" spans="1:20">
      <c r="A84" s="55">
        <v>45304.3118634259</v>
      </c>
      <c r="B84" s="56">
        <v>45304.3200115741</v>
      </c>
      <c r="C84" s="35">
        <v>268</v>
      </c>
      <c r="D84" s="35" t="s">
        <v>37</v>
      </c>
      <c r="E84" s="35" t="s">
        <v>33</v>
      </c>
      <c r="F84" s="35" t="s">
        <v>38</v>
      </c>
      <c r="G84" s="35" t="s">
        <v>35</v>
      </c>
      <c r="H84" s="35">
        <f t="shared" si="3"/>
        <v>1</v>
      </c>
      <c r="I84" s="35"/>
      <c r="J84" s="35">
        <v>3</v>
      </c>
      <c r="K84" s="35">
        <f t="shared" si="4"/>
        <v>7</v>
      </c>
      <c r="L84" s="35" t="str">
        <f t="shared" si="5"/>
        <v>Morning</v>
      </c>
      <c r="M84" s="65"/>
      <c r="N84" s="65"/>
      <c r="O84" s="65"/>
      <c r="P84" s="66"/>
      <c r="Q84" s="35"/>
      <c r="R84" s="66"/>
      <c r="S84" s="73"/>
      <c r="T84" s="78"/>
    </row>
    <row r="85" spans="1:20">
      <c r="A85" s="55">
        <v>45319.8514236111</v>
      </c>
      <c r="B85" s="56">
        <v>45319.8565625</v>
      </c>
      <c r="C85" s="35">
        <v>540</v>
      </c>
      <c r="D85" s="35" t="s">
        <v>37</v>
      </c>
      <c r="E85" s="35" t="s">
        <v>32</v>
      </c>
      <c r="F85" s="35" t="s">
        <v>34</v>
      </c>
      <c r="G85" s="35" t="s">
        <v>35</v>
      </c>
      <c r="H85" s="35">
        <f t="shared" si="3"/>
        <v>1</v>
      </c>
      <c r="I85" s="35"/>
      <c r="J85" s="35">
        <v>3</v>
      </c>
      <c r="K85" s="35">
        <f t="shared" si="4"/>
        <v>20</v>
      </c>
      <c r="L85" s="35" t="str">
        <f t="shared" si="5"/>
        <v>Evening</v>
      </c>
      <c r="M85" s="65"/>
      <c r="N85" s="65"/>
      <c r="O85" s="65"/>
      <c r="P85" s="66"/>
      <c r="Q85" s="35"/>
      <c r="R85" s="66"/>
      <c r="S85" s="73"/>
      <c r="T85" s="78"/>
    </row>
    <row r="86" spans="1:20">
      <c r="A86" s="55">
        <v>45300.4578472222</v>
      </c>
      <c r="B86" s="56">
        <v>45300.4689236111</v>
      </c>
      <c r="C86" s="35">
        <v>506</v>
      </c>
      <c r="D86" s="35" t="s">
        <v>43</v>
      </c>
      <c r="E86" s="35" t="s">
        <v>33</v>
      </c>
      <c r="F86" s="35" t="s">
        <v>34</v>
      </c>
      <c r="G86" s="35" t="s">
        <v>35</v>
      </c>
      <c r="H86" s="35">
        <f t="shared" si="3"/>
        <v>1</v>
      </c>
      <c r="I86" s="35"/>
      <c r="J86" s="35">
        <v>3</v>
      </c>
      <c r="K86" s="35">
        <f t="shared" si="4"/>
        <v>10</v>
      </c>
      <c r="L86" s="35" t="str">
        <f t="shared" si="5"/>
        <v>Morning</v>
      </c>
      <c r="M86" s="65"/>
      <c r="N86" s="65"/>
      <c r="O86" s="65"/>
      <c r="P86" s="66"/>
      <c r="Q86" s="35"/>
      <c r="R86" s="66"/>
      <c r="S86" s="73"/>
      <c r="T86" s="78"/>
    </row>
    <row r="87" spans="1:20">
      <c r="A87" s="55">
        <v>45297.6493055556</v>
      </c>
      <c r="B87" s="56">
        <v>45297.6630902778</v>
      </c>
      <c r="C87" s="35">
        <v>427</v>
      </c>
      <c r="D87" s="35" t="s">
        <v>43</v>
      </c>
      <c r="E87" s="35" t="s">
        <v>39</v>
      </c>
      <c r="F87" s="35" t="s">
        <v>40</v>
      </c>
      <c r="G87" s="35" t="s">
        <v>35</v>
      </c>
      <c r="H87" s="35">
        <f t="shared" si="3"/>
        <v>1</v>
      </c>
      <c r="I87" s="35"/>
      <c r="J87" s="35">
        <v>3</v>
      </c>
      <c r="K87" s="35">
        <f t="shared" si="4"/>
        <v>15</v>
      </c>
      <c r="L87" s="35" t="str">
        <f t="shared" si="5"/>
        <v>Morning</v>
      </c>
      <c r="M87" s="65"/>
      <c r="N87" s="65"/>
      <c r="O87" s="65"/>
      <c r="P87" s="66"/>
      <c r="Q87" s="35"/>
      <c r="R87" s="66"/>
      <c r="S87" s="73"/>
      <c r="T87" s="78"/>
    </row>
    <row r="88" spans="1:20">
      <c r="A88" s="55">
        <v>45318.4388773148</v>
      </c>
      <c r="B88" s="56">
        <v>45318.4565509259</v>
      </c>
      <c r="C88" s="35">
        <v>308</v>
      </c>
      <c r="D88" s="35" t="s">
        <v>39</v>
      </c>
      <c r="E88" s="35" t="s">
        <v>41</v>
      </c>
      <c r="F88" s="35" t="s">
        <v>38</v>
      </c>
      <c r="G88" s="35" t="s">
        <v>35</v>
      </c>
      <c r="H88" s="35">
        <f t="shared" si="3"/>
        <v>1</v>
      </c>
      <c r="I88" s="35"/>
      <c r="J88" s="35">
        <v>4</v>
      </c>
      <c r="K88" s="35">
        <f t="shared" si="4"/>
        <v>10</v>
      </c>
      <c r="L88" s="35" t="str">
        <f t="shared" si="5"/>
        <v>Morning</v>
      </c>
      <c r="M88" s="65"/>
      <c r="N88" s="65"/>
      <c r="O88" s="65"/>
      <c r="P88" s="66"/>
      <c r="Q88" s="35"/>
      <c r="R88" s="66"/>
      <c r="S88" s="73"/>
      <c r="T88" s="78"/>
    </row>
    <row r="89" spans="1:20">
      <c r="A89" s="55">
        <v>45306.4334722222</v>
      </c>
      <c r="B89" s="56">
        <v>45306.4483680556</v>
      </c>
      <c r="C89" s="35">
        <v>530</v>
      </c>
      <c r="D89" s="35" t="s">
        <v>32</v>
      </c>
      <c r="E89" s="35" t="s">
        <v>33</v>
      </c>
      <c r="F89" s="35" t="s">
        <v>38</v>
      </c>
      <c r="G89" s="35" t="s">
        <v>35</v>
      </c>
      <c r="H89" s="35">
        <f t="shared" si="3"/>
        <v>1</v>
      </c>
      <c r="I89" s="35"/>
      <c r="J89" s="35">
        <v>4</v>
      </c>
      <c r="K89" s="35">
        <f t="shared" si="4"/>
        <v>10</v>
      </c>
      <c r="L89" s="35" t="str">
        <f t="shared" si="5"/>
        <v>Morning</v>
      </c>
      <c r="M89" s="65"/>
      <c r="N89" s="65"/>
      <c r="O89" s="65"/>
      <c r="P89" s="66"/>
      <c r="Q89" s="35"/>
      <c r="R89" s="66"/>
      <c r="S89" s="73"/>
      <c r="T89" s="78"/>
    </row>
    <row r="90" spans="1:20">
      <c r="A90" s="55">
        <v>45317.9290740741</v>
      </c>
      <c r="B90" s="56">
        <v>45317.9298263889</v>
      </c>
      <c r="C90" s="35">
        <v>299</v>
      </c>
      <c r="D90" s="35" t="s">
        <v>37</v>
      </c>
      <c r="E90" s="35" t="s">
        <v>32</v>
      </c>
      <c r="F90" s="35" t="s">
        <v>40</v>
      </c>
      <c r="G90" s="35" t="s">
        <v>35</v>
      </c>
      <c r="H90" s="35">
        <f t="shared" si="3"/>
        <v>1</v>
      </c>
      <c r="I90" s="35"/>
      <c r="J90" s="35">
        <v>4</v>
      </c>
      <c r="K90" s="35">
        <f t="shared" si="4"/>
        <v>22</v>
      </c>
      <c r="L90" s="35" t="str">
        <f t="shared" si="5"/>
        <v>Evening</v>
      </c>
      <c r="M90" s="65"/>
      <c r="N90" s="65"/>
      <c r="O90" s="65"/>
      <c r="P90" s="66"/>
      <c r="Q90" s="35"/>
      <c r="R90" s="66"/>
      <c r="S90" s="73"/>
      <c r="T90" s="78"/>
    </row>
    <row r="91" spans="1:20">
      <c r="A91" s="55">
        <v>45302.7708217593</v>
      </c>
      <c r="B91" s="56">
        <v>45302.7791435185</v>
      </c>
      <c r="C91" s="35">
        <v>203</v>
      </c>
      <c r="D91" s="35" t="s">
        <v>32</v>
      </c>
      <c r="E91" s="35" t="s">
        <v>32</v>
      </c>
      <c r="F91" s="35" t="s">
        <v>40</v>
      </c>
      <c r="G91" s="35" t="s">
        <v>35</v>
      </c>
      <c r="H91" s="35">
        <f t="shared" si="3"/>
        <v>1</v>
      </c>
      <c r="I91" s="35"/>
      <c r="J91" s="35">
        <v>4</v>
      </c>
      <c r="K91" s="35">
        <f t="shared" si="4"/>
        <v>18</v>
      </c>
      <c r="L91" s="35" t="str">
        <f t="shared" si="5"/>
        <v>Morning</v>
      </c>
      <c r="M91" s="65"/>
      <c r="N91" s="65"/>
      <c r="O91" s="65"/>
      <c r="P91" s="66"/>
      <c r="Q91" s="35"/>
      <c r="R91" s="66"/>
      <c r="S91" s="73"/>
      <c r="T91" s="78"/>
    </row>
    <row r="92" spans="1:20">
      <c r="A92" s="55">
        <v>45302.9069212963</v>
      </c>
      <c r="B92" s="56">
        <v>45302.9268402778</v>
      </c>
      <c r="C92" s="35">
        <v>400</v>
      </c>
      <c r="D92" s="35" t="s">
        <v>42</v>
      </c>
      <c r="E92" s="35" t="s">
        <v>39</v>
      </c>
      <c r="F92" s="35" t="s">
        <v>38</v>
      </c>
      <c r="G92" s="35" t="s">
        <v>35</v>
      </c>
      <c r="H92" s="35">
        <f t="shared" si="3"/>
        <v>1</v>
      </c>
      <c r="I92" s="35"/>
      <c r="J92" s="35">
        <v>3</v>
      </c>
      <c r="K92" s="35">
        <f t="shared" si="4"/>
        <v>21</v>
      </c>
      <c r="L92" s="35" t="str">
        <f t="shared" si="5"/>
        <v>Evening</v>
      </c>
      <c r="M92" s="65"/>
      <c r="N92" s="65"/>
      <c r="O92" s="65"/>
      <c r="P92" s="66"/>
      <c r="Q92" s="35"/>
      <c r="R92" s="66"/>
      <c r="S92" s="73"/>
      <c r="T92" s="78"/>
    </row>
    <row r="93" spans="1:20">
      <c r="A93" s="55">
        <v>45310.7049305556</v>
      </c>
      <c r="B93" s="56">
        <v>45310.7256481481</v>
      </c>
      <c r="C93" s="35">
        <v>460</v>
      </c>
      <c r="D93" s="35" t="s">
        <v>43</v>
      </c>
      <c r="E93" s="35" t="s">
        <v>32</v>
      </c>
      <c r="F93" s="35" t="s">
        <v>40</v>
      </c>
      <c r="G93" s="35" t="s">
        <v>35</v>
      </c>
      <c r="H93" s="35">
        <f t="shared" si="3"/>
        <v>1</v>
      </c>
      <c r="I93" s="35"/>
      <c r="J93" s="35">
        <v>4</v>
      </c>
      <c r="K93" s="35">
        <f t="shared" si="4"/>
        <v>16</v>
      </c>
      <c r="L93" s="35" t="str">
        <f t="shared" si="5"/>
        <v>Morning</v>
      </c>
      <c r="M93" s="65"/>
      <c r="N93" s="65"/>
      <c r="O93" s="65"/>
      <c r="P93" s="66"/>
      <c r="Q93" s="35"/>
      <c r="R93" s="66"/>
      <c r="S93" s="73"/>
      <c r="T93" s="78"/>
    </row>
    <row r="94" spans="1:20">
      <c r="A94" s="55">
        <v>45312.4197916667</v>
      </c>
      <c r="B94" s="56">
        <v>45312.4390046296</v>
      </c>
      <c r="C94" s="35">
        <v>281</v>
      </c>
      <c r="D94" s="35" t="s">
        <v>37</v>
      </c>
      <c r="E94" s="35" t="s">
        <v>32</v>
      </c>
      <c r="F94" s="35" t="s">
        <v>34</v>
      </c>
      <c r="G94" s="35" t="s">
        <v>36</v>
      </c>
      <c r="H94" s="35">
        <f t="shared" si="3"/>
        <v>0</v>
      </c>
      <c r="I94" s="35"/>
      <c r="J94" s="35">
        <v>2</v>
      </c>
      <c r="K94" s="35">
        <f t="shared" si="4"/>
        <v>10</v>
      </c>
      <c r="L94" s="35" t="str">
        <f t="shared" si="5"/>
        <v>Morning</v>
      </c>
      <c r="M94" s="65"/>
      <c r="N94" s="65"/>
      <c r="O94" s="65"/>
      <c r="P94" s="66"/>
      <c r="Q94" s="35"/>
      <c r="R94" s="66"/>
      <c r="S94" s="73"/>
      <c r="T94" s="78"/>
    </row>
    <row r="95" spans="1:20">
      <c r="A95" s="55">
        <v>45309.7643518519</v>
      </c>
      <c r="B95" s="56">
        <v>45309.7820717593</v>
      </c>
      <c r="C95" s="35">
        <v>509</v>
      </c>
      <c r="D95" s="35" t="s">
        <v>39</v>
      </c>
      <c r="E95" s="35" t="s">
        <v>33</v>
      </c>
      <c r="F95" s="35" t="s">
        <v>34</v>
      </c>
      <c r="G95" s="35" t="s">
        <v>36</v>
      </c>
      <c r="H95" s="35">
        <f t="shared" si="3"/>
        <v>0</v>
      </c>
      <c r="I95" s="35"/>
      <c r="J95" s="35">
        <v>3</v>
      </c>
      <c r="K95" s="35">
        <f t="shared" si="4"/>
        <v>18</v>
      </c>
      <c r="L95" s="35" t="str">
        <f t="shared" si="5"/>
        <v>Morning</v>
      </c>
      <c r="M95" s="65"/>
      <c r="N95" s="65"/>
      <c r="O95" s="65"/>
      <c r="P95" s="66"/>
      <c r="Q95" s="35"/>
      <c r="R95" s="66"/>
      <c r="S95" s="73"/>
      <c r="T95" s="78"/>
    </row>
    <row r="96" spans="1:20">
      <c r="A96" s="55">
        <v>45299.3521527778</v>
      </c>
      <c r="B96" s="56">
        <v>45299.3708680556</v>
      </c>
      <c r="C96" s="35">
        <v>112</v>
      </c>
      <c r="D96" s="35" t="s">
        <v>42</v>
      </c>
      <c r="E96" s="35" t="s">
        <v>39</v>
      </c>
      <c r="F96" s="35" t="s">
        <v>34</v>
      </c>
      <c r="G96" s="35" t="s">
        <v>35</v>
      </c>
      <c r="H96" s="35">
        <f t="shared" si="3"/>
        <v>1</v>
      </c>
      <c r="I96" s="35"/>
      <c r="J96" s="35">
        <v>3</v>
      </c>
      <c r="K96" s="35">
        <f t="shared" si="4"/>
        <v>8</v>
      </c>
      <c r="L96" s="35" t="str">
        <f t="shared" si="5"/>
        <v>Morning</v>
      </c>
      <c r="M96" s="65"/>
      <c r="N96" s="65"/>
      <c r="O96" s="65"/>
      <c r="P96" s="66"/>
      <c r="Q96" s="35"/>
      <c r="R96" s="66"/>
      <c r="S96" s="73"/>
      <c r="T96" s="78"/>
    </row>
    <row r="97" spans="1:20">
      <c r="A97" s="55">
        <v>45302.3044212963</v>
      </c>
      <c r="B97" s="56">
        <v>45302.3139930556</v>
      </c>
      <c r="C97" s="35">
        <v>451</v>
      </c>
      <c r="D97" s="35" t="s">
        <v>32</v>
      </c>
      <c r="E97" s="35" t="s">
        <v>39</v>
      </c>
      <c r="F97" s="35" t="s">
        <v>34</v>
      </c>
      <c r="G97" s="35" t="s">
        <v>35</v>
      </c>
      <c r="H97" s="35">
        <f t="shared" si="3"/>
        <v>1</v>
      </c>
      <c r="I97" s="35"/>
      <c r="J97" s="35">
        <v>5</v>
      </c>
      <c r="K97" s="35">
        <f t="shared" si="4"/>
        <v>7</v>
      </c>
      <c r="L97" s="35" t="str">
        <f t="shared" si="5"/>
        <v>Morning</v>
      </c>
      <c r="M97" s="65"/>
      <c r="N97" s="65"/>
      <c r="O97" s="65"/>
      <c r="P97" s="66"/>
      <c r="Q97" s="35"/>
      <c r="R97" s="66"/>
      <c r="S97" s="73"/>
      <c r="T97" s="78"/>
    </row>
    <row r="98" spans="1:20">
      <c r="A98" s="55">
        <v>45297.4660300926</v>
      </c>
      <c r="B98" s="56">
        <v>45297.4811689815</v>
      </c>
      <c r="C98" s="35">
        <v>401</v>
      </c>
      <c r="D98" s="35" t="s">
        <v>39</v>
      </c>
      <c r="E98" s="35" t="s">
        <v>39</v>
      </c>
      <c r="F98" s="35" t="s">
        <v>38</v>
      </c>
      <c r="G98" s="35" t="s">
        <v>35</v>
      </c>
      <c r="H98" s="35">
        <f t="shared" si="3"/>
        <v>1</v>
      </c>
      <c r="I98" s="35"/>
      <c r="J98" s="35">
        <v>3</v>
      </c>
      <c r="K98" s="35">
        <f t="shared" si="4"/>
        <v>11</v>
      </c>
      <c r="L98" s="35" t="str">
        <f t="shared" si="5"/>
        <v>Morning</v>
      </c>
      <c r="M98" s="65"/>
      <c r="N98" s="65"/>
      <c r="O98" s="65"/>
      <c r="P98" s="66"/>
      <c r="Q98" s="35"/>
      <c r="R98" s="66"/>
      <c r="S98" s="73"/>
      <c r="T98" s="78"/>
    </row>
    <row r="99" spans="1:20">
      <c r="A99" s="55">
        <v>45306.6036574074</v>
      </c>
      <c r="B99" s="56">
        <v>45306.620150463</v>
      </c>
      <c r="C99" s="35">
        <v>19</v>
      </c>
      <c r="D99" s="35" t="s">
        <v>42</v>
      </c>
      <c r="E99" s="35" t="s">
        <v>41</v>
      </c>
      <c r="F99" s="35" t="s">
        <v>34</v>
      </c>
      <c r="G99" s="35" t="s">
        <v>35</v>
      </c>
      <c r="H99" s="35">
        <f t="shared" si="3"/>
        <v>1</v>
      </c>
      <c r="I99" s="35"/>
      <c r="J99" s="35">
        <v>3</v>
      </c>
      <c r="K99" s="35">
        <f t="shared" si="4"/>
        <v>14</v>
      </c>
      <c r="L99" s="35" t="str">
        <f t="shared" si="5"/>
        <v>Morning</v>
      </c>
      <c r="M99" s="65"/>
      <c r="N99" s="65"/>
      <c r="O99" s="65"/>
      <c r="P99" s="66"/>
      <c r="Q99" s="35"/>
      <c r="R99" s="66"/>
      <c r="S99" s="73"/>
      <c r="T99" s="78"/>
    </row>
    <row r="100" spans="1:20">
      <c r="A100" s="55">
        <v>45303.6530902778</v>
      </c>
      <c r="B100" s="56">
        <v>45303.6701388889</v>
      </c>
      <c r="C100" s="35">
        <v>266</v>
      </c>
      <c r="D100" s="35" t="s">
        <v>42</v>
      </c>
      <c r="E100" s="35" t="s">
        <v>41</v>
      </c>
      <c r="F100" s="35" t="s">
        <v>40</v>
      </c>
      <c r="G100" s="35" t="s">
        <v>35</v>
      </c>
      <c r="H100" s="35">
        <f t="shared" si="3"/>
        <v>1</v>
      </c>
      <c r="I100" s="35"/>
      <c r="J100" s="35">
        <v>4</v>
      </c>
      <c r="K100" s="35">
        <f t="shared" si="4"/>
        <v>15</v>
      </c>
      <c r="L100" s="35" t="str">
        <f t="shared" si="5"/>
        <v>Morning</v>
      </c>
      <c r="M100" s="65"/>
      <c r="N100" s="65"/>
      <c r="O100" s="65"/>
      <c r="P100" s="66"/>
      <c r="Q100" s="35"/>
      <c r="R100" s="66"/>
      <c r="S100" s="73"/>
      <c r="T100" s="78"/>
    </row>
    <row r="101" spans="1:20">
      <c r="A101" s="55">
        <v>45299.7752546296</v>
      </c>
      <c r="B101" s="56">
        <v>45299.7895717593</v>
      </c>
      <c r="C101" s="35">
        <v>312</v>
      </c>
      <c r="D101" s="35" t="s">
        <v>37</v>
      </c>
      <c r="E101" s="35" t="s">
        <v>33</v>
      </c>
      <c r="F101" s="35" t="s">
        <v>34</v>
      </c>
      <c r="G101" s="35" t="s">
        <v>35</v>
      </c>
      <c r="H101" s="35">
        <f t="shared" si="3"/>
        <v>1</v>
      </c>
      <c r="I101" s="35"/>
      <c r="J101" s="35">
        <v>3</v>
      </c>
      <c r="K101" s="35">
        <f t="shared" si="4"/>
        <v>18</v>
      </c>
      <c r="L101" s="35" t="str">
        <f t="shared" si="5"/>
        <v>Morning</v>
      </c>
      <c r="M101" s="65"/>
      <c r="N101" s="65"/>
      <c r="O101" s="65"/>
      <c r="P101" s="66"/>
      <c r="Q101" s="35"/>
      <c r="R101" s="66"/>
      <c r="S101" s="73"/>
      <c r="T101" s="78"/>
    </row>
    <row r="102" spans="1:20">
      <c r="A102" s="55">
        <v>45319.3323842593</v>
      </c>
      <c r="B102" s="56">
        <v>45319.3507407407</v>
      </c>
      <c r="C102" s="35">
        <v>518</v>
      </c>
      <c r="D102" s="35" t="s">
        <v>37</v>
      </c>
      <c r="E102" s="35" t="s">
        <v>39</v>
      </c>
      <c r="F102" s="35" t="s">
        <v>34</v>
      </c>
      <c r="G102" s="35" t="s">
        <v>35</v>
      </c>
      <c r="H102" s="35">
        <f t="shared" si="3"/>
        <v>1</v>
      </c>
      <c r="I102" s="35"/>
      <c r="J102" s="35">
        <v>3</v>
      </c>
      <c r="K102" s="35">
        <f t="shared" si="4"/>
        <v>7</v>
      </c>
      <c r="L102" s="35" t="str">
        <f t="shared" si="5"/>
        <v>Morning</v>
      </c>
      <c r="M102" s="65"/>
      <c r="N102" s="65"/>
      <c r="O102" s="65"/>
      <c r="P102" s="66"/>
      <c r="Q102" s="35"/>
      <c r="R102" s="66"/>
      <c r="S102" s="73"/>
      <c r="T102" s="78"/>
    </row>
    <row r="103" spans="1:20">
      <c r="A103" s="55">
        <v>45298.61375</v>
      </c>
      <c r="B103" s="56">
        <v>45298.6315277778</v>
      </c>
      <c r="C103" s="35">
        <v>150</v>
      </c>
      <c r="D103" s="35" t="s">
        <v>43</v>
      </c>
      <c r="E103" s="35" t="s">
        <v>33</v>
      </c>
      <c r="F103" s="35" t="s">
        <v>38</v>
      </c>
      <c r="G103" s="35" t="s">
        <v>35</v>
      </c>
      <c r="H103" s="35">
        <f t="shared" si="3"/>
        <v>1</v>
      </c>
      <c r="I103" s="35"/>
      <c r="J103" s="35">
        <v>3</v>
      </c>
      <c r="K103" s="35">
        <f t="shared" si="4"/>
        <v>14</v>
      </c>
      <c r="L103" s="35" t="str">
        <f t="shared" si="5"/>
        <v>Morning</v>
      </c>
      <c r="M103" s="65"/>
      <c r="N103" s="65"/>
      <c r="O103" s="65"/>
      <c r="P103" s="66"/>
      <c r="Q103" s="35"/>
      <c r="R103" s="66"/>
      <c r="S103" s="73"/>
      <c r="T103" s="78"/>
    </row>
    <row r="104" spans="1:20">
      <c r="A104" s="55">
        <v>45303.4208101852</v>
      </c>
      <c r="B104" s="56">
        <v>45303.4284953704</v>
      </c>
      <c r="C104" s="35">
        <v>344</v>
      </c>
      <c r="D104" s="35" t="s">
        <v>42</v>
      </c>
      <c r="E104" s="35" t="s">
        <v>39</v>
      </c>
      <c r="F104" s="35" t="s">
        <v>40</v>
      </c>
      <c r="G104" s="35" t="s">
        <v>36</v>
      </c>
      <c r="H104" s="35">
        <f t="shared" si="3"/>
        <v>0</v>
      </c>
      <c r="I104" s="35"/>
      <c r="J104" s="35">
        <v>3</v>
      </c>
      <c r="K104" s="35">
        <f t="shared" si="4"/>
        <v>10</v>
      </c>
      <c r="L104" s="35" t="str">
        <f t="shared" si="5"/>
        <v>Morning</v>
      </c>
      <c r="M104" s="65"/>
      <c r="N104" s="65"/>
      <c r="O104" s="65"/>
      <c r="P104" s="66"/>
      <c r="Q104" s="35"/>
      <c r="R104" s="66"/>
      <c r="S104" s="73"/>
      <c r="T104" s="78"/>
    </row>
    <row r="105" spans="1:20">
      <c r="A105" s="55">
        <v>45308.9571412037</v>
      </c>
      <c r="B105" s="56">
        <v>45308.9775115741</v>
      </c>
      <c r="C105" s="35">
        <v>178</v>
      </c>
      <c r="D105" s="35" t="s">
        <v>37</v>
      </c>
      <c r="E105" s="35" t="s">
        <v>32</v>
      </c>
      <c r="F105" s="35" t="s">
        <v>38</v>
      </c>
      <c r="G105" s="35" t="s">
        <v>35</v>
      </c>
      <c r="H105" s="35">
        <f t="shared" si="3"/>
        <v>1</v>
      </c>
      <c r="I105" s="35"/>
      <c r="J105" s="35">
        <v>4</v>
      </c>
      <c r="K105" s="35">
        <f t="shared" si="4"/>
        <v>22</v>
      </c>
      <c r="L105" s="35" t="str">
        <f t="shared" si="5"/>
        <v>Evening</v>
      </c>
      <c r="M105" s="65"/>
      <c r="N105" s="65"/>
      <c r="O105" s="65"/>
      <c r="P105" s="66"/>
      <c r="Q105" s="35"/>
      <c r="R105" s="66"/>
      <c r="S105" s="73"/>
      <c r="T105" s="78"/>
    </row>
    <row r="106" spans="1:20">
      <c r="A106" s="55">
        <v>45295.8362152778</v>
      </c>
      <c r="B106" s="56">
        <v>45295.8547800926</v>
      </c>
      <c r="C106" s="35">
        <v>241</v>
      </c>
      <c r="D106" s="35" t="s">
        <v>42</v>
      </c>
      <c r="E106" s="35" t="s">
        <v>41</v>
      </c>
      <c r="F106" s="35" t="s">
        <v>40</v>
      </c>
      <c r="G106" s="35" t="s">
        <v>35</v>
      </c>
      <c r="H106" s="35">
        <f t="shared" si="3"/>
        <v>1</v>
      </c>
      <c r="I106" s="35"/>
      <c r="J106" s="35">
        <v>3</v>
      </c>
      <c r="K106" s="35">
        <f t="shared" si="4"/>
        <v>20</v>
      </c>
      <c r="L106" s="35" t="str">
        <f t="shared" si="5"/>
        <v>Evening</v>
      </c>
      <c r="M106" s="65"/>
      <c r="N106" s="65"/>
      <c r="O106" s="65"/>
      <c r="P106" s="66"/>
      <c r="Q106" s="35"/>
      <c r="R106" s="66"/>
      <c r="S106" s="73"/>
      <c r="T106" s="78"/>
    </row>
    <row r="107" spans="1:20">
      <c r="A107" s="55">
        <v>45309.3954050926</v>
      </c>
      <c r="B107" s="56">
        <v>45309.412037037</v>
      </c>
      <c r="C107" s="35">
        <v>278</v>
      </c>
      <c r="D107" s="35" t="s">
        <v>39</v>
      </c>
      <c r="E107" s="35" t="s">
        <v>32</v>
      </c>
      <c r="F107" s="35" t="s">
        <v>34</v>
      </c>
      <c r="G107" s="35" t="s">
        <v>35</v>
      </c>
      <c r="H107" s="35">
        <f t="shared" si="3"/>
        <v>1</v>
      </c>
      <c r="I107" s="35"/>
      <c r="J107" s="35">
        <v>3</v>
      </c>
      <c r="K107" s="35">
        <f t="shared" si="4"/>
        <v>9</v>
      </c>
      <c r="L107" s="35" t="str">
        <f t="shared" si="5"/>
        <v>Morning</v>
      </c>
      <c r="M107" s="65"/>
      <c r="N107" s="65"/>
      <c r="O107" s="65"/>
      <c r="P107" s="66"/>
      <c r="Q107" s="35"/>
      <c r="R107" s="66"/>
      <c r="S107" s="73"/>
      <c r="T107" s="78"/>
    </row>
    <row r="108" spans="1:20">
      <c r="A108" s="55">
        <v>45299.8761458333</v>
      </c>
      <c r="B108" s="56">
        <v>45299.8901388889</v>
      </c>
      <c r="C108" s="35">
        <v>345</v>
      </c>
      <c r="D108" s="35" t="s">
        <v>39</v>
      </c>
      <c r="E108" s="35" t="s">
        <v>39</v>
      </c>
      <c r="F108" s="35" t="s">
        <v>34</v>
      </c>
      <c r="G108" s="35" t="s">
        <v>36</v>
      </c>
      <c r="H108" s="35">
        <f t="shared" si="3"/>
        <v>0</v>
      </c>
      <c r="I108" s="35"/>
      <c r="J108" s="35">
        <v>2</v>
      </c>
      <c r="K108" s="35">
        <f t="shared" si="4"/>
        <v>21</v>
      </c>
      <c r="L108" s="35" t="str">
        <f t="shared" si="5"/>
        <v>Evening</v>
      </c>
      <c r="M108" s="65"/>
      <c r="N108" s="65"/>
      <c r="O108" s="65"/>
      <c r="P108" s="66"/>
      <c r="Q108" s="35"/>
      <c r="R108" s="66"/>
      <c r="S108" s="73"/>
      <c r="T108" s="78"/>
    </row>
    <row r="109" spans="1:20">
      <c r="A109" s="55">
        <v>45312.7966203704</v>
      </c>
      <c r="B109" s="56">
        <v>45312.7983796296</v>
      </c>
      <c r="C109" s="35">
        <v>48</v>
      </c>
      <c r="D109" s="35" t="s">
        <v>37</v>
      </c>
      <c r="E109" s="35" t="s">
        <v>32</v>
      </c>
      <c r="F109" s="35" t="s">
        <v>40</v>
      </c>
      <c r="G109" s="35" t="s">
        <v>36</v>
      </c>
      <c r="H109" s="35">
        <f t="shared" si="3"/>
        <v>0</v>
      </c>
      <c r="I109" s="35"/>
      <c r="J109" s="35">
        <v>3</v>
      </c>
      <c r="K109" s="35">
        <f t="shared" si="4"/>
        <v>19</v>
      </c>
      <c r="L109" s="35" t="str">
        <f t="shared" si="5"/>
        <v>Evening</v>
      </c>
      <c r="M109" s="65"/>
      <c r="N109" s="65"/>
      <c r="O109" s="65"/>
      <c r="P109" s="66"/>
      <c r="Q109" s="35"/>
      <c r="R109" s="66"/>
      <c r="S109" s="73"/>
      <c r="T109" s="78"/>
    </row>
    <row r="110" spans="1:20">
      <c r="A110" s="55">
        <v>45303.8179050926</v>
      </c>
      <c r="B110" s="56">
        <v>45303.8358217593</v>
      </c>
      <c r="C110" s="35">
        <v>168</v>
      </c>
      <c r="D110" s="35" t="s">
        <v>42</v>
      </c>
      <c r="E110" s="35" t="s">
        <v>33</v>
      </c>
      <c r="F110" s="35" t="s">
        <v>38</v>
      </c>
      <c r="G110" s="35" t="s">
        <v>35</v>
      </c>
      <c r="H110" s="35">
        <f t="shared" si="3"/>
        <v>1</v>
      </c>
      <c r="I110" s="35"/>
      <c r="J110" s="35">
        <v>4</v>
      </c>
      <c r="K110" s="35">
        <f t="shared" si="4"/>
        <v>19</v>
      </c>
      <c r="L110" s="35" t="str">
        <f t="shared" si="5"/>
        <v>Evening</v>
      </c>
      <c r="M110" s="65"/>
      <c r="N110" s="65"/>
      <c r="O110" s="65"/>
      <c r="P110" s="66"/>
      <c r="Q110" s="35"/>
      <c r="R110" s="66"/>
      <c r="S110" s="73"/>
      <c r="T110" s="78"/>
    </row>
    <row r="111" spans="1:20">
      <c r="A111" s="55">
        <v>45314.7176851852</v>
      </c>
      <c r="B111" s="56">
        <v>45314.728912037</v>
      </c>
      <c r="C111" s="35">
        <v>251</v>
      </c>
      <c r="D111" s="35" t="s">
        <v>37</v>
      </c>
      <c r="E111" s="35" t="s">
        <v>33</v>
      </c>
      <c r="F111" s="35" t="s">
        <v>34</v>
      </c>
      <c r="G111" s="35" t="s">
        <v>35</v>
      </c>
      <c r="H111" s="35">
        <f t="shared" si="3"/>
        <v>1</v>
      </c>
      <c r="I111" s="35"/>
      <c r="J111" s="35">
        <v>5</v>
      </c>
      <c r="K111" s="35">
        <f t="shared" si="4"/>
        <v>17</v>
      </c>
      <c r="L111" s="35" t="str">
        <f t="shared" si="5"/>
        <v>Morning</v>
      </c>
      <c r="M111" s="65"/>
      <c r="N111" s="65"/>
      <c r="O111" s="65"/>
      <c r="P111" s="66"/>
      <c r="Q111" s="35"/>
      <c r="R111" s="66"/>
      <c r="S111" s="73"/>
      <c r="T111" s="78"/>
    </row>
    <row r="112" spans="1:20">
      <c r="A112" s="55">
        <v>45293.7619444444</v>
      </c>
      <c r="B112" s="56">
        <v>45293.7655324074</v>
      </c>
      <c r="C112" s="35">
        <v>475</v>
      </c>
      <c r="D112" s="35" t="s">
        <v>43</v>
      </c>
      <c r="E112" s="35" t="s">
        <v>39</v>
      </c>
      <c r="F112" s="35" t="s">
        <v>34</v>
      </c>
      <c r="G112" s="35" t="s">
        <v>35</v>
      </c>
      <c r="H112" s="35">
        <f t="shared" si="3"/>
        <v>1</v>
      </c>
      <c r="I112" s="35"/>
      <c r="J112" s="35">
        <v>3</v>
      </c>
      <c r="K112" s="35">
        <f t="shared" si="4"/>
        <v>18</v>
      </c>
      <c r="L112" s="35" t="str">
        <f t="shared" si="5"/>
        <v>Morning</v>
      </c>
      <c r="M112" s="65"/>
      <c r="N112" s="65"/>
      <c r="O112" s="65"/>
      <c r="P112" s="66"/>
      <c r="Q112" s="35"/>
      <c r="R112" s="66"/>
      <c r="S112" s="73"/>
      <c r="T112" s="78"/>
    </row>
    <row r="113" spans="1:20">
      <c r="A113" s="55">
        <v>45317.6771759259</v>
      </c>
      <c r="B113" s="56">
        <v>45317.6965162037</v>
      </c>
      <c r="C113" s="35">
        <v>588</v>
      </c>
      <c r="D113" s="35" t="s">
        <v>32</v>
      </c>
      <c r="E113" s="35" t="s">
        <v>33</v>
      </c>
      <c r="F113" s="35" t="s">
        <v>34</v>
      </c>
      <c r="G113" s="35" t="s">
        <v>36</v>
      </c>
      <c r="H113" s="35">
        <f t="shared" si="3"/>
        <v>0</v>
      </c>
      <c r="I113" s="35"/>
      <c r="J113" s="35">
        <v>1</v>
      </c>
      <c r="K113" s="35">
        <f t="shared" si="4"/>
        <v>16</v>
      </c>
      <c r="L113" s="35" t="str">
        <f t="shared" si="5"/>
        <v>Morning</v>
      </c>
      <c r="M113" s="65"/>
      <c r="N113" s="65"/>
      <c r="O113" s="65"/>
      <c r="P113" s="66"/>
      <c r="Q113" s="35"/>
      <c r="R113" s="66"/>
      <c r="S113" s="73"/>
      <c r="T113" s="78"/>
    </row>
    <row r="114" spans="1:20">
      <c r="A114" s="55">
        <v>45302.4520486111</v>
      </c>
      <c r="B114" s="56">
        <v>45302.4668634259</v>
      </c>
      <c r="C114" s="35">
        <v>12</v>
      </c>
      <c r="D114" s="35" t="s">
        <v>37</v>
      </c>
      <c r="E114" s="35" t="s">
        <v>39</v>
      </c>
      <c r="F114" s="35" t="s">
        <v>40</v>
      </c>
      <c r="G114" s="35" t="s">
        <v>35</v>
      </c>
      <c r="H114" s="35">
        <f t="shared" si="3"/>
        <v>1</v>
      </c>
      <c r="I114" s="35"/>
      <c r="J114" s="35">
        <v>3</v>
      </c>
      <c r="K114" s="35">
        <f t="shared" si="4"/>
        <v>10</v>
      </c>
      <c r="L114" s="35" t="str">
        <f t="shared" si="5"/>
        <v>Morning</v>
      </c>
      <c r="M114" s="65"/>
      <c r="N114" s="65"/>
      <c r="O114" s="65"/>
      <c r="P114" s="66"/>
      <c r="Q114" s="35"/>
      <c r="R114" s="66"/>
      <c r="S114" s="73"/>
      <c r="T114" s="78"/>
    </row>
    <row r="115" spans="1:20">
      <c r="A115" s="55">
        <v>45313.2555555556</v>
      </c>
      <c r="B115" s="56">
        <v>45313.2647337963</v>
      </c>
      <c r="C115" s="35">
        <v>253</v>
      </c>
      <c r="D115" s="35" t="s">
        <v>39</v>
      </c>
      <c r="E115" s="35" t="s">
        <v>41</v>
      </c>
      <c r="F115" s="35" t="s">
        <v>40</v>
      </c>
      <c r="G115" s="35" t="s">
        <v>36</v>
      </c>
      <c r="H115" s="35">
        <f t="shared" si="3"/>
        <v>0</v>
      </c>
      <c r="I115" s="35"/>
      <c r="J115" s="35">
        <v>1</v>
      </c>
      <c r="K115" s="35">
        <f t="shared" si="4"/>
        <v>6</v>
      </c>
      <c r="L115" s="35" t="str">
        <f t="shared" si="5"/>
        <v>Morning</v>
      </c>
      <c r="M115" s="65"/>
      <c r="N115" s="65"/>
      <c r="O115" s="65"/>
      <c r="P115" s="66"/>
      <c r="Q115" s="35"/>
      <c r="R115" s="66"/>
      <c r="S115" s="73"/>
      <c r="T115" s="78"/>
    </row>
    <row r="116" spans="1:20">
      <c r="A116" s="55">
        <v>45308.4076851852</v>
      </c>
      <c r="B116" s="56">
        <v>45308.4196643519</v>
      </c>
      <c r="C116" s="35">
        <v>469</v>
      </c>
      <c r="D116" s="35" t="s">
        <v>37</v>
      </c>
      <c r="E116" s="35" t="s">
        <v>33</v>
      </c>
      <c r="F116" s="35" t="s">
        <v>38</v>
      </c>
      <c r="G116" s="35" t="s">
        <v>35</v>
      </c>
      <c r="H116" s="35">
        <f t="shared" si="3"/>
        <v>1</v>
      </c>
      <c r="I116" s="35"/>
      <c r="J116" s="35">
        <v>5</v>
      </c>
      <c r="K116" s="35">
        <f t="shared" si="4"/>
        <v>9</v>
      </c>
      <c r="L116" s="35" t="str">
        <f t="shared" si="5"/>
        <v>Morning</v>
      </c>
      <c r="M116" s="65"/>
      <c r="N116" s="65"/>
      <c r="O116" s="65"/>
      <c r="P116" s="66"/>
      <c r="Q116" s="35"/>
      <c r="R116" s="66"/>
      <c r="S116" s="73"/>
      <c r="T116" s="78"/>
    </row>
    <row r="117" spans="1:20">
      <c r="A117" s="55">
        <v>45315.9301967593</v>
      </c>
      <c r="B117" s="56">
        <v>45315.9461342593</v>
      </c>
      <c r="C117" s="35">
        <v>41</v>
      </c>
      <c r="D117" s="35" t="s">
        <v>43</v>
      </c>
      <c r="E117" s="35" t="s">
        <v>32</v>
      </c>
      <c r="F117" s="35" t="s">
        <v>38</v>
      </c>
      <c r="G117" s="35" t="s">
        <v>35</v>
      </c>
      <c r="H117" s="35">
        <f t="shared" si="3"/>
        <v>1</v>
      </c>
      <c r="I117" s="35"/>
      <c r="J117" s="35">
        <v>3</v>
      </c>
      <c r="K117" s="35">
        <f t="shared" si="4"/>
        <v>22</v>
      </c>
      <c r="L117" s="35" t="str">
        <f t="shared" si="5"/>
        <v>Evening</v>
      </c>
      <c r="M117" s="65"/>
      <c r="N117" s="65"/>
      <c r="O117" s="65"/>
      <c r="P117" s="66"/>
      <c r="Q117" s="35"/>
      <c r="R117" s="66"/>
      <c r="S117" s="73"/>
      <c r="T117" s="78"/>
    </row>
    <row r="118" spans="1:20">
      <c r="A118" s="55">
        <v>45314.8367708333</v>
      </c>
      <c r="B118" s="56">
        <v>45314.839375</v>
      </c>
      <c r="C118" s="35">
        <v>339</v>
      </c>
      <c r="D118" s="35" t="s">
        <v>39</v>
      </c>
      <c r="E118" s="35" t="s">
        <v>39</v>
      </c>
      <c r="F118" s="35" t="s">
        <v>40</v>
      </c>
      <c r="G118" s="35" t="s">
        <v>36</v>
      </c>
      <c r="H118" s="35">
        <f t="shared" si="3"/>
        <v>0</v>
      </c>
      <c r="I118" s="35"/>
      <c r="J118" s="35">
        <v>3</v>
      </c>
      <c r="K118" s="35">
        <f t="shared" si="4"/>
        <v>20</v>
      </c>
      <c r="L118" s="35" t="str">
        <f t="shared" si="5"/>
        <v>Evening</v>
      </c>
      <c r="M118" s="65"/>
      <c r="N118" s="65"/>
      <c r="O118" s="65"/>
      <c r="P118" s="66"/>
      <c r="Q118" s="35"/>
      <c r="R118" s="66"/>
      <c r="S118" s="73"/>
      <c r="T118" s="78"/>
    </row>
    <row r="119" spans="1:20">
      <c r="A119" s="55">
        <v>45314.6837731482</v>
      </c>
      <c r="B119" s="56">
        <v>45314.697037037</v>
      </c>
      <c r="C119" s="35">
        <v>311</v>
      </c>
      <c r="D119" s="35" t="s">
        <v>42</v>
      </c>
      <c r="E119" s="35" t="s">
        <v>32</v>
      </c>
      <c r="F119" s="35" t="s">
        <v>40</v>
      </c>
      <c r="G119" s="35" t="s">
        <v>35</v>
      </c>
      <c r="H119" s="35">
        <f t="shared" si="3"/>
        <v>1</v>
      </c>
      <c r="I119" s="35"/>
      <c r="J119" s="35">
        <v>3</v>
      </c>
      <c r="K119" s="35">
        <f t="shared" si="4"/>
        <v>16</v>
      </c>
      <c r="L119" s="35" t="str">
        <f t="shared" si="5"/>
        <v>Morning</v>
      </c>
      <c r="M119" s="65"/>
      <c r="N119" s="65"/>
      <c r="O119" s="65"/>
      <c r="P119" s="66"/>
      <c r="Q119" s="35"/>
      <c r="R119" s="66"/>
      <c r="S119" s="73"/>
      <c r="T119" s="78"/>
    </row>
    <row r="120" spans="1:20">
      <c r="A120" s="55">
        <v>45312.5190740741</v>
      </c>
      <c r="B120" s="56">
        <v>45312.5251736111</v>
      </c>
      <c r="C120" s="35">
        <v>433</v>
      </c>
      <c r="D120" s="35" t="s">
        <v>37</v>
      </c>
      <c r="E120" s="35" t="s">
        <v>32</v>
      </c>
      <c r="F120" s="35" t="s">
        <v>38</v>
      </c>
      <c r="G120" s="35" t="s">
        <v>35</v>
      </c>
      <c r="H120" s="35">
        <f t="shared" si="3"/>
        <v>1</v>
      </c>
      <c r="I120" s="35"/>
      <c r="J120" s="35">
        <v>3</v>
      </c>
      <c r="K120" s="35">
        <f t="shared" si="4"/>
        <v>12</v>
      </c>
      <c r="L120" s="35" t="str">
        <f t="shared" si="5"/>
        <v>Morning</v>
      </c>
      <c r="M120" s="65"/>
      <c r="N120" s="65"/>
      <c r="O120" s="65"/>
      <c r="P120" s="66"/>
      <c r="Q120" s="35"/>
      <c r="R120" s="66"/>
      <c r="S120" s="73"/>
      <c r="T120" s="78"/>
    </row>
    <row r="121" spans="1:20">
      <c r="A121" s="55">
        <v>45305.6960185185</v>
      </c>
      <c r="B121" s="56">
        <v>45305.7055787037</v>
      </c>
      <c r="C121" s="35">
        <v>166</v>
      </c>
      <c r="D121" s="35" t="s">
        <v>42</v>
      </c>
      <c r="E121" s="35" t="s">
        <v>33</v>
      </c>
      <c r="F121" s="35" t="s">
        <v>40</v>
      </c>
      <c r="G121" s="35" t="s">
        <v>35</v>
      </c>
      <c r="H121" s="35">
        <f t="shared" si="3"/>
        <v>1</v>
      </c>
      <c r="I121" s="35"/>
      <c r="J121" s="35">
        <v>3</v>
      </c>
      <c r="K121" s="35">
        <f t="shared" si="4"/>
        <v>16</v>
      </c>
      <c r="L121" s="35" t="str">
        <f t="shared" si="5"/>
        <v>Morning</v>
      </c>
      <c r="M121" s="65"/>
      <c r="N121" s="65"/>
      <c r="O121" s="65"/>
      <c r="P121" s="66"/>
      <c r="Q121" s="35"/>
      <c r="R121" s="66"/>
      <c r="S121" s="73"/>
      <c r="T121" s="78"/>
    </row>
    <row r="122" spans="1:20">
      <c r="A122" s="55">
        <v>45295.7438425926</v>
      </c>
      <c r="B122" s="56">
        <v>45295.7577199074</v>
      </c>
      <c r="C122" s="35">
        <v>71</v>
      </c>
      <c r="D122" s="35" t="s">
        <v>39</v>
      </c>
      <c r="E122" s="35" t="s">
        <v>41</v>
      </c>
      <c r="F122" s="35" t="s">
        <v>34</v>
      </c>
      <c r="G122" s="35" t="s">
        <v>36</v>
      </c>
      <c r="H122" s="35">
        <f t="shared" si="3"/>
        <v>0</v>
      </c>
      <c r="I122" s="35"/>
      <c r="J122" s="35">
        <v>2</v>
      </c>
      <c r="K122" s="35">
        <f t="shared" si="4"/>
        <v>17</v>
      </c>
      <c r="L122" s="35" t="str">
        <f t="shared" si="5"/>
        <v>Morning</v>
      </c>
      <c r="M122" s="65"/>
      <c r="N122" s="65"/>
      <c r="O122" s="65"/>
      <c r="P122" s="66"/>
      <c r="Q122" s="35"/>
      <c r="R122" s="66"/>
      <c r="S122" s="73"/>
      <c r="T122" s="78"/>
    </row>
    <row r="123" spans="1:20">
      <c r="A123" s="55">
        <v>45305.3046064815</v>
      </c>
      <c r="B123" s="56">
        <v>45305.3126967593</v>
      </c>
      <c r="C123" s="35">
        <v>370</v>
      </c>
      <c r="D123" s="35" t="s">
        <v>43</v>
      </c>
      <c r="E123" s="35" t="s">
        <v>39</v>
      </c>
      <c r="F123" s="35" t="s">
        <v>40</v>
      </c>
      <c r="G123" s="35" t="s">
        <v>35</v>
      </c>
      <c r="H123" s="35">
        <f t="shared" si="3"/>
        <v>1</v>
      </c>
      <c r="I123" s="35"/>
      <c r="J123" s="35">
        <v>3</v>
      </c>
      <c r="K123" s="35">
        <f t="shared" si="4"/>
        <v>7</v>
      </c>
      <c r="L123" s="35" t="str">
        <f t="shared" si="5"/>
        <v>Morning</v>
      </c>
      <c r="M123" s="65"/>
      <c r="N123" s="65"/>
      <c r="O123" s="65"/>
      <c r="P123" s="66"/>
      <c r="Q123" s="35"/>
      <c r="R123" s="66"/>
      <c r="S123" s="73"/>
      <c r="T123" s="78"/>
    </row>
    <row r="124" spans="1:20">
      <c r="A124" s="55">
        <v>45295.7462384259</v>
      </c>
      <c r="B124" s="56">
        <v>45295.7556365741</v>
      </c>
      <c r="C124" s="35">
        <v>127</v>
      </c>
      <c r="D124" s="35" t="s">
        <v>37</v>
      </c>
      <c r="E124" s="35" t="s">
        <v>39</v>
      </c>
      <c r="F124" s="35" t="s">
        <v>38</v>
      </c>
      <c r="G124" s="35" t="s">
        <v>35</v>
      </c>
      <c r="H124" s="35">
        <f t="shared" si="3"/>
        <v>1</v>
      </c>
      <c r="I124" s="35"/>
      <c r="J124" s="35">
        <v>5</v>
      </c>
      <c r="K124" s="35">
        <f t="shared" si="4"/>
        <v>17</v>
      </c>
      <c r="L124" s="35" t="str">
        <f t="shared" si="5"/>
        <v>Morning</v>
      </c>
      <c r="M124" s="65"/>
      <c r="N124" s="65"/>
      <c r="O124" s="65"/>
      <c r="P124" s="66"/>
      <c r="Q124" s="35"/>
      <c r="R124" s="66"/>
      <c r="S124" s="73"/>
      <c r="T124" s="78"/>
    </row>
    <row r="125" spans="1:20">
      <c r="A125" s="55">
        <v>45313.2770717593</v>
      </c>
      <c r="B125" s="56">
        <v>45313.2933564815</v>
      </c>
      <c r="C125" s="35">
        <v>283</v>
      </c>
      <c r="D125" s="35" t="s">
        <v>43</v>
      </c>
      <c r="E125" s="35" t="s">
        <v>39</v>
      </c>
      <c r="F125" s="35" t="s">
        <v>38</v>
      </c>
      <c r="G125" s="35" t="s">
        <v>35</v>
      </c>
      <c r="H125" s="35">
        <f t="shared" si="3"/>
        <v>1</v>
      </c>
      <c r="I125" s="35"/>
      <c r="J125" s="35">
        <v>4</v>
      </c>
      <c r="K125" s="35">
        <f t="shared" si="4"/>
        <v>6</v>
      </c>
      <c r="L125" s="35" t="str">
        <f t="shared" si="5"/>
        <v>Morning</v>
      </c>
      <c r="M125" s="65"/>
      <c r="N125" s="65"/>
      <c r="O125" s="65"/>
      <c r="P125" s="66"/>
      <c r="Q125" s="35"/>
      <c r="R125" s="66"/>
      <c r="S125" s="73"/>
      <c r="T125" s="78"/>
    </row>
    <row r="126" spans="1:20">
      <c r="A126" s="55">
        <v>45302.7084606482</v>
      </c>
      <c r="B126" s="56">
        <v>45302.7125462963</v>
      </c>
      <c r="C126" s="35">
        <v>589</v>
      </c>
      <c r="D126" s="35" t="s">
        <v>42</v>
      </c>
      <c r="E126" s="35" t="s">
        <v>33</v>
      </c>
      <c r="F126" s="35" t="s">
        <v>40</v>
      </c>
      <c r="G126" s="35" t="s">
        <v>35</v>
      </c>
      <c r="H126" s="35">
        <f t="shared" si="3"/>
        <v>1</v>
      </c>
      <c r="I126" s="35"/>
      <c r="J126" s="35">
        <v>3</v>
      </c>
      <c r="K126" s="35">
        <f t="shared" si="4"/>
        <v>17</v>
      </c>
      <c r="L126" s="35" t="str">
        <f t="shared" si="5"/>
        <v>Morning</v>
      </c>
      <c r="M126" s="65"/>
      <c r="N126" s="65"/>
      <c r="O126" s="65"/>
      <c r="P126" s="66"/>
      <c r="Q126" s="35"/>
      <c r="R126" s="66"/>
      <c r="S126" s="73"/>
      <c r="T126" s="78"/>
    </row>
    <row r="127" spans="1:20">
      <c r="A127" s="55">
        <v>45315.9259722222</v>
      </c>
      <c r="B127" s="56">
        <v>45315.9366087963</v>
      </c>
      <c r="C127" s="35">
        <v>474</v>
      </c>
      <c r="D127" s="35" t="s">
        <v>37</v>
      </c>
      <c r="E127" s="35" t="s">
        <v>39</v>
      </c>
      <c r="F127" s="35" t="s">
        <v>38</v>
      </c>
      <c r="G127" s="35" t="s">
        <v>35</v>
      </c>
      <c r="H127" s="35">
        <f t="shared" si="3"/>
        <v>1</v>
      </c>
      <c r="I127" s="35"/>
      <c r="J127" s="35">
        <v>4</v>
      </c>
      <c r="K127" s="35">
        <f t="shared" si="4"/>
        <v>22</v>
      </c>
      <c r="L127" s="35" t="str">
        <f t="shared" si="5"/>
        <v>Evening</v>
      </c>
      <c r="M127" s="65"/>
      <c r="N127" s="65"/>
      <c r="O127" s="65"/>
      <c r="P127" s="66"/>
      <c r="Q127" s="35"/>
      <c r="R127" s="66"/>
      <c r="S127" s="73"/>
      <c r="T127" s="78"/>
    </row>
    <row r="128" spans="1:20">
      <c r="A128" s="55">
        <v>45310.3722569444</v>
      </c>
      <c r="B128" s="56">
        <v>45310.3766319444</v>
      </c>
      <c r="C128" s="35">
        <v>171</v>
      </c>
      <c r="D128" s="35" t="s">
        <v>39</v>
      </c>
      <c r="E128" s="35" t="s">
        <v>33</v>
      </c>
      <c r="F128" s="35" t="s">
        <v>34</v>
      </c>
      <c r="G128" s="35" t="s">
        <v>36</v>
      </c>
      <c r="H128" s="35">
        <f t="shared" si="3"/>
        <v>0</v>
      </c>
      <c r="I128" s="35"/>
      <c r="J128" s="35">
        <v>2</v>
      </c>
      <c r="K128" s="35">
        <f t="shared" si="4"/>
        <v>8</v>
      </c>
      <c r="L128" s="35" t="str">
        <f t="shared" si="5"/>
        <v>Morning</v>
      </c>
      <c r="M128" s="65"/>
      <c r="N128" s="65"/>
      <c r="O128" s="65"/>
      <c r="P128" s="66"/>
      <c r="Q128" s="35"/>
      <c r="R128" s="66"/>
      <c r="S128" s="73"/>
      <c r="T128" s="78"/>
    </row>
    <row r="129" spans="1:20">
      <c r="A129" s="55">
        <v>45311.8515856481</v>
      </c>
      <c r="B129" s="56">
        <v>45311.8573842593</v>
      </c>
      <c r="C129" s="35">
        <v>534</v>
      </c>
      <c r="D129" s="35" t="s">
        <v>43</v>
      </c>
      <c r="E129" s="35" t="s">
        <v>41</v>
      </c>
      <c r="F129" s="35" t="s">
        <v>38</v>
      </c>
      <c r="G129" s="35" t="s">
        <v>36</v>
      </c>
      <c r="H129" s="35">
        <f t="shared" si="3"/>
        <v>0</v>
      </c>
      <c r="I129" s="35"/>
      <c r="J129" s="35">
        <v>3</v>
      </c>
      <c r="K129" s="35">
        <f t="shared" si="4"/>
        <v>20</v>
      </c>
      <c r="L129" s="35" t="str">
        <f t="shared" si="5"/>
        <v>Evening</v>
      </c>
      <c r="M129" s="65"/>
      <c r="N129" s="65"/>
      <c r="O129" s="65"/>
      <c r="P129" s="66"/>
      <c r="Q129" s="35"/>
      <c r="R129" s="66"/>
      <c r="S129" s="73"/>
      <c r="T129" s="78"/>
    </row>
    <row r="130" spans="1:20">
      <c r="A130" s="55">
        <v>45308.6265509259</v>
      </c>
      <c r="B130" s="56">
        <v>45308.6366087963</v>
      </c>
      <c r="C130" s="35">
        <v>66</v>
      </c>
      <c r="D130" s="35" t="s">
        <v>43</v>
      </c>
      <c r="E130" s="35" t="s">
        <v>39</v>
      </c>
      <c r="F130" s="35" t="s">
        <v>38</v>
      </c>
      <c r="G130" s="35" t="s">
        <v>35</v>
      </c>
      <c r="H130" s="35">
        <f t="shared" si="3"/>
        <v>1</v>
      </c>
      <c r="I130" s="35"/>
      <c r="J130" s="35">
        <v>3</v>
      </c>
      <c r="K130" s="35">
        <f t="shared" si="4"/>
        <v>15</v>
      </c>
      <c r="L130" s="35" t="str">
        <f t="shared" si="5"/>
        <v>Morning</v>
      </c>
      <c r="M130" s="65"/>
      <c r="N130" s="65"/>
      <c r="O130" s="65"/>
      <c r="P130" s="66"/>
      <c r="Q130" s="35"/>
      <c r="R130" s="66"/>
      <c r="S130" s="73"/>
      <c r="T130" s="78"/>
    </row>
    <row r="131" spans="1:20">
      <c r="A131" s="55">
        <v>45300.6389699074</v>
      </c>
      <c r="B131" s="56">
        <v>45300.639837963</v>
      </c>
      <c r="C131" s="35">
        <v>519</v>
      </c>
      <c r="D131" s="35" t="s">
        <v>42</v>
      </c>
      <c r="E131" s="35" t="s">
        <v>39</v>
      </c>
      <c r="F131" s="35" t="s">
        <v>40</v>
      </c>
      <c r="G131" s="35" t="s">
        <v>35</v>
      </c>
      <c r="H131" s="35">
        <f t="shared" ref="H131:H194" si="6">IF(G131="Y",1,0)</f>
        <v>1</v>
      </c>
      <c r="I131" s="35"/>
      <c r="J131" s="35">
        <v>5</v>
      </c>
      <c r="K131" s="35">
        <f t="shared" ref="K131:K194" si="7">HOUR(A131:A630)</f>
        <v>15</v>
      </c>
      <c r="L131" s="35" t="str">
        <f t="shared" ref="L131:L194" si="8">IF(AND(K131&gt;=6,K131&lt;=18),"Morning","Evening")</f>
        <v>Morning</v>
      </c>
      <c r="M131" s="65"/>
      <c r="N131" s="65"/>
      <c r="O131" s="65"/>
      <c r="P131" s="66"/>
      <c r="Q131" s="35"/>
      <c r="R131" s="66"/>
      <c r="S131" s="73"/>
      <c r="T131" s="78"/>
    </row>
    <row r="132" spans="1:20">
      <c r="A132" s="55">
        <v>45308.711400463</v>
      </c>
      <c r="B132" s="56">
        <v>45308.7296759259</v>
      </c>
      <c r="C132" s="35">
        <v>53</v>
      </c>
      <c r="D132" s="35" t="s">
        <v>42</v>
      </c>
      <c r="E132" s="35" t="s">
        <v>33</v>
      </c>
      <c r="F132" s="35" t="s">
        <v>38</v>
      </c>
      <c r="G132" s="35" t="s">
        <v>35</v>
      </c>
      <c r="H132" s="35">
        <f t="shared" si="6"/>
        <v>1</v>
      </c>
      <c r="I132" s="35"/>
      <c r="J132" s="35">
        <v>4</v>
      </c>
      <c r="K132" s="35">
        <f t="shared" si="7"/>
        <v>17</v>
      </c>
      <c r="L132" s="35" t="str">
        <f t="shared" si="8"/>
        <v>Morning</v>
      </c>
      <c r="M132" s="65"/>
      <c r="N132" s="65"/>
      <c r="O132" s="65"/>
      <c r="P132" s="66"/>
      <c r="Q132" s="35"/>
      <c r="R132" s="66"/>
      <c r="S132" s="73"/>
      <c r="T132" s="78"/>
    </row>
    <row r="133" spans="1:20">
      <c r="A133" s="55">
        <v>45305.781712963</v>
      </c>
      <c r="B133" s="56">
        <v>45305.7923032407</v>
      </c>
      <c r="C133" s="35">
        <v>306</v>
      </c>
      <c r="D133" s="35" t="s">
        <v>43</v>
      </c>
      <c r="E133" s="35" t="s">
        <v>32</v>
      </c>
      <c r="F133" s="35" t="s">
        <v>40</v>
      </c>
      <c r="G133" s="35" t="s">
        <v>35</v>
      </c>
      <c r="H133" s="35">
        <f t="shared" si="6"/>
        <v>1</v>
      </c>
      <c r="I133" s="35"/>
      <c r="J133" s="35">
        <v>3</v>
      </c>
      <c r="K133" s="35">
        <f t="shared" si="7"/>
        <v>18</v>
      </c>
      <c r="L133" s="35" t="str">
        <f t="shared" si="8"/>
        <v>Morning</v>
      </c>
      <c r="M133" s="65"/>
      <c r="N133" s="65"/>
      <c r="O133" s="65"/>
      <c r="P133" s="66"/>
      <c r="Q133" s="35"/>
      <c r="R133" s="66"/>
      <c r="S133" s="73"/>
      <c r="T133" s="78"/>
    </row>
    <row r="134" spans="1:20">
      <c r="A134" s="55">
        <v>45311.8706481481</v>
      </c>
      <c r="B134" s="56">
        <v>45311.8799189815</v>
      </c>
      <c r="C134" s="35">
        <v>100</v>
      </c>
      <c r="D134" s="35" t="s">
        <v>42</v>
      </c>
      <c r="E134" s="35" t="s">
        <v>33</v>
      </c>
      <c r="F134" s="35" t="s">
        <v>40</v>
      </c>
      <c r="G134" s="35" t="s">
        <v>35</v>
      </c>
      <c r="H134" s="35">
        <f t="shared" si="6"/>
        <v>1</v>
      </c>
      <c r="I134" s="35"/>
      <c r="J134" s="35">
        <v>4</v>
      </c>
      <c r="K134" s="35">
        <f t="shared" si="7"/>
        <v>20</v>
      </c>
      <c r="L134" s="35" t="str">
        <f t="shared" si="8"/>
        <v>Evening</v>
      </c>
      <c r="M134" s="65"/>
      <c r="N134" s="65"/>
      <c r="O134" s="65"/>
      <c r="P134" s="66"/>
      <c r="Q134" s="35"/>
      <c r="R134" s="66"/>
      <c r="S134" s="73"/>
      <c r="T134" s="78"/>
    </row>
    <row r="135" spans="1:20">
      <c r="A135" s="55">
        <v>45294.7884143519</v>
      </c>
      <c r="B135" s="56">
        <v>45294.8067824074</v>
      </c>
      <c r="C135" s="35">
        <v>357</v>
      </c>
      <c r="D135" s="35" t="s">
        <v>32</v>
      </c>
      <c r="E135" s="35" t="s">
        <v>41</v>
      </c>
      <c r="F135" s="35" t="s">
        <v>40</v>
      </c>
      <c r="G135" s="35" t="s">
        <v>36</v>
      </c>
      <c r="H135" s="35">
        <f t="shared" si="6"/>
        <v>0</v>
      </c>
      <c r="I135" s="35"/>
      <c r="J135" s="35">
        <v>3</v>
      </c>
      <c r="K135" s="35">
        <f t="shared" si="7"/>
        <v>18</v>
      </c>
      <c r="L135" s="35" t="str">
        <f t="shared" si="8"/>
        <v>Morning</v>
      </c>
      <c r="M135" s="65"/>
      <c r="N135" s="65"/>
      <c r="O135" s="65"/>
      <c r="P135" s="66"/>
      <c r="Q135" s="35"/>
      <c r="R135" s="66"/>
      <c r="S135" s="73"/>
      <c r="T135" s="78"/>
    </row>
    <row r="136" spans="1:20">
      <c r="A136" s="55">
        <v>45298.7241435185</v>
      </c>
      <c r="B136" s="56">
        <v>45298.7442476852</v>
      </c>
      <c r="C136" s="35">
        <v>161</v>
      </c>
      <c r="D136" s="35" t="s">
        <v>32</v>
      </c>
      <c r="E136" s="35" t="s">
        <v>33</v>
      </c>
      <c r="F136" s="35" t="s">
        <v>40</v>
      </c>
      <c r="G136" s="35" t="s">
        <v>35</v>
      </c>
      <c r="H136" s="35">
        <f t="shared" si="6"/>
        <v>1</v>
      </c>
      <c r="I136" s="35"/>
      <c r="J136" s="35">
        <v>3</v>
      </c>
      <c r="K136" s="35">
        <f t="shared" si="7"/>
        <v>17</v>
      </c>
      <c r="L136" s="35" t="str">
        <f t="shared" si="8"/>
        <v>Morning</v>
      </c>
      <c r="M136" s="65"/>
      <c r="N136" s="65"/>
      <c r="O136" s="65"/>
      <c r="P136" s="66"/>
      <c r="Q136" s="35"/>
      <c r="R136" s="66"/>
      <c r="S136" s="73"/>
      <c r="T136" s="78"/>
    </row>
    <row r="137" spans="1:20">
      <c r="A137" s="55">
        <v>45296.3415393519</v>
      </c>
      <c r="B137" s="56">
        <v>45296.3571180556</v>
      </c>
      <c r="C137" s="35">
        <v>515</v>
      </c>
      <c r="D137" s="35" t="s">
        <v>42</v>
      </c>
      <c r="E137" s="35" t="s">
        <v>32</v>
      </c>
      <c r="F137" s="35" t="s">
        <v>34</v>
      </c>
      <c r="G137" s="35" t="s">
        <v>35</v>
      </c>
      <c r="H137" s="35">
        <f t="shared" si="6"/>
        <v>1</v>
      </c>
      <c r="I137" s="35"/>
      <c r="J137" s="35">
        <v>5</v>
      </c>
      <c r="K137" s="35">
        <f t="shared" si="7"/>
        <v>8</v>
      </c>
      <c r="L137" s="35" t="str">
        <f t="shared" si="8"/>
        <v>Morning</v>
      </c>
      <c r="M137" s="65"/>
      <c r="N137" s="65"/>
      <c r="O137" s="65"/>
      <c r="P137" s="66"/>
      <c r="Q137" s="35"/>
      <c r="R137" s="66"/>
      <c r="S137" s="73"/>
      <c r="T137" s="78"/>
    </row>
    <row r="138" spans="1:20">
      <c r="A138" s="55">
        <v>45312.7053240741</v>
      </c>
      <c r="B138" s="56">
        <v>45312.7135069444</v>
      </c>
      <c r="C138" s="35">
        <v>164</v>
      </c>
      <c r="D138" s="35" t="s">
        <v>42</v>
      </c>
      <c r="E138" s="35" t="s">
        <v>33</v>
      </c>
      <c r="F138" s="35" t="s">
        <v>38</v>
      </c>
      <c r="G138" s="35" t="s">
        <v>35</v>
      </c>
      <c r="H138" s="35">
        <f t="shared" si="6"/>
        <v>1</v>
      </c>
      <c r="I138" s="35"/>
      <c r="J138" s="35">
        <v>4</v>
      </c>
      <c r="K138" s="35">
        <f t="shared" si="7"/>
        <v>16</v>
      </c>
      <c r="L138" s="35" t="str">
        <f t="shared" si="8"/>
        <v>Morning</v>
      </c>
      <c r="M138" s="65"/>
      <c r="N138" s="65"/>
      <c r="O138" s="65"/>
      <c r="P138" s="66"/>
      <c r="Q138" s="35"/>
      <c r="R138" s="66"/>
      <c r="S138" s="73"/>
      <c r="T138" s="78"/>
    </row>
    <row r="139" spans="1:20">
      <c r="A139" s="55">
        <v>45300.3073148148</v>
      </c>
      <c r="B139" s="56">
        <v>45300.3097569444</v>
      </c>
      <c r="C139" s="35">
        <v>327</v>
      </c>
      <c r="D139" s="35" t="s">
        <v>42</v>
      </c>
      <c r="E139" s="35" t="s">
        <v>32</v>
      </c>
      <c r="F139" s="35" t="s">
        <v>40</v>
      </c>
      <c r="G139" s="35" t="s">
        <v>36</v>
      </c>
      <c r="H139" s="35">
        <f t="shared" si="6"/>
        <v>0</v>
      </c>
      <c r="I139" s="35"/>
      <c r="J139" s="35">
        <v>2</v>
      </c>
      <c r="K139" s="35">
        <f t="shared" si="7"/>
        <v>7</v>
      </c>
      <c r="L139" s="35" t="str">
        <f t="shared" si="8"/>
        <v>Morning</v>
      </c>
      <c r="M139" s="65"/>
      <c r="N139" s="65"/>
      <c r="O139" s="65"/>
      <c r="P139" s="66"/>
      <c r="Q139" s="35"/>
      <c r="R139" s="66"/>
      <c r="S139" s="73"/>
      <c r="T139" s="78"/>
    </row>
    <row r="140" spans="1:20">
      <c r="A140" s="55">
        <v>45319.3608564815</v>
      </c>
      <c r="B140" s="56">
        <v>45319.3735648148</v>
      </c>
      <c r="C140" s="35">
        <v>403</v>
      </c>
      <c r="D140" s="35" t="s">
        <v>42</v>
      </c>
      <c r="E140" s="35" t="s">
        <v>33</v>
      </c>
      <c r="F140" s="35" t="s">
        <v>38</v>
      </c>
      <c r="G140" s="35" t="s">
        <v>35</v>
      </c>
      <c r="H140" s="35">
        <f t="shared" si="6"/>
        <v>1</v>
      </c>
      <c r="I140" s="35"/>
      <c r="J140" s="35">
        <v>5</v>
      </c>
      <c r="K140" s="35">
        <f t="shared" si="7"/>
        <v>8</v>
      </c>
      <c r="L140" s="35" t="str">
        <f t="shared" si="8"/>
        <v>Morning</v>
      </c>
      <c r="M140" s="65"/>
      <c r="N140" s="65"/>
      <c r="O140" s="65"/>
      <c r="P140" s="66"/>
      <c r="Q140" s="35"/>
      <c r="R140" s="66"/>
      <c r="S140" s="73"/>
      <c r="T140" s="78"/>
    </row>
    <row r="141" spans="1:20">
      <c r="A141" s="55">
        <v>45298.6934027778</v>
      </c>
      <c r="B141" s="56">
        <v>45298.7059722222</v>
      </c>
      <c r="C141" s="35">
        <v>164</v>
      </c>
      <c r="D141" s="35" t="s">
        <v>43</v>
      </c>
      <c r="E141" s="35" t="s">
        <v>32</v>
      </c>
      <c r="F141" s="35" t="s">
        <v>40</v>
      </c>
      <c r="G141" s="35" t="s">
        <v>35</v>
      </c>
      <c r="H141" s="35">
        <f t="shared" si="6"/>
        <v>1</v>
      </c>
      <c r="I141" s="35"/>
      <c r="J141" s="35">
        <v>4</v>
      </c>
      <c r="K141" s="35">
        <f t="shared" si="7"/>
        <v>16</v>
      </c>
      <c r="L141" s="35" t="str">
        <f t="shared" si="8"/>
        <v>Morning</v>
      </c>
      <c r="M141" s="65"/>
      <c r="N141" s="65"/>
      <c r="O141" s="65"/>
      <c r="P141" s="66"/>
      <c r="Q141" s="35"/>
      <c r="R141" s="66"/>
      <c r="S141" s="73"/>
      <c r="T141" s="78"/>
    </row>
    <row r="142" spans="1:20">
      <c r="A142" s="55">
        <v>45294.9452662037</v>
      </c>
      <c r="B142" s="56">
        <v>45294.9468865741</v>
      </c>
      <c r="C142" s="35">
        <v>263</v>
      </c>
      <c r="D142" s="35" t="s">
        <v>42</v>
      </c>
      <c r="E142" s="35" t="s">
        <v>32</v>
      </c>
      <c r="F142" s="35" t="s">
        <v>34</v>
      </c>
      <c r="G142" s="35" t="s">
        <v>35</v>
      </c>
      <c r="H142" s="35">
        <f t="shared" si="6"/>
        <v>1</v>
      </c>
      <c r="I142" s="35"/>
      <c r="J142" s="35">
        <v>3</v>
      </c>
      <c r="K142" s="35">
        <f t="shared" si="7"/>
        <v>22</v>
      </c>
      <c r="L142" s="35" t="str">
        <f t="shared" si="8"/>
        <v>Evening</v>
      </c>
      <c r="M142" s="65"/>
      <c r="N142" s="65"/>
      <c r="O142" s="65"/>
      <c r="P142" s="66"/>
      <c r="Q142" s="35"/>
      <c r="R142" s="66"/>
      <c r="S142" s="73"/>
      <c r="T142" s="78"/>
    </row>
    <row r="143" spans="1:20">
      <c r="A143" s="55">
        <v>45303.6419675926</v>
      </c>
      <c r="B143" s="56">
        <v>45303.6610185185</v>
      </c>
      <c r="C143" s="35">
        <v>356</v>
      </c>
      <c r="D143" s="35" t="s">
        <v>39</v>
      </c>
      <c r="E143" s="35" t="s">
        <v>33</v>
      </c>
      <c r="F143" s="35" t="s">
        <v>34</v>
      </c>
      <c r="G143" s="35" t="s">
        <v>35</v>
      </c>
      <c r="H143" s="35">
        <f t="shared" si="6"/>
        <v>1</v>
      </c>
      <c r="I143" s="35"/>
      <c r="J143" s="35">
        <v>3</v>
      </c>
      <c r="K143" s="35">
        <f t="shared" si="7"/>
        <v>15</v>
      </c>
      <c r="L143" s="35" t="str">
        <f t="shared" si="8"/>
        <v>Morning</v>
      </c>
      <c r="M143" s="65"/>
      <c r="N143" s="65"/>
      <c r="O143" s="65"/>
      <c r="P143" s="66"/>
      <c r="Q143" s="35"/>
      <c r="R143" s="66"/>
      <c r="S143" s="73"/>
      <c r="T143" s="78"/>
    </row>
    <row r="144" spans="1:20">
      <c r="A144" s="55">
        <v>45295.7626851852</v>
      </c>
      <c r="B144" s="56">
        <v>45295.7805324074</v>
      </c>
      <c r="C144" s="35">
        <v>163</v>
      </c>
      <c r="D144" s="35" t="s">
        <v>37</v>
      </c>
      <c r="E144" s="35" t="s">
        <v>33</v>
      </c>
      <c r="F144" s="35" t="s">
        <v>34</v>
      </c>
      <c r="G144" s="35" t="s">
        <v>35</v>
      </c>
      <c r="H144" s="35">
        <f t="shared" si="6"/>
        <v>1</v>
      </c>
      <c r="I144" s="35"/>
      <c r="J144" s="35">
        <v>4</v>
      </c>
      <c r="K144" s="35">
        <f t="shared" si="7"/>
        <v>18</v>
      </c>
      <c r="L144" s="35" t="str">
        <f t="shared" si="8"/>
        <v>Morning</v>
      </c>
      <c r="M144" s="65"/>
      <c r="N144" s="65"/>
      <c r="O144" s="65"/>
      <c r="P144" s="66"/>
      <c r="Q144" s="35"/>
      <c r="R144" s="66"/>
      <c r="S144" s="73"/>
      <c r="T144" s="78"/>
    </row>
    <row r="145" spans="1:20">
      <c r="A145" s="55">
        <v>45312.7559953704</v>
      </c>
      <c r="B145" s="56">
        <v>45312.7734837963</v>
      </c>
      <c r="C145" s="35">
        <v>96</v>
      </c>
      <c r="D145" s="35" t="s">
        <v>37</v>
      </c>
      <c r="E145" s="35" t="s">
        <v>32</v>
      </c>
      <c r="F145" s="35" t="s">
        <v>34</v>
      </c>
      <c r="G145" s="35" t="s">
        <v>35</v>
      </c>
      <c r="H145" s="35">
        <f t="shared" si="6"/>
        <v>1</v>
      </c>
      <c r="I145" s="35"/>
      <c r="J145" s="35">
        <v>3</v>
      </c>
      <c r="K145" s="35">
        <f t="shared" si="7"/>
        <v>18</v>
      </c>
      <c r="L145" s="35" t="str">
        <f t="shared" si="8"/>
        <v>Morning</v>
      </c>
      <c r="M145" s="65"/>
      <c r="N145" s="65"/>
      <c r="O145" s="65"/>
      <c r="P145" s="66"/>
      <c r="Q145" s="35"/>
      <c r="R145" s="66"/>
      <c r="S145" s="73"/>
      <c r="T145" s="78"/>
    </row>
    <row r="146" spans="1:20">
      <c r="A146" s="55">
        <v>45314.9206134259</v>
      </c>
      <c r="B146" s="56">
        <v>45314.9371990741</v>
      </c>
      <c r="C146" s="35">
        <v>443</v>
      </c>
      <c r="D146" s="35" t="s">
        <v>39</v>
      </c>
      <c r="E146" s="35" t="s">
        <v>41</v>
      </c>
      <c r="F146" s="35" t="s">
        <v>40</v>
      </c>
      <c r="G146" s="35" t="s">
        <v>35</v>
      </c>
      <c r="H146" s="35">
        <f t="shared" si="6"/>
        <v>1</v>
      </c>
      <c r="I146" s="35"/>
      <c r="J146" s="35">
        <v>3</v>
      </c>
      <c r="K146" s="35">
        <f t="shared" si="7"/>
        <v>22</v>
      </c>
      <c r="L146" s="35" t="str">
        <f t="shared" si="8"/>
        <v>Evening</v>
      </c>
      <c r="M146" s="65"/>
      <c r="N146" s="65"/>
      <c r="O146" s="65"/>
      <c r="P146" s="66"/>
      <c r="Q146" s="35"/>
      <c r="R146" s="66"/>
      <c r="S146" s="73"/>
      <c r="T146" s="78"/>
    </row>
    <row r="147" spans="1:20">
      <c r="A147" s="55">
        <v>45302.8834953704</v>
      </c>
      <c r="B147" s="56">
        <v>45302.8874421296</v>
      </c>
      <c r="C147" s="35">
        <v>168</v>
      </c>
      <c r="D147" s="35" t="s">
        <v>43</v>
      </c>
      <c r="E147" s="35" t="s">
        <v>41</v>
      </c>
      <c r="F147" s="35" t="s">
        <v>40</v>
      </c>
      <c r="G147" s="35" t="s">
        <v>35</v>
      </c>
      <c r="H147" s="35">
        <f t="shared" si="6"/>
        <v>1</v>
      </c>
      <c r="I147" s="35"/>
      <c r="J147" s="35">
        <v>5</v>
      </c>
      <c r="K147" s="35">
        <f t="shared" si="7"/>
        <v>21</v>
      </c>
      <c r="L147" s="35" t="str">
        <f t="shared" si="8"/>
        <v>Evening</v>
      </c>
      <c r="M147" s="65"/>
      <c r="N147" s="65"/>
      <c r="O147" s="65"/>
      <c r="P147" s="66"/>
      <c r="Q147" s="35"/>
      <c r="R147" s="66"/>
      <c r="S147" s="73"/>
      <c r="T147" s="78"/>
    </row>
    <row r="148" spans="1:20">
      <c r="A148" s="55">
        <v>45315.9185416667</v>
      </c>
      <c r="B148" s="56">
        <v>45315.9272106482</v>
      </c>
      <c r="C148" s="35">
        <v>144</v>
      </c>
      <c r="D148" s="35" t="s">
        <v>39</v>
      </c>
      <c r="E148" s="35" t="s">
        <v>32</v>
      </c>
      <c r="F148" s="35" t="s">
        <v>40</v>
      </c>
      <c r="G148" s="35" t="s">
        <v>36</v>
      </c>
      <c r="H148" s="35">
        <f t="shared" si="6"/>
        <v>0</v>
      </c>
      <c r="I148" s="35"/>
      <c r="J148" s="35">
        <v>3</v>
      </c>
      <c r="K148" s="35">
        <f t="shared" si="7"/>
        <v>22</v>
      </c>
      <c r="L148" s="35" t="str">
        <f t="shared" si="8"/>
        <v>Evening</v>
      </c>
      <c r="M148" s="65"/>
      <c r="N148" s="65"/>
      <c r="O148" s="65"/>
      <c r="P148" s="66"/>
      <c r="Q148" s="35"/>
      <c r="R148" s="66"/>
      <c r="S148" s="73"/>
      <c r="T148" s="78"/>
    </row>
    <row r="149" spans="1:20">
      <c r="A149" s="55">
        <v>45297.8350231481</v>
      </c>
      <c r="B149" s="56">
        <v>45297.8443518519</v>
      </c>
      <c r="C149" s="35">
        <v>253</v>
      </c>
      <c r="D149" s="35" t="s">
        <v>42</v>
      </c>
      <c r="E149" s="35" t="s">
        <v>41</v>
      </c>
      <c r="F149" s="35" t="s">
        <v>34</v>
      </c>
      <c r="G149" s="35" t="s">
        <v>35</v>
      </c>
      <c r="H149" s="35">
        <f t="shared" si="6"/>
        <v>1</v>
      </c>
      <c r="I149" s="35"/>
      <c r="J149" s="35">
        <v>3</v>
      </c>
      <c r="K149" s="35">
        <f t="shared" si="7"/>
        <v>20</v>
      </c>
      <c r="L149" s="35" t="str">
        <f t="shared" si="8"/>
        <v>Evening</v>
      </c>
      <c r="M149" s="65"/>
      <c r="N149" s="65"/>
      <c r="O149" s="65"/>
      <c r="P149" s="66"/>
      <c r="Q149" s="35"/>
      <c r="R149" s="66"/>
      <c r="S149" s="73"/>
      <c r="T149" s="78"/>
    </row>
    <row r="150" spans="1:20">
      <c r="A150" s="55">
        <v>45299.6609953704</v>
      </c>
      <c r="B150" s="56">
        <v>45299.6728009259</v>
      </c>
      <c r="C150" s="35">
        <v>208</v>
      </c>
      <c r="D150" s="35" t="s">
        <v>37</v>
      </c>
      <c r="E150" s="35" t="s">
        <v>32</v>
      </c>
      <c r="F150" s="35" t="s">
        <v>38</v>
      </c>
      <c r="G150" s="35" t="s">
        <v>35</v>
      </c>
      <c r="H150" s="35">
        <f t="shared" si="6"/>
        <v>1</v>
      </c>
      <c r="I150" s="35"/>
      <c r="J150" s="35">
        <v>4</v>
      </c>
      <c r="K150" s="35">
        <f t="shared" si="7"/>
        <v>15</v>
      </c>
      <c r="L150" s="35" t="str">
        <f t="shared" si="8"/>
        <v>Morning</v>
      </c>
      <c r="M150" s="65"/>
      <c r="N150" s="65"/>
      <c r="O150" s="65"/>
      <c r="P150" s="66"/>
      <c r="Q150" s="35"/>
      <c r="R150" s="66"/>
      <c r="S150" s="73"/>
      <c r="T150" s="78"/>
    </row>
    <row r="151" spans="1:20">
      <c r="A151" s="55">
        <v>45308.799212963</v>
      </c>
      <c r="B151" s="56">
        <v>45308.8046296296</v>
      </c>
      <c r="C151" s="35">
        <v>151</v>
      </c>
      <c r="D151" s="35" t="s">
        <v>37</v>
      </c>
      <c r="E151" s="35" t="s">
        <v>33</v>
      </c>
      <c r="F151" s="35" t="s">
        <v>34</v>
      </c>
      <c r="G151" s="35" t="s">
        <v>35</v>
      </c>
      <c r="H151" s="35">
        <f t="shared" si="6"/>
        <v>1</v>
      </c>
      <c r="I151" s="35"/>
      <c r="J151" s="35">
        <v>4</v>
      </c>
      <c r="K151" s="35">
        <f t="shared" si="7"/>
        <v>19</v>
      </c>
      <c r="L151" s="35" t="str">
        <f t="shared" si="8"/>
        <v>Evening</v>
      </c>
      <c r="M151" s="65"/>
      <c r="N151" s="65"/>
      <c r="O151" s="65"/>
      <c r="P151" s="66"/>
      <c r="Q151" s="35"/>
      <c r="R151" s="66"/>
      <c r="S151" s="73"/>
      <c r="T151" s="78"/>
    </row>
    <row r="152" spans="1:20">
      <c r="A152" s="55">
        <v>45295.9542476852</v>
      </c>
      <c r="B152" s="56">
        <v>45295.9616898148</v>
      </c>
      <c r="C152" s="35">
        <v>95</v>
      </c>
      <c r="D152" s="35" t="s">
        <v>32</v>
      </c>
      <c r="E152" s="35" t="s">
        <v>41</v>
      </c>
      <c r="F152" s="35" t="s">
        <v>38</v>
      </c>
      <c r="G152" s="35" t="s">
        <v>35</v>
      </c>
      <c r="H152" s="35">
        <f t="shared" si="6"/>
        <v>1</v>
      </c>
      <c r="I152" s="35"/>
      <c r="J152" s="35">
        <v>3</v>
      </c>
      <c r="K152" s="35">
        <f t="shared" si="7"/>
        <v>22</v>
      </c>
      <c r="L152" s="35" t="str">
        <f t="shared" si="8"/>
        <v>Evening</v>
      </c>
      <c r="M152" s="65"/>
      <c r="N152" s="65"/>
      <c r="O152" s="65"/>
      <c r="P152" s="66"/>
      <c r="Q152" s="35"/>
      <c r="R152" s="66"/>
      <c r="S152" s="73"/>
      <c r="T152" s="78"/>
    </row>
    <row r="153" spans="1:20">
      <c r="A153" s="55">
        <v>45305.3737731481</v>
      </c>
      <c r="B153" s="56">
        <v>45305.3938194444</v>
      </c>
      <c r="C153" s="35">
        <v>471</v>
      </c>
      <c r="D153" s="35" t="s">
        <v>37</v>
      </c>
      <c r="E153" s="35" t="s">
        <v>33</v>
      </c>
      <c r="F153" s="35" t="s">
        <v>38</v>
      </c>
      <c r="G153" s="35" t="s">
        <v>36</v>
      </c>
      <c r="H153" s="35">
        <f t="shared" si="6"/>
        <v>0</v>
      </c>
      <c r="I153" s="35"/>
      <c r="J153" s="35">
        <v>3</v>
      </c>
      <c r="K153" s="35">
        <f t="shared" si="7"/>
        <v>8</v>
      </c>
      <c r="L153" s="35" t="str">
        <f t="shared" si="8"/>
        <v>Morning</v>
      </c>
      <c r="M153" s="65"/>
      <c r="N153" s="65"/>
      <c r="O153" s="65"/>
      <c r="P153" s="66"/>
      <c r="Q153" s="35"/>
      <c r="R153" s="66"/>
      <c r="S153" s="73"/>
      <c r="T153" s="78"/>
    </row>
    <row r="154" spans="1:20">
      <c r="A154" s="55">
        <v>45294.7180671296</v>
      </c>
      <c r="B154" s="56">
        <v>45294.7263078704</v>
      </c>
      <c r="C154" s="35">
        <v>111</v>
      </c>
      <c r="D154" s="35" t="s">
        <v>37</v>
      </c>
      <c r="E154" s="35" t="s">
        <v>39</v>
      </c>
      <c r="F154" s="35" t="s">
        <v>40</v>
      </c>
      <c r="G154" s="35" t="s">
        <v>36</v>
      </c>
      <c r="H154" s="35">
        <f t="shared" si="6"/>
        <v>0</v>
      </c>
      <c r="I154" s="35"/>
      <c r="J154" s="35">
        <v>2</v>
      </c>
      <c r="K154" s="35">
        <f t="shared" si="7"/>
        <v>17</v>
      </c>
      <c r="L154" s="35" t="str">
        <f t="shared" si="8"/>
        <v>Morning</v>
      </c>
      <c r="M154" s="65"/>
      <c r="N154" s="65"/>
      <c r="O154" s="65"/>
      <c r="P154" s="66"/>
      <c r="Q154" s="35"/>
      <c r="R154" s="66"/>
      <c r="S154" s="73"/>
      <c r="T154" s="78"/>
    </row>
    <row r="155" spans="1:20">
      <c r="A155" s="55">
        <v>45316.8948958333</v>
      </c>
      <c r="B155" s="56">
        <v>45316.8957060185</v>
      </c>
      <c r="C155" s="35">
        <v>91</v>
      </c>
      <c r="D155" s="35" t="s">
        <v>43</v>
      </c>
      <c r="E155" s="35" t="s">
        <v>41</v>
      </c>
      <c r="F155" s="35" t="s">
        <v>40</v>
      </c>
      <c r="G155" s="35" t="s">
        <v>35</v>
      </c>
      <c r="H155" s="35">
        <f t="shared" si="6"/>
        <v>1</v>
      </c>
      <c r="I155" s="35"/>
      <c r="J155" s="35">
        <v>5</v>
      </c>
      <c r="K155" s="35">
        <f t="shared" si="7"/>
        <v>21</v>
      </c>
      <c r="L155" s="35" t="str">
        <f t="shared" si="8"/>
        <v>Evening</v>
      </c>
      <c r="M155" s="65"/>
      <c r="N155" s="65"/>
      <c r="O155" s="65"/>
      <c r="P155" s="66"/>
      <c r="Q155" s="35"/>
      <c r="R155" s="66"/>
      <c r="S155" s="73"/>
      <c r="T155" s="78"/>
    </row>
    <row r="156" spans="1:20">
      <c r="A156" s="55">
        <v>45311.9354976852</v>
      </c>
      <c r="B156" s="56">
        <v>45311.9545833333</v>
      </c>
      <c r="C156" s="35">
        <v>305</v>
      </c>
      <c r="D156" s="35" t="s">
        <v>32</v>
      </c>
      <c r="E156" s="35" t="s">
        <v>41</v>
      </c>
      <c r="F156" s="35" t="s">
        <v>40</v>
      </c>
      <c r="G156" s="35" t="s">
        <v>36</v>
      </c>
      <c r="H156" s="35">
        <f t="shared" si="6"/>
        <v>0</v>
      </c>
      <c r="I156" s="35"/>
      <c r="J156" s="35">
        <v>2</v>
      </c>
      <c r="K156" s="35">
        <f t="shared" si="7"/>
        <v>22</v>
      </c>
      <c r="L156" s="35" t="str">
        <f t="shared" si="8"/>
        <v>Evening</v>
      </c>
      <c r="M156" s="65"/>
      <c r="N156" s="65"/>
      <c r="O156" s="65"/>
      <c r="P156" s="66"/>
      <c r="Q156" s="35"/>
      <c r="R156" s="66"/>
      <c r="S156" s="73"/>
      <c r="T156" s="78"/>
    </row>
    <row r="157" spans="1:20">
      <c r="A157" s="55">
        <v>45306.3388078704</v>
      </c>
      <c r="B157" s="56">
        <v>45306.3513425926</v>
      </c>
      <c r="C157" s="35">
        <v>558</v>
      </c>
      <c r="D157" s="35" t="s">
        <v>43</v>
      </c>
      <c r="E157" s="35" t="s">
        <v>39</v>
      </c>
      <c r="F157" s="35" t="s">
        <v>34</v>
      </c>
      <c r="G157" s="35" t="s">
        <v>36</v>
      </c>
      <c r="H157" s="35">
        <f t="shared" si="6"/>
        <v>0</v>
      </c>
      <c r="I157" s="35"/>
      <c r="J157" s="35">
        <v>2</v>
      </c>
      <c r="K157" s="35">
        <f t="shared" si="7"/>
        <v>8</v>
      </c>
      <c r="L157" s="35" t="str">
        <f t="shared" si="8"/>
        <v>Morning</v>
      </c>
      <c r="M157" s="65"/>
      <c r="N157" s="65"/>
      <c r="O157" s="65"/>
      <c r="P157" s="66"/>
      <c r="Q157" s="35"/>
      <c r="R157" s="66"/>
      <c r="S157" s="73"/>
      <c r="T157" s="78"/>
    </row>
    <row r="158" spans="1:20">
      <c r="A158" s="55">
        <v>45299.7997916667</v>
      </c>
      <c r="B158" s="56">
        <v>45299.8163194444</v>
      </c>
      <c r="C158" s="35">
        <v>97</v>
      </c>
      <c r="D158" s="35" t="s">
        <v>39</v>
      </c>
      <c r="E158" s="35" t="s">
        <v>41</v>
      </c>
      <c r="F158" s="35" t="s">
        <v>40</v>
      </c>
      <c r="G158" s="35" t="s">
        <v>35</v>
      </c>
      <c r="H158" s="35">
        <f t="shared" si="6"/>
        <v>1</v>
      </c>
      <c r="I158" s="35"/>
      <c r="J158" s="35">
        <v>5</v>
      </c>
      <c r="K158" s="35">
        <f t="shared" si="7"/>
        <v>19</v>
      </c>
      <c r="L158" s="35" t="str">
        <f t="shared" si="8"/>
        <v>Evening</v>
      </c>
      <c r="M158" s="65"/>
      <c r="N158" s="65"/>
      <c r="O158" s="65"/>
      <c r="P158" s="66"/>
      <c r="Q158" s="35"/>
      <c r="R158" s="66"/>
      <c r="S158" s="73"/>
      <c r="T158" s="78"/>
    </row>
    <row r="159" spans="1:20">
      <c r="A159" s="55">
        <v>45317.9409837963</v>
      </c>
      <c r="B159" s="56">
        <v>45317.9509259259</v>
      </c>
      <c r="C159" s="35">
        <v>491</v>
      </c>
      <c r="D159" s="35" t="s">
        <v>43</v>
      </c>
      <c r="E159" s="35" t="s">
        <v>32</v>
      </c>
      <c r="F159" s="35" t="s">
        <v>38</v>
      </c>
      <c r="G159" s="35" t="s">
        <v>35</v>
      </c>
      <c r="H159" s="35">
        <f t="shared" si="6"/>
        <v>1</v>
      </c>
      <c r="I159" s="35"/>
      <c r="J159" s="35">
        <v>3</v>
      </c>
      <c r="K159" s="35">
        <f t="shared" si="7"/>
        <v>22</v>
      </c>
      <c r="L159" s="35" t="str">
        <f t="shared" si="8"/>
        <v>Evening</v>
      </c>
      <c r="M159" s="65"/>
      <c r="N159" s="65"/>
      <c r="O159" s="65"/>
      <c r="P159" s="66"/>
      <c r="Q159" s="35"/>
      <c r="R159" s="66"/>
      <c r="S159" s="73"/>
      <c r="T159" s="78"/>
    </row>
    <row r="160" spans="1:20">
      <c r="A160" s="55">
        <v>45317.3487847222</v>
      </c>
      <c r="B160" s="56">
        <v>45317.3668518519</v>
      </c>
      <c r="C160" s="35">
        <v>116</v>
      </c>
      <c r="D160" s="35" t="s">
        <v>39</v>
      </c>
      <c r="E160" s="35" t="s">
        <v>41</v>
      </c>
      <c r="F160" s="35" t="s">
        <v>40</v>
      </c>
      <c r="G160" s="35" t="s">
        <v>36</v>
      </c>
      <c r="H160" s="35">
        <f t="shared" si="6"/>
        <v>0</v>
      </c>
      <c r="I160" s="35"/>
      <c r="J160" s="35">
        <v>3</v>
      </c>
      <c r="K160" s="35">
        <f t="shared" si="7"/>
        <v>8</v>
      </c>
      <c r="L160" s="35" t="str">
        <f t="shared" si="8"/>
        <v>Morning</v>
      </c>
      <c r="M160" s="65"/>
      <c r="N160" s="65"/>
      <c r="O160" s="65"/>
      <c r="P160" s="66"/>
      <c r="Q160" s="35"/>
      <c r="R160" s="66"/>
      <c r="S160" s="73"/>
      <c r="T160" s="78"/>
    </row>
    <row r="161" spans="1:20">
      <c r="A161" s="55">
        <v>45297.8642361111</v>
      </c>
      <c r="B161" s="56">
        <v>45297.8798958333</v>
      </c>
      <c r="C161" s="35">
        <v>196</v>
      </c>
      <c r="D161" s="35" t="s">
        <v>32</v>
      </c>
      <c r="E161" s="35" t="s">
        <v>33</v>
      </c>
      <c r="F161" s="35" t="s">
        <v>34</v>
      </c>
      <c r="G161" s="35" t="s">
        <v>35</v>
      </c>
      <c r="H161" s="35">
        <f t="shared" si="6"/>
        <v>1</v>
      </c>
      <c r="I161" s="35"/>
      <c r="J161" s="35">
        <v>4</v>
      </c>
      <c r="K161" s="35">
        <f t="shared" si="7"/>
        <v>20</v>
      </c>
      <c r="L161" s="35" t="str">
        <f t="shared" si="8"/>
        <v>Evening</v>
      </c>
      <c r="M161" s="65"/>
      <c r="N161" s="65"/>
      <c r="O161" s="65"/>
      <c r="P161" s="66"/>
      <c r="Q161" s="35"/>
      <c r="R161" s="66"/>
      <c r="S161" s="73"/>
      <c r="T161" s="78"/>
    </row>
    <row r="162" spans="1:20">
      <c r="A162" s="55">
        <v>45301.5019675926</v>
      </c>
      <c r="B162" s="56">
        <v>45301.5073842593</v>
      </c>
      <c r="C162" s="35">
        <v>52</v>
      </c>
      <c r="D162" s="35" t="s">
        <v>37</v>
      </c>
      <c r="E162" s="35" t="s">
        <v>41</v>
      </c>
      <c r="F162" s="35" t="s">
        <v>34</v>
      </c>
      <c r="G162" s="35" t="s">
        <v>35</v>
      </c>
      <c r="H162" s="35">
        <f t="shared" si="6"/>
        <v>1</v>
      </c>
      <c r="I162" s="35"/>
      <c r="J162" s="35">
        <v>5</v>
      </c>
      <c r="K162" s="35">
        <f t="shared" si="7"/>
        <v>12</v>
      </c>
      <c r="L162" s="35" t="str">
        <f t="shared" si="8"/>
        <v>Morning</v>
      </c>
      <c r="M162" s="65"/>
      <c r="N162" s="65"/>
      <c r="O162" s="65"/>
      <c r="P162" s="66"/>
      <c r="Q162" s="35"/>
      <c r="R162" s="66"/>
      <c r="S162" s="73"/>
      <c r="T162" s="78"/>
    </row>
    <row r="163" spans="1:20">
      <c r="A163" s="55">
        <v>45300.325474537</v>
      </c>
      <c r="B163" s="56">
        <v>45300.3306944444</v>
      </c>
      <c r="C163" s="35">
        <v>302</v>
      </c>
      <c r="D163" s="35" t="s">
        <v>37</v>
      </c>
      <c r="E163" s="35" t="s">
        <v>33</v>
      </c>
      <c r="F163" s="35" t="s">
        <v>34</v>
      </c>
      <c r="G163" s="35" t="s">
        <v>35</v>
      </c>
      <c r="H163" s="35">
        <f t="shared" si="6"/>
        <v>1</v>
      </c>
      <c r="I163" s="35"/>
      <c r="J163" s="35">
        <v>3</v>
      </c>
      <c r="K163" s="35">
        <f t="shared" si="7"/>
        <v>7</v>
      </c>
      <c r="L163" s="35" t="str">
        <f t="shared" si="8"/>
        <v>Morning</v>
      </c>
      <c r="M163" s="65"/>
      <c r="N163" s="65"/>
      <c r="O163" s="65"/>
      <c r="P163" s="66"/>
      <c r="Q163" s="35"/>
      <c r="R163" s="66"/>
      <c r="S163" s="73"/>
      <c r="T163" s="78"/>
    </row>
    <row r="164" spans="1:20">
      <c r="A164" s="55">
        <v>45303.8308449074</v>
      </c>
      <c r="B164" s="56">
        <v>45303.8491550926</v>
      </c>
      <c r="C164" s="35">
        <v>460</v>
      </c>
      <c r="D164" s="35" t="s">
        <v>42</v>
      </c>
      <c r="E164" s="35" t="s">
        <v>41</v>
      </c>
      <c r="F164" s="35" t="s">
        <v>40</v>
      </c>
      <c r="G164" s="35" t="s">
        <v>35</v>
      </c>
      <c r="H164" s="35">
        <f t="shared" si="6"/>
        <v>1</v>
      </c>
      <c r="I164" s="35"/>
      <c r="J164" s="35">
        <v>4</v>
      </c>
      <c r="K164" s="35">
        <f t="shared" si="7"/>
        <v>19</v>
      </c>
      <c r="L164" s="35" t="str">
        <f t="shared" si="8"/>
        <v>Evening</v>
      </c>
      <c r="M164" s="65"/>
      <c r="N164" s="65"/>
      <c r="O164" s="65"/>
      <c r="P164" s="66"/>
      <c r="Q164" s="35"/>
      <c r="R164" s="66"/>
      <c r="S164" s="73"/>
      <c r="T164" s="78"/>
    </row>
    <row r="165" spans="1:20">
      <c r="A165" s="55">
        <v>45317.9290625</v>
      </c>
      <c r="B165" s="56">
        <v>45317.931712963</v>
      </c>
      <c r="C165" s="35">
        <v>444</v>
      </c>
      <c r="D165" s="35" t="s">
        <v>43</v>
      </c>
      <c r="E165" s="35" t="s">
        <v>32</v>
      </c>
      <c r="F165" s="35" t="s">
        <v>34</v>
      </c>
      <c r="G165" s="35" t="s">
        <v>35</v>
      </c>
      <c r="H165" s="35">
        <f t="shared" si="6"/>
        <v>1</v>
      </c>
      <c r="I165" s="35"/>
      <c r="J165" s="35">
        <v>3</v>
      </c>
      <c r="K165" s="35">
        <f t="shared" si="7"/>
        <v>22</v>
      </c>
      <c r="L165" s="35" t="str">
        <f t="shared" si="8"/>
        <v>Evening</v>
      </c>
      <c r="M165" s="65"/>
      <c r="N165" s="65"/>
      <c r="O165" s="65"/>
      <c r="P165" s="66"/>
      <c r="Q165" s="35"/>
      <c r="R165" s="66"/>
      <c r="S165" s="73"/>
      <c r="T165" s="78"/>
    </row>
    <row r="166" spans="1:20">
      <c r="A166" s="55">
        <v>45301.6708912037</v>
      </c>
      <c r="B166" s="56">
        <v>45301.6793518519</v>
      </c>
      <c r="C166" s="35">
        <v>312</v>
      </c>
      <c r="D166" s="35" t="s">
        <v>37</v>
      </c>
      <c r="E166" s="35" t="s">
        <v>32</v>
      </c>
      <c r="F166" s="35" t="s">
        <v>34</v>
      </c>
      <c r="G166" s="35" t="s">
        <v>35</v>
      </c>
      <c r="H166" s="35">
        <f t="shared" si="6"/>
        <v>1</v>
      </c>
      <c r="I166" s="35"/>
      <c r="J166" s="35">
        <v>3</v>
      </c>
      <c r="K166" s="35">
        <f t="shared" si="7"/>
        <v>16</v>
      </c>
      <c r="L166" s="35" t="str">
        <f t="shared" si="8"/>
        <v>Morning</v>
      </c>
      <c r="M166" s="65"/>
      <c r="N166" s="65"/>
      <c r="O166" s="65"/>
      <c r="P166" s="66"/>
      <c r="Q166" s="35"/>
      <c r="R166" s="66"/>
      <c r="S166" s="73"/>
      <c r="T166" s="78"/>
    </row>
    <row r="167" spans="1:20">
      <c r="A167" s="55">
        <v>45306.7278009259</v>
      </c>
      <c r="B167" s="56">
        <v>45306.7457175926</v>
      </c>
      <c r="C167" s="35">
        <v>371</v>
      </c>
      <c r="D167" s="35" t="s">
        <v>39</v>
      </c>
      <c r="E167" s="35" t="s">
        <v>32</v>
      </c>
      <c r="F167" s="35" t="s">
        <v>38</v>
      </c>
      <c r="G167" s="35" t="s">
        <v>35</v>
      </c>
      <c r="H167" s="35">
        <f t="shared" si="6"/>
        <v>1</v>
      </c>
      <c r="I167" s="35"/>
      <c r="J167" s="35">
        <v>3</v>
      </c>
      <c r="K167" s="35">
        <f t="shared" si="7"/>
        <v>17</v>
      </c>
      <c r="L167" s="35" t="str">
        <f t="shared" si="8"/>
        <v>Morning</v>
      </c>
      <c r="M167" s="65"/>
      <c r="N167" s="65"/>
      <c r="O167" s="65"/>
      <c r="P167" s="66"/>
      <c r="Q167" s="35"/>
      <c r="R167" s="66"/>
      <c r="S167" s="73"/>
      <c r="T167" s="78"/>
    </row>
    <row r="168" spans="1:20">
      <c r="A168" s="55">
        <v>45313.7663425926</v>
      </c>
      <c r="B168" s="56">
        <v>45313.7860185185</v>
      </c>
      <c r="C168" s="35">
        <v>173</v>
      </c>
      <c r="D168" s="35" t="s">
        <v>43</v>
      </c>
      <c r="E168" s="35" t="s">
        <v>39</v>
      </c>
      <c r="F168" s="35" t="s">
        <v>34</v>
      </c>
      <c r="G168" s="35" t="s">
        <v>35</v>
      </c>
      <c r="H168" s="35">
        <f t="shared" si="6"/>
        <v>1</v>
      </c>
      <c r="I168" s="35"/>
      <c r="J168" s="35">
        <v>4</v>
      </c>
      <c r="K168" s="35">
        <f t="shared" si="7"/>
        <v>18</v>
      </c>
      <c r="L168" s="35" t="str">
        <f t="shared" si="8"/>
        <v>Morning</v>
      </c>
      <c r="M168" s="65"/>
      <c r="N168" s="65"/>
      <c r="O168" s="65"/>
      <c r="P168" s="66"/>
      <c r="Q168" s="35"/>
      <c r="R168" s="66"/>
      <c r="S168" s="73"/>
      <c r="T168" s="78"/>
    </row>
    <row r="169" spans="1:20">
      <c r="A169" s="55">
        <v>45296.3443171296</v>
      </c>
      <c r="B169" s="56">
        <v>45296.3603009259</v>
      </c>
      <c r="C169" s="35">
        <v>385</v>
      </c>
      <c r="D169" s="35" t="s">
        <v>37</v>
      </c>
      <c r="E169" s="35" t="s">
        <v>32</v>
      </c>
      <c r="F169" s="35" t="s">
        <v>34</v>
      </c>
      <c r="G169" s="35" t="s">
        <v>36</v>
      </c>
      <c r="H169" s="35">
        <f t="shared" si="6"/>
        <v>0</v>
      </c>
      <c r="I169" s="35"/>
      <c r="J169" s="35">
        <v>1</v>
      </c>
      <c r="K169" s="35">
        <f t="shared" si="7"/>
        <v>8</v>
      </c>
      <c r="L169" s="35" t="str">
        <f t="shared" si="8"/>
        <v>Morning</v>
      </c>
      <c r="M169" s="65"/>
      <c r="N169" s="65"/>
      <c r="O169" s="65"/>
      <c r="P169" s="66"/>
      <c r="Q169" s="35"/>
      <c r="R169" s="66"/>
      <c r="S169" s="73"/>
      <c r="T169" s="78"/>
    </row>
    <row r="170" spans="1:20">
      <c r="A170" s="55">
        <v>45303.866712963</v>
      </c>
      <c r="B170" s="56">
        <v>45303.8810069444</v>
      </c>
      <c r="C170" s="35">
        <v>150</v>
      </c>
      <c r="D170" s="35" t="s">
        <v>39</v>
      </c>
      <c r="E170" s="35" t="s">
        <v>41</v>
      </c>
      <c r="F170" s="35" t="s">
        <v>38</v>
      </c>
      <c r="G170" s="35" t="s">
        <v>35</v>
      </c>
      <c r="H170" s="35">
        <f t="shared" si="6"/>
        <v>1</v>
      </c>
      <c r="I170" s="35"/>
      <c r="J170" s="35">
        <v>4</v>
      </c>
      <c r="K170" s="35">
        <f t="shared" si="7"/>
        <v>20</v>
      </c>
      <c r="L170" s="35" t="str">
        <f t="shared" si="8"/>
        <v>Evening</v>
      </c>
      <c r="M170" s="65"/>
      <c r="N170" s="65"/>
      <c r="O170" s="65"/>
      <c r="P170" s="66"/>
      <c r="Q170" s="35"/>
      <c r="R170" s="66"/>
      <c r="S170" s="73"/>
      <c r="T170" s="78"/>
    </row>
    <row r="171" spans="1:20">
      <c r="A171" s="55">
        <v>45295.2827662037</v>
      </c>
      <c r="B171" s="56">
        <v>45295.2952893519</v>
      </c>
      <c r="C171" s="35">
        <v>540</v>
      </c>
      <c r="D171" s="35" t="s">
        <v>42</v>
      </c>
      <c r="E171" s="35" t="s">
        <v>33</v>
      </c>
      <c r="F171" s="35" t="s">
        <v>38</v>
      </c>
      <c r="G171" s="35" t="s">
        <v>35</v>
      </c>
      <c r="H171" s="35">
        <f t="shared" si="6"/>
        <v>1</v>
      </c>
      <c r="I171" s="35"/>
      <c r="J171" s="35">
        <v>5</v>
      </c>
      <c r="K171" s="35">
        <f t="shared" si="7"/>
        <v>6</v>
      </c>
      <c r="L171" s="35" t="str">
        <f t="shared" si="8"/>
        <v>Morning</v>
      </c>
      <c r="M171" s="65"/>
      <c r="N171" s="65"/>
      <c r="O171" s="65"/>
      <c r="P171" s="66"/>
      <c r="Q171" s="35"/>
      <c r="R171" s="66"/>
      <c r="S171" s="73"/>
      <c r="T171" s="78"/>
    </row>
    <row r="172" spans="1:20">
      <c r="A172" s="55">
        <v>45298.6562268519</v>
      </c>
      <c r="B172" s="56">
        <v>45298.6685532407</v>
      </c>
      <c r="C172" s="35">
        <v>214</v>
      </c>
      <c r="D172" s="35" t="s">
        <v>43</v>
      </c>
      <c r="E172" s="35" t="s">
        <v>39</v>
      </c>
      <c r="F172" s="35" t="s">
        <v>40</v>
      </c>
      <c r="G172" s="35" t="s">
        <v>35</v>
      </c>
      <c r="H172" s="35">
        <f t="shared" si="6"/>
        <v>1</v>
      </c>
      <c r="I172" s="35"/>
      <c r="J172" s="35">
        <v>5</v>
      </c>
      <c r="K172" s="35">
        <f t="shared" si="7"/>
        <v>15</v>
      </c>
      <c r="L172" s="35" t="str">
        <f t="shared" si="8"/>
        <v>Morning</v>
      </c>
      <c r="M172" s="65"/>
      <c r="N172" s="65"/>
      <c r="O172" s="65"/>
      <c r="P172" s="66"/>
      <c r="Q172" s="35"/>
      <c r="R172" s="66"/>
      <c r="S172" s="73"/>
      <c r="T172" s="78"/>
    </row>
    <row r="173" spans="1:20">
      <c r="A173" s="55">
        <v>45294.696087963</v>
      </c>
      <c r="B173" s="56">
        <v>45294.713599537</v>
      </c>
      <c r="C173" s="35">
        <v>76</v>
      </c>
      <c r="D173" s="35" t="s">
        <v>39</v>
      </c>
      <c r="E173" s="35" t="s">
        <v>41</v>
      </c>
      <c r="F173" s="35" t="s">
        <v>38</v>
      </c>
      <c r="G173" s="35" t="s">
        <v>35</v>
      </c>
      <c r="H173" s="35">
        <f t="shared" si="6"/>
        <v>1</v>
      </c>
      <c r="I173" s="35"/>
      <c r="J173" s="35">
        <v>5</v>
      </c>
      <c r="K173" s="35">
        <f t="shared" si="7"/>
        <v>16</v>
      </c>
      <c r="L173" s="35" t="str">
        <f t="shared" si="8"/>
        <v>Morning</v>
      </c>
      <c r="M173" s="65"/>
      <c r="N173" s="65"/>
      <c r="O173" s="65"/>
      <c r="P173" s="66"/>
      <c r="Q173" s="35"/>
      <c r="R173" s="66"/>
      <c r="S173" s="73"/>
      <c r="T173" s="78"/>
    </row>
    <row r="174" spans="1:20">
      <c r="A174" s="55">
        <v>45314.4933217593</v>
      </c>
      <c r="B174" s="56">
        <v>45314.5060648148</v>
      </c>
      <c r="C174" s="35">
        <v>239</v>
      </c>
      <c r="D174" s="35" t="s">
        <v>43</v>
      </c>
      <c r="E174" s="35" t="s">
        <v>39</v>
      </c>
      <c r="F174" s="35" t="s">
        <v>40</v>
      </c>
      <c r="G174" s="35" t="s">
        <v>36</v>
      </c>
      <c r="H174" s="35">
        <f t="shared" si="6"/>
        <v>0</v>
      </c>
      <c r="I174" s="35"/>
      <c r="J174" s="35">
        <v>2</v>
      </c>
      <c r="K174" s="35">
        <f t="shared" si="7"/>
        <v>11</v>
      </c>
      <c r="L174" s="35" t="str">
        <f t="shared" si="8"/>
        <v>Morning</v>
      </c>
      <c r="M174" s="65"/>
      <c r="N174" s="65"/>
      <c r="O174" s="65"/>
      <c r="P174" s="66"/>
      <c r="Q174" s="35"/>
      <c r="R174" s="66"/>
      <c r="S174" s="73"/>
      <c r="T174" s="78"/>
    </row>
    <row r="175" spans="1:20">
      <c r="A175" s="55">
        <v>45310.7290625</v>
      </c>
      <c r="B175" s="56">
        <v>45310.7428240741</v>
      </c>
      <c r="C175" s="35">
        <v>142</v>
      </c>
      <c r="D175" s="35" t="s">
        <v>39</v>
      </c>
      <c r="E175" s="35" t="s">
        <v>33</v>
      </c>
      <c r="F175" s="35" t="s">
        <v>40</v>
      </c>
      <c r="G175" s="35" t="s">
        <v>35</v>
      </c>
      <c r="H175" s="35">
        <f t="shared" si="6"/>
        <v>1</v>
      </c>
      <c r="I175" s="35"/>
      <c r="J175" s="35">
        <v>5</v>
      </c>
      <c r="K175" s="35">
        <f t="shared" si="7"/>
        <v>17</v>
      </c>
      <c r="L175" s="35" t="str">
        <f t="shared" si="8"/>
        <v>Morning</v>
      </c>
      <c r="M175" s="65"/>
      <c r="N175" s="65"/>
      <c r="O175" s="65"/>
      <c r="P175" s="66"/>
      <c r="Q175" s="35"/>
      <c r="R175" s="66"/>
      <c r="S175" s="73"/>
      <c r="T175" s="78"/>
    </row>
    <row r="176" spans="1:20">
      <c r="A176" s="55">
        <v>45307.9352893519</v>
      </c>
      <c r="B176" s="56">
        <v>45307.9456828704</v>
      </c>
      <c r="C176" s="35">
        <v>598</v>
      </c>
      <c r="D176" s="35" t="s">
        <v>43</v>
      </c>
      <c r="E176" s="35" t="s">
        <v>39</v>
      </c>
      <c r="F176" s="35" t="s">
        <v>38</v>
      </c>
      <c r="G176" s="35" t="s">
        <v>35</v>
      </c>
      <c r="H176" s="35">
        <f t="shared" si="6"/>
        <v>1</v>
      </c>
      <c r="I176" s="35"/>
      <c r="J176" s="35">
        <v>4</v>
      </c>
      <c r="K176" s="35">
        <f t="shared" si="7"/>
        <v>22</v>
      </c>
      <c r="L176" s="35" t="str">
        <f t="shared" si="8"/>
        <v>Evening</v>
      </c>
      <c r="M176" s="65"/>
      <c r="N176" s="65"/>
      <c r="O176" s="65"/>
      <c r="P176" s="66"/>
      <c r="Q176" s="35"/>
      <c r="R176" s="66"/>
      <c r="S176" s="73"/>
      <c r="T176" s="78"/>
    </row>
    <row r="177" spans="1:20">
      <c r="A177" s="55">
        <v>45313.932037037</v>
      </c>
      <c r="B177" s="56">
        <v>45313.9523726852</v>
      </c>
      <c r="C177" s="35">
        <v>574</v>
      </c>
      <c r="D177" s="35" t="s">
        <v>39</v>
      </c>
      <c r="E177" s="35" t="s">
        <v>39</v>
      </c>
      <c r="F177" s="35" t="s">
        <v>40</v>
      </c>
      <c r="G177" s="35" t="s">
        <v>35</v>
      </c>
      <c r="H177" s="35">
        <f t="shared" si="6"/>
        <v>1</v>
      </c>
      <c r="I177" s="35"/>
      <c r="J177" s="35">
        <v>3</v>
      </c>
      <c r="K177" s="35">
        <f t="shared" si="7"/>
        <v>22</v>
      </c>
      <c r="L177" s="35" t="str">
        <f t="shared" si="8"/>
        <v>Evening</v>
      </c>
      <c r="M177" s="65"/>
      <c r="N177" s="65"/>
      <c r="O177" s="65"/>
      <c r="P177" s="66"/>
      <c r="Q177" s="35"/>
      <c r="R177" s="66"/>
      <c r="S177" s="73"/>
      <c r="T177" s="78"/>
    </row>
    <row r="178" spans="1:20">
      <c r="A178" s="55">
        <v>45295.9231365741</v>
      </c>
      <c r="B178" s="56">
        <v>45295.9277314815</v>
      </c>
      <c r="C178" s="35">
        <v>175</v>
      </c>
      <c r="D178" s="35" t="s">
        <v>37</v>
      </c>
      <c r="E178" s="35" t="s">
        <v>39</v>
      </c>
      <c r="F178" s="35" t="s">
        <v>38</v>
      </c>
      <c r="G178" s="35" t="s">
        <v>35</v>
      </c>
      <c r="H178" s="35">
        <f t="shared" si="6"/>
        <v>1</v>
      </c>
      <c r="I178" s="35"/>
      <c r="J178" s="35">
        <v>5</v>
      </c>
      <c r="K178" s="35">
        <f t="shared" si="7"/>
        <v>22</v>
      </c>
      <c r="L178" s="35" t="str">
        <f t="shared" si="8"/>
        <v>Evening</v>
      </c>
      <c r="M178" s="65"/>
      <c r="N178" s="65"/>
      <c r="O178" s="65"/>
      <c r="P178" s="66"/>
      <c r="Q178" s="35"/>
      <c r="R178" s="66"/>
      <c r="S178" s="73"/>
      <c r="T178" s="78"/>
    </row>
    <row r="179" spans="1:20">
      <c r="A179" s="55">
        <v>45301.3445833333</v>
      </c>
      <c r="B179" s="56">
        <v>45301.3603240741</v>
      </c>
      <c r="C179" s="35">
        <v>574</v>
      </c>
      <c r="D179" s="35" t="s">
        <v>37</v>
      </c>
      <c r="E179" s="35" t="s">
        <v>39</v>
      </c>
      <c r="F179" s="35" t="s">
        <v>34</v>
      </c>
      <c r="G179" s="35" t="s">
        <v>35</v>
      </c>
      <c r="H179" s="35">
        <f t="shared" si="6"/>
        <v>1</v>
      </c>
      <c r="I179" s="35"/>
      <c r="J179" s="35">
        <v>5</v>
      </c>
      <c r="K179" s="35">
        <f t="shared" si="7"/>
        <v>8</v>
      </c>
      <c r="L179" s="35" t="str">
        <f t="shared" si="8"/>
        <v>Morning</v>
      </c>
      <c r="M179" s="65"/>
      <c r="N179" s="65"/>
      <c r="O179" s="65"/>
      <c r="P179" s="66"/>
      <c r="Q179" s="35"/>
      <c r="R179" s="66"/>
      <c r="S179" s="73"/>
      <c r="T179" s="78"/>
    </row>
    <row r="180" spans="1:20">
      <c r="A180" s="55">
        <v>45308.4844560185</v>
      </c>
      <c r="B180" s="56">
        <v>45308.4887962963</v>
      </c>
      <c r="C180" s="35">
        <v>185</v>
      </c>
      <c r="D180" s="35" t="s">
        <v>39</v>
      </c>
      <c r="E180" s="35" t="s">
        <v>41</v>
      </c>
      <c r="F180" s="35" t="s">
        <v>34</v>
      </c>
      <c r="G180" s="35" t="s">
        <v>36</v>
      </c>
      <c r="H180" s="35">
        <f t="shared" si="6"/>
        <v>0</v>
      </c>
      <c r="I180" s="35"/>
      <c r="J180" s="35">
        <v>1</v>
      </c>
      <c r="K180" s="35">
        <f t="shared" si="7"/>
        <v>11</v>
      </c>
      <c r="L180" s="35" t="str">
        <f t="shared" si="8"/>
        <v>Morning</v>
      </c>
      <c r="M180" s="65"/>
      <c r="N180" s="65"/>
      <c r="O180" s="65"/>
      <c r="P180" s="66"/>
      <c r="Q180" s="35"/>
      <c r="R180" s="66"/>
      <c r="S180" s="73"/>
      <c r="T180" s="78"/>
    </row>
    <row r="181" spans="1:20">
      <c r="A181" s="55">
        <v>45316.6119560185</v>
      </c>
      <c r="B181" s="56">
        <v>45316.6308217593</v>
      </c>
      <c r="C181" s="35">
        <v>595</v>
      </c>
      <c r="D181" s="35" t="s">
        <v>42</v>
      </c>
      <c r="E181" s="35" t="s">
        <v>33</v>
      </c>
      <c r="F181" s="35" t="s">
        <v>38</v>
      </c>
      <c r="G181" s="35" t="s">
        <v>35</v>
      </c>
      <c r="H181" s="35">
        <f t="shared" si="6"/>
        <v>1</v>
      </c>
      <c r="I181" s="35"/>
      <c r="J181" s="35">
        <v>5</v>
      </c>
      <c r="K181" s="35">
        <f t="shared" si="7"/>
        <v>14</v>
      </c>
      <c r="L181" s="35" t="str">
        <f t="shared" si="8"/>
        <v>Morning</v>
      </c>
      <c r="M181" s="65"/>
      <c r="N181" s="65"/>
      <c r="O181" s="65"/>
      <c r="P181" s="66"/>
      <c r="Q181" s="35"/>
      <c r="R181" s="66"/>
      <c r="S181" s="73"/>
      <c r="T181" s="78"/>
    </row>
    <row r="182" spans="1:20">
      <c r="A182" s="55">
        <v>45312.6460069444</v>
      </c>
      <c r="B182" s="56">
        <v>45312.665775463</v>
      </c>
      <c r="C182" s="35">
        <v>425</v>
      </c>
      <c r="D182" s="35" t="s">
        <v>37</v>
      </c>
      <c r="E182" s="35" t="s">
        <v>32</v>
      </c>
      <c r="F182" s="35" t="s">
        <v>40</v>
      </c>
      <c r="G182" s="35" t="s">
        <v>35</v>
      </c>
      <c r="H182" s="35">
        <f t="shared" si="6"/>
        <v>1</v>
      </c>
      <c r="I182" s="35"/>
      <c r="J182" s="35">
        <v>3</v>
      </c>
      <c r="K182" s="35">
        <f t="shared" si="7"/>
        <v>15</v>
      </c>
      <c r="L182" s="35" t="str">
        <f t="shared" si="8"/>
        <v>Morning</v>
      </c>
      <c r="M182" s="65"/>
      <c r="N182" s="65"/>
      <c r="O182" s="65"/>
      <c r="P182" s="66"/>
      <c r="Q182" s="35"/>
      <c r="R182" s="66"/>
      <c r="S182" s="73"/>
      <c r="T182" s="78"/>
    </row>
    <row r="183" spans="1:20">
      <c r="A183" s="55">
        <v>45305.8952893519</v>
      </c>
      <c r="B183" s="56">
        <v>45305.9040393519</v>
      </c>
      <c r="C183" s="35">
        <v>157</v>
      </c>
      <c r="D183" s="35" t="s">
        <v>37</v>
      </c>
      <c r="E183" s="35" t="s">
        <v>41</v>
      </c>
      <c r="F183" s="35" t="s">
        <v>34</v>
      </c>
      <c r="G183" s="35" t="s">
        <v>35</v>
      </c>
      <c r="H183" s="35">
        <f t="shared" si="6"/>
        <v>1</v>
      </c>
      <c r="I183" s="35"/>
      <c r="J183" s="35">
        <v>4</v>
      </c>
      <c r="K183" s="35">
        <f t="shared" si="7"/>
        <v>21</v>
      </c>
      <c r="L183" s="35" t="str">
        <f t="shared" si="8"/>
        <v>Evening</v>
      </c>
      <c r="M183" s="65"/>
      <c r="N183" s="65"/>
      <c r="O183" s="65"/>
      <c r="P183" s="66"/>
      <c r="Q183" s="35"/>
      <c r="R183" s="66"/>
      <c r="S183" s="73"/>
      <c r="T183" s="78"/>
    </row>
    <row r="184" spans="1:20">
      <c r="A184" s="55">
        <v>45296.7309606482</v>
      </c>
      <c r="B184" s="56">
        <v>45296.7341666667</v>
      </c>
      <c r="C184" s="35">
        <v>336</v>
      </c>
      <c r="D184" s="35" t="s">
        <v>32</v>
      </c>
      <c r="E184" s="35" t="s">
        <v>32</v>
      </c>
      <c r="F184" s="35" t="s">
        <v>40</v>
      </c>
      <c r="G184" s="35" t="s">
        <v>35</v>
      </c>
      <c r="H184" s="35">
        <f t="shared" si="6"/>
        <v>1</v>
      </c>
      <c r="I184" s="35"/>
      <c r="J184" s="35">
        <v>3</v>
      </c>
      <c r="K184" s="35">
        <f t="shared" si="7"/>
        <v>17</v>
      </c>
      <c r="L184" s="35" t="str">
        <f t="shared" si="8"/>
        <v>Morning</v>
      </c>
      <c r="M184" s="65"/>
      <c r="N184" s="65"/>
      <c r="O184" s="65"/>
      <c r="P184" s="66"/>
      <c r="Q184" s="35"/>
      <c r="R184" s="66"/>
      <c r="S184" s="73"/>
      <c r="T184" s="78"/>
    </row>
    <row r="185" spans="1:20">
      <c r="A185" s="55">
        <v>45295.3044444444</v>
      </c>
      <c r="B185" s="56">
        <v>45295.3197222222</v>
      </c>
      <c r="C185" s="35">
        <v>438</v>
      </c>
      <c r="D185" s="35" t="s">
        <v>32</v>
      </c>
      <c r="E185" s="35" t="s">
        <v>39</v>
      </c>
      <c r="F185" s="35" t="s">
        <v>38</v>
      </c>
      <c r="G185" s="35" t="s">
        <v>35</v>
      </c>
      <c r="H185" s="35">
        <f t="shared" si="6"/>
        <v>1</v>
      </c>
      <c r="I185" s="35"/>
      <c r="J185" s="35">
        <v>5</v>
      </c>
      <c r="K185" s="35">
        <f t="shared" si="7"/>
        <v>7</v>
      </c>
      <c r="L185" s="35" t="str">
        <f t="shared" si="8"/>
        <v>Morning</v>
      </c>
      <c r="M185" s="65"/>
      <c r="N185" s="65"/>
      <c r="O185" s="65"/>
      <c r="P185" s="66"/>
      <c r="Q185" s="35"/>
      <c r="R185" s="66"/>
      <c r="S185" s="73"/>
      <c r="T185" s="78"/>
    </row>
    <row r="186" spans="1:20">
      <c r="A186" s="55">
        <v>45298.4802314815</v>
      </c>
      <c r="B186" s="56">
        <v>45298.4919907407</v>
      </c>
      <c r="C186" s="35">
        <v>520</v>
      </c>
      <c r="D186" s="35" t="s">
        <v>37</v>
      </c>
      <c r="E186" s="35" t="s">
        <v>32</v>
      </c>
      <c r="F186" s="35" t="s">
        <v>40</v>
      </c>
      <c r="G186" s="35" t="s">
        <v>36</v>
      </c>
      <c r="H186" s="35">
        <f t="shared" si="6"/>
        <v>0</v>
      </c>
      <c r="I186" s="35"/>
      <c r="J186" s="35">
        <v>2</v>
      </c>
      <c r="K186" s="35">
        <f t="shared" si="7"/>
        <v>11</v>
      </c>
      <c r="L186" s="35" t="str">
        <f t="shared" si="8"/>
        <v>Morning</v>
      </c>
      <c r="M186" s="65"/>
      <c r="N186" s="65"/>
      <c r="O186" s="65"/>
      <c r="P186" s="66"/>
      <c r="Q186" s="35"/>
      <c r="R186" s="66"/>
      <c r="S186" s="73"/>
      <c r="T186" s="78"/>
    </row>
    <row r="187" spans="1:20">
      <c r="A187" s="55">
        <v>45298.7104513889</v>
      </c>
      <c r="B187" s="56">
        <v>45298.7178125</v>
      </c>
      <c r="C187" s="35">
        <v>516</v>
      </c>
      <c r="D187" s="35" t="s">
        <v>39</v>
      </c>
      <c r="E187" s="35" t="s">
        <v>32</v>
      </c>
      <c r="F187" s="35" t="s">
        <v>38</v>
      </c>
      <c r="G187" s="35" t="s">
        <v>35</v>
      </c>
      <c r="H187" s="35">
        <f t="shared" si="6"/>
        <v>1</v>
      </c>
      <c r="I187" s="35"/>
      <c r="J187" s="35">
        <v>3</v>
      </c>
      <c r="K187" s="35">
        <f t="shared" si="7"/>
        <v>17</v>
      </c>
      <c r="L187" s="35" t="str">
        <f t="shared" si="8"/>
        <v>Morning</v>
      </c>
      <c r="M187" s="65"/>
      <c r="N187" s="65"/>
      <c r="O187" s="65"/>
      <c r="P187" s="66"/>
      <c r="Q187" s="35"/>
      <c r="R187" s="66"/>
      <c r="S187" s="73"/>
      <c r="T187" s="78"/>
    </row>
    <row r="188" spans="1:20">
      <c r="A188" s="55">
        <v>45296.6155439815</v>
      </c>
      <c r="B188" s="56">
        <v>45296.6343402778</v>
      </c>
      <c r="C188" s="35">
        <v>422</v>
      </c>
      <c r="D188" s="35" t="s">
        <v>37</v>
      </c>
      <c r="E188" s="35" t="s">
        <v>33</v>
      </c>
      <c r="F188" s="35" t="s">
        <v>38</v>
      </c>
      <c r="G188" s="35" t="s">
        <v>36</v>
      </c>
      <c r="H188" s="35">
        <f t="shared" si="6"/>
        <v>0</v>
      </c>
      <c r="I188" s="35"/>
      <c r="J188" s="35">
        <v>3</v>
      </c>
      <c r="K188" s="35">
        <f t="shared" si="7"/>
        <v>14</v>
      </c>
      <c r="L188" s="35" t="str">
        <f t="shared" si="8"/>
        <v>Morning</v>
      </c>
      <c r="M188" s="65"/>
      <c r="N188" s="65"/>
      <c r="O188" s="65"/>
      <c r="P188" s="66"/>
      <c r="Q188" s="35"/>
      <c r="R188" s="66"/>
      <c r="S188" s="73"/>
      <c r="T188" s="78"/>
    </row>
    <row r="189" spans="1:20">
      <c r="A189" s="55">
        <v>45301.3503703704</v>
      </c>
      <c r="B189" s="56">
        <v>45301.3617361111</v>
      </c>
      <c r="C189" s="35">
        <v>573</v>
      </c>
      <c r="D189" s="35" t="s">
        <v>37</v>
      </c>
      <c r="E189" s="35" t="s">
        <v>33</v>
      </c>
      <c r="F189" s="35" t="s">
        <v>40</v>
      </c>
      <c r="G189" s="35" t="s">
        <v>35</v>
      </c>
      <c r="H189" s="35">
        <f t="shared" si="6"/>
        <v>1</v>
      </c>
      <c r="I189" s="35"/>
      <c r="J189" s="35">
        <v>4</v>
      </c>
      <c r="K189" s="35">
        <f t="shared" si="7"/>
        <v>8</v>
      </c>
      <c r="L189" s="35" t="str">
        <f t="shared" si="8"/>
        <v>Morning</v>
      </c>
      <c r="M189" s="65"/>
      <c r="N189" s="65"/>
      <c r="O189" s="65"/>
      <c r="P189" s="66"/>
      <c r="Q189" s="35"/>
      <c r="R189" s="66"/>
      <c r="S189" s="73"/>
      <c r="T189" s="78"/>
    </row>
    <row r="190" spans="1:20">
      <c r="A190" s="55">
        <v>45317.6912384259</v>
      </c>
      <c r="B190" s="56">
        <v>45317.7098263889</v>
      </c>
      <c r="C190" s="35">
        <v>157</v>
      </c>
      <c r="D190" s="35" t="s">
        <v>32</v>
      </c>
      <c r="E190" s="35" t="s">
        <v>32</v>
      </c>
      <c r="F190" s="35" t="s">
        <v>34</v>
      </c>
      <c r="G190" s="35" t="s">
        <v>36</v>
      </c>
      <c r="H190" s="35">
        <f t="shared" si="6"/>
        <v>0</v>
      </c>
      <c r="I190" s="35"/>
      <c r="J190" s="35">
        <v>1</v>
      </c>
      <c r="K190" s="35">
        <f t="shared" si="7"/>
        <v>16</v>
      </c>
      <c r="L190" s="35" t="str">
        <f t="shared" si="8"/>
        <v>Morning</v>
      </c>
      <c r="M190" s="65"/>
      <c r="N190" s="65"/>
      <c r="O190" s="65"/>
      <c r="P190" s="66"/>
      <c r="Q190" s="35"/>
      <c r="R190" s="66"/>
      <c r="S190" s="73"/>
      <c r="T190" s="78"/>
    </row>
    <row r="191" spans="1:20">
      <c r="A191" s="55">
        <v>45317.8982523148</v>
      </c>
      <c r="B191" s="56">
        <v>45317.9024768519</v>
      </c>
      <c r="C191" s="35">
        <v>537</v>
      </c>
      <c r="D191" s="35" t="s">
        <v>32</v>
      </c>
      <c r="E191" s="35" t="s">
        <v>41</v>
      </c>
      <c r="F191" s="35" t="s">
        <v>34</v>
      </c>
      <c r="G191" s="35" t="s">
        <v>35</v>
      </c>
      <c r="H191" s="35">
        <f t="shared" si="6"/>
        <v>1</v>
      </c>
      <c r="I191" s="35"/>
      <c r="J191" s="35">
        <v>4</v>
      </c>
      <c r="K191" s="35">
        <f t="shared" si="7"/>
        <v>21</v>
      </c>
      <c r="L191" s="35" t="str">
        <f t="shared" si="8"/>
        <v>Evening</v>
      </c>
      <c r="M191" s="65"/>
      <c r="N191" s="65"/>
      <c r="O191" s="65"/>
      <c r="P191" s="66"/>
      <c r="Q191" s="35"/>
      <c r="R191" s="66"/>
      <c r="S191" s="73"/>
      <c r="T191" s="78"/>
    </row>
    <row r="192" spans="1:20">
      <c r="A192" s="55">
        <v>45315.6509375</v>
      </c>
      <c r="B192" s="56">
        <v>45315.6636458333</v>
      </c>
      <c r="C192" s="35">
        <v>531</v>
      </c>
      <c r="D192" s="35" t="s">
        <v>39</v>
      </c>
      <c r="E192" s="35" t="s">
        <v>32</v>
      </c>
      <c r="F192" s="35" t="s">
        <v>34</v>
      </c>
      <c r="G192" s="35" t="s">
        <v>35</v>
      </c>
      <c r="H192" s="35">
        <f t="shared" si="6"/>
        <v>1</v>
      </c>
      <c r="I192" s="35"/>
      <c r="J192" s="35">
        <v>4</v>
      </c>
      <c r="K192" s="35">
        <f t="shared" si="7"/>
        <v>15</v>
      </c>
      <c r="L192" s="35" t="str">
        <f t="shared" si="8"/>
        <v>Morning</v>
      </c>
      <c r="M192" s="65"/>
      <c r="N192" s="65"/>
      <c r="O192" s="65"/>
      <c r="P192" s="66"/>
      <c r="Q192" s="35"/>
      <c r="R192" s="66"/>
      <c r="S192" s="73"/>
      <c r="T192" s="78"/>
    </row>
    <row r="193" spans="1:20">
      <c r="A193" s="55">
        <v>45292.7234143519</v>
      </c>
      <c r="B193" s="56">
        <v>45292.7267013889</v>
      </c>
      <c r="C193" s="35">
        <v>436</v>
      </c>
      <c r="D193" s="35" t="s">
        <v>39</v>
      </c>
      <c r="E193" s="35" t="s">
        <v>41</v>
      </c>
      <c r="F193" s="35" t="s">
        <v>34</v>
      </c>
      <c r="G193" s="35" t="s">
        <v>35</v>
      </c>
      <c r="H193" s="35">
        <f t="shared" si="6"/>
        <v>1</v>
      </c>
      <c r="I193" s="35"/>
      <c r="J193" s="35">
        <v>5</v>
      </c>
      <c r="K193" s="35">
        <f t="shared" si="7"/>
        <v>17</v>
      </c>
      <c r="L193" s="35" t="str">
        <f t="shared" si="8"/>
        <v>Morning</v>
      </c>
      <c r="M193" s="65"/>
      <c r="N193" s="65"/>
      <c r="O193" s="65"/>
      <c r="P193" s="66"/>
      <c r="Q193" s="35"/>
      <c r="R193" s="66"/>
      <c r="S193" s="73"/>
      <c r="T193" s="78"/>
    </row>
    <row r="194" spans="1:20">
      <c r="A194" s="55">
        <v>45311.8865856481</v>
      </c>
      <c r="B194" s="56">
        <v>45311.9058333333</v>
      </c>
      <c r="C194" s="35">
        <v>243</v>
      </c>
      <c r="D194" s="35" t="s">
        <v>43</v>
      </c>
      <c r="E194" s="35" t="s">
        <v>32</v>
      </c>
      <c r="F194" s="35" t="s">
        <v>40</v>
      </c>
      <c r="G194" s="35" t="s">
        <v>35</v>
      </c>
      <c r="H194" s="35">
        <f t="shared" si="6"/>
        <v>1</v>
      </c>
      <c r="I194" s="35"/>
      <c r="J194" s="35">
        <v>5</v>
      </c>
      <c r="K194" s="35">
        <f t="shared" si="7"/>
        <v>21</v>
      </c>
      <c r="L194" s="35" t="str">
        <f t="shared" si="8"/>
        <v>Evening</v>
      </c>
      <c r="M194" s="65"/>
      <c r="N194" s="65"/>
      <c r="O194" s="65"/>
      <c r="P194" s="66"/>
      <c r="Q194" s="35"/>
      <c r="R194" s="66"/>
      <c r="S194" s="73"/>
      <c r="T194" s="78"/>
    </row>
    <row r="195" spans="1:20">
      <c r="A195" s="55">
        <v>45316.7568518519</v>
      </c>
      <c r="B195" s="56">
        <v>45316.7736805556</v>
      </c>
      <c r="C195" s="35">
        <v>258</v>
      </c>
      <c r="D195" s="35" t="s">
        <v>43</v>
      </c>
      <c r="E195" s="35" t="s">
        <v>33</v>
      </c>
      <c r="F195" s="35" t="s">
        <v>40</v>
      </c>
      <c r="G195" s="35" t="s">
        <v>36</v>
      </c>
      <c r="H195" s="35">
        <f t="shared" ref="H195:H258" si="9">IF(G195="Y",1,0)</f>
        <v>0</v>
      </c>
      <c r="I195" s="35"/>
      <c r="J195" s="35">
        <v>2</v>
      </c>
      <c r="K195" s="35">
        <f t="shared" ref="K195:K258" si="10">HOUR(A195:A694)</f>
        <v>18</v>
      </c>
      <c r="L195" s="35" t="str">
        <f t="shared" ref="L195:L258" si="11">IF(AND(K195&gt;=6,K195&lt;=18),"Morning","Evening")</f>
        <v>Morning</v>
      </c>
      <c r="M195" s="65"/>
      <c r="N195" s="65"/>
      <c r="O195" s="65"/>
      <c r="P195" s="66"/>
      <c r="Q195" s="35"/>
      <c r="R195" s="66"/>
      <c r="S195" s="73"/>
      <c r="T195" s="78"/>
    </row>
    <row r="196" spans="1:20">
      <c r="A196" s="55">
        <v>45314.5184259259</v>
      </c>
      <c r="B196" s="56">
        <v>45314.5374884259</v>
      </c>
      <c r="C196" s="35">
        <v>492</v>
      </c>
      <c r="D196" s="35" t="s">
        <v>43</v>
      </c>
      <c r="E196" s="35" t="s">
        <v>39</v>
      </c>
      <c r="F196" s="35" t="s">
        <v>34</v>
      </c>
      <c r="G196" s="35" t="s">
        <v>36</v>
      </c>
      <c r="H196" s="35">
        <f t="shared" si="9"/>
        <v>0</v>
      </c>
      <c r="I196" s="35"/>
      <c r="J196" s="35">
        <v>2</v>
      </c>
      <c r="K196" s="35">
        <f t="shared" si="10"/>
        <v>12</v>
      </c>
      <c r="L196" s="35" t="str">
        <f t="shared" si="11"/>
        <v>Morning</v>
      </c>
      <c r="M196" s="65"/>
      <c r="N196" s="65"/>
      <c r="O196" s="65"/>
      <c r="P196" s="66"/>
      <c r="Q196" s="35"/>
      <c r="R196" s="66"/>
      <c r="S196" s="73"/>
      <c r="T196" s="78"/>
    </row>
    <row r="197" spans="1:20">
      <c r="A197" s="55">
        <v>45308.7640162037</v>
      </c>
      <c r="B197" s="56">
        <v>45308.7756018518</v>
      </c>
      <c r="C197" s="35">
        <v>555</v>
      </c>
      <c r="D197" s="35" t="s">
        <v>37</v>
      </c>
      <c r="E197" s="35" t="s">
        <v>41</v>
      </c>
      <c r="F197" s="35" t="s">
        <v>34</v>
      </c>
      <c r="G197" s="35" t="s">
        <v>35</v>
      </c>
      <c r="H197" s="35">
        <f t="shared" si="9"/>
        <v>1</v>
      </c>
      <c r="I197" s="35"/>
      <c r="J197" s="35">
        <v>5</v>
      </c>
      <c r="K197" s="35">
        <f t="shared" si="10"/>
        <v>18</v>
      </c>
      <c r="L197" s="35" t="str">
        <f t="shared" si="11"/>
        <v>Morning</v>
      </c>
      <c r="M197" s="65"/>
      <c r="N197" s="65"/>
      <c r="O197" s="65"/>
      <c r="P197" s="66"/>
      <c r="Q197" s="35"/>
      <c r="R197" s="66"/>
      <c r="S197" s="73"/>
      <c r="T197" s="78"/>
    </row>
    <row r="198" spans="1:20">
      <c r="A198" s="55">
        <v>45312.6107638889</v>
      </c>
      <c r="B198" s="56">
        <v>45312.6160069444</v>
      </c>
      <c r="C198" s="35">
        <v>262</v>
      </c>
      <c r="D198" s="35" t="s">
        <v>37</v>
      </c>
      <c r="E198" s="35" t="s">
        <v>41</v>
      </c>
      <c r="F198" s="35" t="s">
        <v>40</v>
      </c>
      <c r="G198" s="35" t="s">
        <v>35</v>
      </c>
      <c r="H198" s="35">
        <f t="shared" si="9"/>
        <v>1</v>
      </c>
      <c r="I198" s="35"/>
      <c r="J198" s="35">
        <v>4</v>
      </c>
      <c r="K198" s="35">
        <f t="shared" si="10"/>
        <v>14</v>
      </c>
      <c r="L198" s="35" t="str">
        <f t="shared" si="11"/>
        <v>Morning</v>
      </c>
      <c r="M198" s="65"/>
      <c r="N198" s="65"/>
      <c r="O198" s="65"/>
      <c r="P198" s="66"/>
      <c r="Q198" s="35"/>
      <c r="R198" s="66"/>
      <c r="S198" s="73"/>
      <c r="T198" s="78"/>
    </row>
    <row r="199" spans="1:20">
      <c r="A199" s="55">
        <v>45301.5310763889</v>
      </c>
      <c r="B199" s="56">
        <v>45301.5433564815</v>
      </c>
      <c r="C199" s="35">
        <v>334</v>
      </c>
      <c r="D199" s="35" t="s">
        <v>42</v>
      </c>
      <c r="E199" s="35" t="s">
        <v>41</v>
      </c>
      <c r="F199" s="35" t="s">
        <v>34</v>
      </c>
      <c r="G199" s="35" t="s">
        <v>35</v>
      </c>
      <c r="H199" s="35">
        <f t="shared" si="9"/>
        <v>1</v>
      </c>
      <c r="I199" s="35"/>
      <c r="J199" s="35">
        <v>5</v>
      </c>
      <c r="K199" s="35">
        <f t="shared" si="10"/>
        <v>12</v>
      </c>
      <c r="L199" s="35" t="str">
        <f t="shared" si="11"/>
        <v>Morning</v>
      </c>
      <c r="M199" s="65"/>
      <c r="N199" s="65"/>
      <c r="O199" s="65"/>
      <c r="P199" s="66"/>
      <c r="Q199" s="35"/>
      <c r="R199" s="66"/>
      <c r="S199" s="73"/>
      <c r="T199" s="78"/>
    </row>
    <row r="200" spans="1:20">
      <c r="A200" s="55">
        <v>45301.4004976852</v>
      </c>
      <c r="B200" s="56">
        <v>45301.4140625</v>
      </c>
      <c r="C200" s="35">
        <v>398</v>
      </c>
      <c r="D200" s="35" t="s">
        <v>42</v>
      </c>
      <c r="E200" s="35" t="s">
        <v>41</v>
      </c>
      <c r="F200" s="35" t="s">
        <v>40</v>
      </c>
      <c r="G200" s="35" t="s">
        <v>35</v>
      </c>
      <c r="H200" s="35">
        <f t="shared" si="9"/>
        <v>1</v>
      </c>
      <c r="I200" s="35"/>
      <c r="J200" s="35">
        <v>4</v>
      </c>
      <c r="K200" s="35">
        <f t="shared" si="10"/>
        <v>9</v>
      </c>
      <c r="L200" s="35" t="str">
        <f t="shared" si="11"/>
        <v>Morning</v>
      </c>
      <c r="M200" s="65"/>
      <c r="N200" s="65"/>
      <c r="O200" s="65"/>
      <c r="P200" s="66"/>
      <c r="Q200" s="35"/>
      <c r="R200" s="66"/>
      <c r="S200" s="73"/>
      <c r="T200" s="78"/>
    </row>
    <row r="201" spans="1:20">
      <c r="A201" s="55">
        <v>45294.7496296296</v>
      </c>
      <c r="B201" s="56">
        <v>45294.7658680556</v>
      </c>
      <c r="C201" s="35">
        <v>272</v>
      </c>
      <c r="D201" s="35" t="s">
        <v>42</v>
      </c>
      <c r="E201" s="35" t="s">
        <v>39</v>
      </c>
      <c r="F201" s="35" t="s">
        <v>40</v>
      </c>
      <c r="G201" s="35" t="s">
        <v>35</v>
      </c>
      <c r="H201" s="35">
        <f t="shared" si="9"/>
        <v>1</v>
      </c>
      <c r="I201" s="35"/>
      <c r="J201" s="35">
        <v>4</v>
      </c>
      <c r="K201" s="35">
        <f t="shared" si="10"/>
        <v>17</v>
      </c>
      <c r="L201" s="35" t="str">
        <f t="shared" si="11"/>
        <v>Morning</v>
      </c>
      <c r="M201" s="65"/>
      <c r="N201" s="65"/>
      <c r="O201" s="65"/>
      <c r="P201" s="66"/>
      <c r="Q201" s="35"/>
      <c r="R201" s="66"/>
      <c r="S201" s="73"/>
      <c r="T201" s="78"/>
    </row>
    <row r="202" spans="1:20">
      <c r="A202" s="55">
        <v>45309.5889583333</v>
      </c>
      <c r="B202" s="56">
        <v>45309.6042361111</v>
      </c>
      <c r="C202" s="35">
        <v>255</v>
      </c>
      <c r="D202" s="35" t="s">
        <v>32</v>
      </c>
      <c r="E202" s="35" t="s">
        <v>33</v>
      </c>
      <c r="F202" s="35" t="s">
        <v>34</v>
      </c>
      <c r="G202" s="35" t="s">
        <v>35</v>
      </c>
      <c r="H202" s="35">
        <f t="shared" si="9"/>
        <v>1</v>
      </c>
      <c r="I202" s="35"/>
      <c r="J202" s="35">
        <v>3</v>
      </c>
      <c r="K202" s="35">
        <f t="shared" si="10"/>
        <v>14</v>
      </c>
      <c r="L202" s="35" t="str">
        <f t="shared" si="11"/>
        <v>Morning</v>
      </c>
      <c r="M202" s="65"/>
      <c r="N202" s="65"/>
      <c r="O202" s="65"/>
      <c r="P202" s="66"/>
      <c r="Q202" s="35"/>
      <c r="R202" s="66"/>
      <c r="S202" s="73"/>
      <c r="T202" s="78"/>
    </row>
    <row r="203" spans="1:20">
      <c r="A203" s="55">
        <v>45299.2961342593</v>
      </c>
      <c r="B203" s="56">
        <v>45299.3046527778</v>
      </c>
      <c r="C203" s="35">
        <v>493</v>
      </c>
      <c r="D203" s="35" t="s">
        <v>43</v>
      </c>
      <c r="E203" s="35" t="s">
        <v>39</v>
      </c>
      <c r="F203" s="35" t="s">
        <v>40</v>
      </c>
      <c r="G203" s="35" t="s">
        <v>35</v>
      </c>
      <c r="H203" s="35">
        <f t="shared" si="9"/>
        <v>1</v>
      </c>
      <c r="I203" s="35"/>
      <c r="J203" s="35">
        <v>3</v>
      </c>
      <c r="K203" s="35">
        <f t="shared" si="10"/>
        <v>7</v>
      </c>
      <c r="L203" s="35" t="str">
        <f t="shared" si="11"/>
        <v>Morning</v>
      </c>
      <c r="M203" s="65"/>
      <c r="N203" s="65"/>
      <c r="O203" s="65"/>
      <c r="P203" s="66"/>
      <c r="Q203" s="35"/>
      <c r="R203" s="66"/>
      <c r="S203" s="73"/>
      <c r="T203" s="78"/>
    </row>
    <row r="204" spans="1:20">
      <c r="A204" s="55">
        <v>45312.8963078704</v>
      </c>
      <c r="B204" s="56">
        <v>45312.901724537</v>
      </c>
      <c r="C204" s="35">
        <v>304</v>
      </c>
      <c r="D204" s="35" t="s">
        <v>37</v>
      </c>
      <c r="E204" s="35" t="s">
        <v>41</v>
      </c>
      <c r="F204" s="35" t="s">
        <v>34</v>
      </c>
      <c r="G204" s="35" t="s">
        <v>36</v>
      </c>
      <c r="H204" s="35">
        <f t="shared" si="9"/>
        <v>0</v>
      </c>
      <c r="I204" s="35"/>
      <c r="J204" s="35">
        <v>1</v>
      </c>
      <c r="K204" s="35">
        <f t="shared" si="10"/>
        <v>21</v>
      </c>
      <c r="L204" s="35" t="str">
        <f t="shared" si="11"/>
        <v>Evening</v>
      </c>
      <c r="M204" s="65"/>
      <c r="N204" s="65"/>
      <c r="O204" s="65"/>
      <c r="P204" s="66"/>
      <c r="Q204" s="35"/>
      <c r="R204" s="66"/>
      <c r="S204" s="73"/>
      <c r="T204" s="78"/>
    </row>
    <row r="205" spans="1:20">
      <c r="A205" s="55">
        <v>45309.3326157407</v>
      </c>
      <c r="B205" s="56">
        <v>45309.3374537037</v>
      </c>
      <c r="C205" s="35">
        <v>437</v>
      </c>
      <c r="D205" s="35" t="s">
        <v>32</v>
      </c>
      <c r="E205" s="35" t="s">
        <v>33</v>
      </c>
      <c r="F205" s="35" t="s">
        <v>38</v>
      </c>
      <c r="G205" s="35" t="s">
        <v>35</v>
      </c>
      <c r="H205" s="35">
        <f t="shared" si="9"/>
        <v>1</v>
      </c>
      <c r="I205" s="35"/>
      <c r="J205" s="35">
        <v>3</v>
      </c>
      <c r="K205" s="35">
        <f t="shared" si="10"/>
        <v>7</v>
      </c>
      <c r="L205" s="35" t="str">
        <f t="shared" si="11"/>
        <v>Morning</v>
      </c>
      <c r="M205" s="65"/>
      <c r="N205" s="65"/>
      <c r="O205" s="65"/>
      <c r="P205" s="66"/>
      <c r="Q205" s="35"/>
      <c r="R205" s="66"/>
      <c r="S205" s="73"/>
      <c r="T205" s="78"/>
    </row>
    <row r="206" spans="1:20">
      <c r="A206" s="55">
        <v>45315.663912037</v>
      </c>
      <c r="B206" s="56">
        <v>45315.6648148148</v>
      </c>
      <c r="C206" s="35">
        <v>315</v>
      </c>
      <c r="D206" s="35" t="s">
        <v>39</v>
      </c>
      <c r="E206" s="35" t="s">
        <v>33</v>
      </c>
      <c r="F206" s="35" t="s">
        <v>38</v>
      </c>
      <c r="G206" s="35" t="s">
        <v>35</v>
      </c>
      <c r="H206" s="35">
        <f t="shared" si="9"/>
        <v>1</v>
      </c>
      <c r="I206" s="35"/>
      <c r="J206" s="35">
        <v>5</v>
      </c>
      <c r="K206" s="35">
        <f t="shared" si="10"/>
        <v>15</v>
      </c>
      <c r="L206" s="35" t="str">
        <f t="shared" si="11"/>
        <v>Morning</v>
      </c>
      <c r="M206" s="65"/>
      <c r="N206" s="65"/>
      <c r="O206" s="65"/>
      <c r="P206" s="66"/>
      <c r="Q206" s="35"/>
      <c r="R206" s="66"/>
      <c r="S206" s="73"/>
      <c r="T206" s="78"/>
    </row>
    <row r="207" spans="1:20">
      <c r="A207" s="55">
        <v>45308.9139814815</v>
      </c>
      <c r="B207" s="56">
        <v>45308.9266203704</v>
      </c>
      <c r="C207" s="35">
        <v>489</v>
      </c>
      <c r="D207" s="35" t="s">
        <v>37</v>
      </c>
      <c r="E207" s="35" t="s">
        <v>39</v>
      </c>
      <c r="F207" s="35" t="s">
        <v>40</v>
      </c>
      <c r="G207" s="35" t="s">
        <v>35</v>
      </c>
      <c r="H207" s="35">
        <f t="shared" si="9"/>
        <v>1</v>
      </c>
      <c r="I207" s="35"/>
      <c r="J207" s="35">
        <v>5</v>
      </c>
      <c r="K207" s="35">
        <f t="shared" si="10"/>
        <v>21</v>
      </c>
      <c r="L207" s="35" t="str">
        <f t="shared" si="11"/>
        <v>Evening</v>
      </c>
      <c r="M207" s="65"/>
      <c r="N207" s="65"/>
      <c r="O207" s="65"/>
      <c r="P207" s="66"/>
      <c r="Q207" s="35"/>
      <c r="R207" s="66"/>
      <c r="S207" s="73"/>
      <c r="T207" s="78"/>
    </row>
    <row r="208" spans="1:20">
      <c r="A208" s="55">
        <v>45312.6147106482</v>
      </c>
      <c r="B208" s="56">
        <v>45312.6157291667</v>
      </c>
      <c r="C208" s="35">
        <v>355</v>
      </c>
      <c r="D208" s="35" t="s">
        <v>37</v>
      </c>
      <c r="E208" s="35" t="s">
        <v>39</v>
      </c>
      <c r="F208" s="35" t="s">
        <v>40</v>
      </c>
      <c r="G208" s="35" t="s">
        <v>35</v>
      </c>
      <c r="H208" s="35">
        <f t="shared" si="9"/>
        <v>1</v>
      </c>
      <c r="I208" s="35"/>
      <c r="J208" s="35">
        <v>5</v>
      </c>
      <c r="K208" s="35">
        <f t="shared" si="10"/>
        <v>14</v>
      </c>
      <c r="L208" s="35" t="str">
        <f t="shared" si="11"/>
        <v>Morning</v>
      </c>
      <c r="M208" s="65"/>
      <c r="N208" s="65"/>
      <c r="O208" s="65"/>
      <c r="P208" s="66"/>
      <c r="Q208" s="35"/>
      <c r="R208" s="66"/>
      <c r="S208" s="73"/>
      <c r="T208" s="78"/>
    </row>
    <row r="209" spans="1:20">
      <c r="A209" s="55">
        <v>45304.8141203704</v>
      </c>
      <c r="B209" s="56">
        <v>45304.8168634259</v>
      </c>
      <c r="C209" s="35">
        <v>420</v>
      </c>
      <c r="D209" s="35" t="s">
        <v>43</v>
      </c>
      <c r="E209" s="35" t="s">
        <v>39</v>
      </c>
      <c r="F209" s="35" t="s">
        <v>40</v>
      </c>
      <c r="G209" s="35" t="s">
        <v>35</v>
      </c>
      <c r="H209" s="35">
        <f t="shared" si="9"/>
        <v>1</v>
      </c>
      <c r="I209" s="35"/>
      <c r="J209" s="35">
        <v>3</v>
      </c>
      <c r="K209" s="35">
        <f t="shared" si="10"/>
        <v>19</v>
      </c>
      <c r="L209" s="35" t="str">
        <f t="shared" si="11"/>
        <v>Evening</v>
      </c>
      <c r="M209" s="65"/>
      <c r="N209" s="65"/>
      <c r="O209" s="65"/>
      <c r="P209" s="66"/>
      <c r="Q209" s="35"/>
      <c r="R209" s="66"/>
      <c r="S209" s="73"/>
      <c r="T209" s="78"/>
    </row>
    <row r="210" spans="1:20">
      <c r="A210" s="55">
        <v>45300.7607407407</v>
      </c>
      <c r="B210" s="56">
        <v>45300.7792939815</v>
      </c>
      <c r="C210" s="35">
        <v>283</v>
      </c>
      <c r="D210" s="35" t="s">
        <v>37</v>
      </c>
      <c r="E210" s="35" t="s">
        <v>41</v>
      </c>
      <c r="F210" s="35" t="s">
        <v>34</v>
      </c>
      <c r="G210" s="35" t="s">
        <v>35</v>
      </c>
      <c r="H210" s="35">
        <f t="shared" si="9"/>
        <v>1</v>
      </c>
      <c r="I210" s="35"/>
      <c r="J210" s="35">
        <v>3</v>
      </c>
      <c r="K210" s="35">
        <f t="shared" si="10"/>
        <v>18</v>
      </c>
      <c r="L210" s="35" t="str">
        <f t="shared" si="11"/>
        <v>Morning</v>
      </c>
      <c r="M210" s="65"/>
      <c r="N210" s="65"/>
      <c r="O210" s="65"/>
      <c r="P210" s="66"/>
      <c r="Q210" s="35"/>
      <c r="R210" s="66"/>
      <c r="S210" s="73"/>
      <c r="T210" s="78"/>
    </row>
    <row r="211" spans="1:20">
      <c r="A211" s="55">
        <v>45312.7390625</v>
      </c>
      <c r="B211" s="56">
        <v>45312.7412268519</v>
      </c>
      <c r="C211" s="35">
        <v>131</v>
      </c>
      <c r="D211" s="35" t="s">
        <v>42</v>
      </c>
      <c r="E211" s="35" t="s">
        <v>41</v>
      </c>
      <c r="F211" s="35" t="s">
        <v>40</v>
      </c>
      <c r="G211" s="35" t="s">
        <v>35</v>
      </c>
      <c r="H211" s="35">
        <f t="shared" si="9"/>
        <v>1</v>
      </c>
      <c r="I211" s="35"/>
      <c r="J211" s="35">
        <v>5</v>
      </c>
      <c r="K211" s="35">
        <f t="shared" si="10"/>
        <v>17</v>
      </c>
      <c r="L211" s="35" t="str">
        <f t="shared" si="11"/>
        <v>Morning</v>
      </c>
      <c r="M211" s="65"/>
      <c r="N211" s="65"/>
      <c r="O211" s="65"/>
      <c r="P211" s="66"/>
      <c r="Q211" s="35"/>
      <c r="R211" s="66"/>
      <c r="S211" s="73"/>
      <c r="T211" s="78"/>
    </row>
    <row r="212" spans="1:20">
      <c r="A212" s="55">
        <v>45314.6556365741</v>
      </c>
      <c r="B212" s="56">
        <v>45314.6714699074</v>
      </c>
      <c r="C212" s="35">
        <v>312</v>
      </c>
      <c r="D212" s="35" t="s">
        <v>37</v>
      </c>
      <c r="E212" s="35" t="s">
        <v>39</v>
      </c>
      <c r="F212" s="35" t="s">
        <v>40</v>
      </c>
      <c r="G212" s="35" t="s">
        <v>35</v>
      </c>
      <c r="H212" s="35">
        <f t="shared" si="9"/>
        <v>1</v>
      </c>
      <c r="I212" s="35"/>
      <c r="J212" s="35">
        <v>4</v>
      </c>
      <c r="K212" s="35">
        <f t="shared" si="10"/>
        <v>15</v>
      </c>
      <c r="L212" s="35" t="str">
        <f t="shared" si="11"/>
        <v>Morning</v>
      </c>
      <c r="M212" s="65"/>
      <c r="N212" s="65"/>
      <c r="O212" s="65"/>
      <c r="P212" s="66"/>
      <c r="Q212" s="35"/>
      <c r="R212" s="66"/>
      <c r="S212" s="73"/>
      <c r="T212" s="78"/>
    </row>
    <row r="213" spans="1:20">
      <c r="A213" s="55">
        <v>45306.7268981481</v>
      </c>
      <c r="B213" s="56">
        <v>45306.7406018519</v>
      </c>
      <c r="C213" s="35">
        <v>492</v>
      </c>
      <c r="D213" s="35" t="s">
        <v>39</v>
      </c>
      <c r="E213" s="35" t="s">
        <v>39</v>
      </c>
      <c r="F213" s="35" t="s">
        <v>40</v>
      </c>
      <c r="G213" s="35" t="s">
        <v>35</v>
      </c>
      <c r="H213" s="35">
        <f t="shared" si="9"/>
        <v>1</v>
      </c>
      <c r="I213" s="35"/>
      <c r="J213" s="35">
        <v>5</v>
      </c>
      <c r="K213" s="35">
        <f t="shared" si="10"/>
        <v>17</v>
      </c>
      <c r="L213" s="35" t="str">
        <f t="shared" si="11"/>
        <v>Morning</v>
      </c>
      <c r="M213" s="65"/>
      <c r="N213" s="65"/>
      <c r="O213" s="65"/>
      <c r="P213" s="66"/>
      <c r="Q213" s="35"/>
      <c r="R213" s="66"/>
      <c r="S213" s="73"/>
      <c r="T213" s="78"/>
    </row>
    <row r="214" spans="1:20">
      <c r="A214" s="55">
        <v>45317.3565740741</v>
      </c>
      <c r="B214" s="56">
        <v>45317.3697800926</v>
      </c>
      <c r="C214" s="35">
        <v>380</v>
      </c>
      <c r="D214" s="35" t="s">
        <v>43</v>
      </c>
      <c r="E214" s="35" t="s">
        <v>33</v>
      </c>
      <c r="F214" s="35" t="s">
        <v>40</v>
      </c>
      <c r="G214" s="35" t="s">
        <v>35</v>
      </c>
      <c r="H214" s="35">
        <f t="shared" si="9"/>
        <v>1</v>
      </c>
      <c r="I214" s="35"/>
      <c r="J214" s="35">
        <v>5</v>
      </c>
      <c r="K214" s="35">
        <f t="shared" si="10"/>
        <v>8</v>
      </c>
      <c r="L214" s="35" t="str">
        <f t="shared" si="11"/>
        <v>Morning</v>
      </c>
      <c r="M214" s="65"/>
      <c r="N214" s="65"/>
      <c r="O214" s="65"/>
      <c r="P214" s="66"/>
      <c r="Q214" s="35"/>
      <c r="R214" s="66"/>
      <c r="S214" s="73"/>
      <c r="T214" s="78"/>
    </row>
    <row r="215" spans="1:20">
      <c r="A215" s="55">
        <v>45310.4238425926</v>
      </c>
      <c r="B215" s="56">
        <v>45310.4368634259</v>
      </c>
      <c r="C215" s="35">
        <v>462</v>
      </c>
      <c r="D215" s="35" t="s">
        <v>43</v>
      </c>
      <c r="E215" s="35" t="s">
        <v>39</v>
      </c>
      <c r="F215" s="35" t="s">
        <v>34</v>
      </c>
      <c r="G215" s="35" t="s">
        <v>35</v>
      </c>
      <c r="H215" s="35">
        <f t="shared" si="9"/>
        <v>1</v>
      </c>
      <c r="I215" s="35"/>
      <c r="J215" s="35">
        <v>3</v>
      </c>
      <c r="K215" s="35">
        <f t="shared" si="10"/>
        <v>10</v>
      </c>
      <c r="L215" s="35" t="str">
        <f t="shared" si="11"/>
        <v>Morning</v>
      </c>
      <c r="M215" s="65"/>
      <c r="N215" s="65"/>
      <c r="O215" s="65"/>
      <c r="P215" s="66"/>
      <c r="Q215" s="35"/>
      <c r="R215" s="66"/>
      <c r="S215" s="73"/>
      <c r="T215" s="78"/>
    </row>
    <row r="216" spans="1:20">
      <c r="A216" s="55">
        <v>45308.8687847222</v>
      </c>
      <c r="B216" s="56">
        <v>45308.8802199074</v>
      </c>
      <c r="C216" s="35">
        <v>145</v>
      </c>
      <c r="D216" s="35" t="s">
        <v>39</v>
      </c>
      <c r="E216" s="35" t="s">
        <v>32</v>
      </c>
      <c r="F216" s="35" t="s">
        <v>38</v>
      </c>
      <c r="G216" s="35" t="s">
        <v>35</v>
      </c>
      <c r="H216" s="35">
        <f t="shared" si="9"/>
        <v>1</v>
      </c>
      <c r="I216" s="35"/>
      <c r="J216" s="35">
        <v>5</v>
      </c>
      <c r="K216" s="35">
        <f t="shared" si="10"/>
        <v>20</v>
      </c>
      <c r="L216" s="35" t="str">
        <f t="shared" si="11"/>
        <v>Evening</v>
      </c>
      <c r="M216" s="65"/>
      <c r="N216" s="65"/>
      <c r="O216" s="65"/>
      <c r="P216" s="66"/>
      <c r="Q216" s="35"/>
      <c r="R216" s="66"/>
      <c r="S216" s="73"/>
      <c r="T216" s="78"/>
    </row>
    <row r="217" spans="1:20">
      <c r="A217" s="55">
        <v>45313.6569560185</v>
      </c>
      <c r="B217" s="56">
        <v>45313.667025463</v>
      </c>
      <c r="C217" s="35">
        <v>270</v>
      </c>
      <c r="D217" s="35" t="s">
        <v>43</v>
      </c>
      <c r="E217" s="35" t="s">
        <v>39</v>
      </c>
      <c r="F217" s="35" t="s">
        <v>34</v>
      </c>
      <c r="G217" s="35" t="s">
        <v>36</v>
      </c>
      <c r="H217" s="35">
        <f t="shared" si="9"/>
        <v>0</v>
      </c>
      <c r="I217" s="35"/>
      <c r="J217" s="35">
        <v>2</v>
      </c>
      <c r="K217" s="35">
        <f t="shared" si="10"/>
        <v>15</v>
      </c>
      <c r="L217" s="35" t="str">
        <f t="shared" si="11"/>
        <v>Morning</v>
      </c>
      <c r="M217" s="65"/>
      <c r="N217" s="65"/>
      <c r="O217" s="65"/>
      <c r="P217" s="66"/>
      <c r="Q217" s="35"/>
      <c r="R217" s="66"/>
      <c r="S217" s="73"/>
      <c r="T217" s="78"/>
    </row>
    <row r="218" spans="1:20">
      <c r="A218" s="55">
        <v>45309.3332986111</v>
      </c>
      <c r="B218" s="56">
        <v>45309.335625</v>
      </c>
      <c r="C218" s="35">
        <v>493</v>
      </c>
      <c r="D218" s="35" t="s">
        <v>43</v>
      </c>
      <c r="E218" s="35" t="s">
        <v>41</v>
      </c>
      <c r="F218" s="35" t="s">
        <v>38</v>
      </c>
      <c r="G218" s="35" t="s">
        <v>36</v>
      </c>
      <c r="H218" s="35">
        <f t="shared" si="9"/>
        <v>0</v>
      </c>
      <c r="I218" s="35"/>
      <c r="J218" s="35">
        <v>1</v>
      </c>
      <c r="K218" s="35">
        <f t="shared" si="10"/>
        <v>7</v>
      </c>
      <c r="L218" s="35" t="str">
        <f t="shared" si="11"/>
        <v>Morning</v>
      </c>
      <c r="M218" s="65"/>
      <c r="N218" s="65"/>
      <c r="O218" s="65"/>
      <c r="P218" s="66"/>
      <c r="Q218" s="35"/>
      <c r="R218" s="66"/>
      <c r="S218" s="73"/>
      <c r="T218" s="78"/>
    </row>
    <row r="219" spans="1:20">
      <c r="A219" s="55">
        <v>45312.8082986111</v>
      </c>
      <c r="B219" s="56">
        <v>45312.8180555556</v>
      </c>
      <c r="C219" s="35">
        <v>469</v>
      </c>
      <c r="D219" s="35" t="s">
        <v>42</v>
      </c>
      <c r="E219" s="35" t="s">
        <v>32</v>
      </c>
      <c r="F219" s="35" t="s">
        <v>40</v>
      </c>
      <c r="G219" s="35" t="s">
        <v>35</v>
      </c>
      <c r="H219" s="35">
        <f t="shared" si="9"/>
        <v>1</v>
      </c>
      <c r="I219" s="35"/>
      <c r="J219" s="35">
        <v>5</v>
      </c>
      <c r="K219" s="35">
        <f t="shared" si="10"/>
        <v>19</v>
      </c>
      <c r="L219" s="35" t="str">
        <f t="shared" si="11"/>
        <v>Evening</v>
      </c>
      <c r="M219" s="65"/>
      <c r="N219" s="65"/>
      <c r="O219" s="65"/>
      <c r="P219" s="66"/>
      <c r="Q219" s="35"/>
      <c r="R219" s="66"/>
      <c r="S219" s="73"/>
      <c r="T219" s="78"/>
    </row>
    <row r="220" spans="1:20">
      <c r="A220" s="55">
        <v>45309.445775463</v>
      </c>
      <c r="B220" s="56">
        <v>45309.4547106481</v>
      </c>
      <c r="C220" s="35">
        <v>131</v>
      </c>
      <c r="D220" s="35" t="s">
        <v>32</v>
      </c>
      <c r="E220" s="35" t="s">
        <v>32</v>
      </c>
      <c r="F220" s="35" t="s">
        <v>34</v>
      </c>
      <c r="G220" s="35" t="s">
        <v>36</v>
      </c>
      <c r="H220" s="35">
        <f t="shared" si="9"/>
        <v>0</v>
      </c>
      <c r="I220" s="35"/>
      <c r="J220" s="35">
        <v>1</v>
      </c>
      <c r="K220" s="35">
        <f t="shared" si="10"/>
        <v>10</v>
      </c>
      <c r="L220" s="35" t="str">
        <f t="shared" si="11"/>
        <v>Morning</v>
      </c>
      <c r="M220" s="65"/>
      <c r="N220" s="65"/>
      <c r="O220" s="65"/>
      <c r="P220" s="66"/>
      <c r="Q220" s="35"/>
      <c r="R220" s="66"/>
      <c r="S220" s="73"/>
      <c r="T220" s="78"/>
    </row>
    <row r="221" spans="1:20">
      <c r="A221" s="55">
        <v>45292.6456365741</v>
      </c>
      <c r="B221" s="56">
        <v>45292.6633680556</v>
      </c>
      <c r="C221" s="35">
        <v>567</v>
      </c>
      <c r="D221" s="35" t="s">
        <v>42</v>
      </c>
      <c r="E221" s="35" t="s">
        <v>32</v>
      </c>
      <c r="F221" s="35" t="s">
        <v>40</v>
      </c>
      <c r="G221" s="35" t="s">
        <v>36</v>
      </c>
      <c r="H221" s="35">
        <f t="shared" si="9"/>
        <v>0</v>
      </c>
      <c r="I221" s="35"/>
      <c r="J221" s="35">
        <v>2</v>
      </c>
      <c r="K221" s="35">
        <f t="shared" si="10"/>
        <v>15</v>
      </c>
      <c r="L221" s="35" t="str">
        <f t="shared" si="11"/>
        <v>Morning</v>
      </c>
      <c r="M221" s="65"/>
      <c r="N221" s="65"/>
      <c r="O221" s="65"/>
      <c r="P221" s="66"/>
      <c r="Q221" s="35"/>
      <c r="R221" s="66"/>
      <c r="S221" s="73"/>
      <c r="T221" s="78"/>
    </row>
    <row r="222" spans="1:20">
      <c r="A222" s="55">
        <v>45315.3769791667</v>
      </c>
      <c r="B222" s="56">
        <v>45315.3933217593</v>
      </c>
      <c r="C222" s="35">
        <v>439</v>
      </c>
      <c r="D222" s="35" t="s">
        <v>39</v>
      </c>
      <c r="E222" s="35" t="s">
        <v>33</v>
      </c>
      <c r="F222" s="35" t="s">
        <v>40</v>
      </c>
      <c r="G222" s="35" t="s">
        <v>36</v>
      </c>
      <c r="H222" s="35">
        <f t="shared" si="9"/>
        <v>0</v>
      </c>
      <c r="I222" s="35"/>
      <c r="J222" s="35">
        <v>1</v>
      </c>
      <c r="K222" s="35">
        <f t="shared" si="10"/>
        <v>9</v>
      </c>
      <c r="L222" s="35" t="str">
        <f t="shared" si="11"/>
        <v>Morning</v>
      </c>
      <c r="M222" s="65"/>
      <c r="N222" s="65"/>
      <c r="O222" s="65"/>
      <c r="P222" s="66"/>
      <c r="Q222" s="35"/>
      <c r="R222" s="66"/>
      <c r="S222" s="73"/>
      <c r="T222" s="78"/>
    </row>
    <row r="223" spans="1:20">
      <c r="A223" s="55">
        <v>45311.3026273148</v>
      </c>
      <c r="B223" s="56">
        <v>45311.3043634259</v>
      </c>
      <c r="C223" s="35">
        <v>421</v>
      </c>
      <c r="D223" s="35" t="s">
        <v>42</v>
      </c>
      <c r="E223" s="35" t="s">
        <v>39</v>
      </c>
      <c r="F223" s="35" t="s">
        <v>34</v>
      </c>
      <c r="G223" s="35" t="s">
        <v>36</v>
      </c>
      <c r="H223" s="35">
        <f t="shared" si="9"/>
        <v>0</v>
      </c>
      <c r="I223" s="35"/>
      <c r="J223" s="35">
        <v>1</v>
      </c>
      <c r="K223" s="35">
        <f t="shared" si="10"/>
        <v>7</v>
      </c>
      <c r="L223" s="35" t="str">
        <f t="shared" si="11"/>
        <v>Morning</v>
      </c>
      <c r="M223" s="65"/>
      <c r="N223" s="65"/>
      <c r="O223" s="65"/>
      <c r="P223" s="66"/>
      <c r="Q223" s="35"/>
      <c r="R223" s="66"/>
      <c r="S223" s="73"/>
      <c r="T223" s="78"/>
    </row>
    <row r="224" spans="1:20">
      <c r="A224" s="55">
        <v>45299.6921064815</v>
      </c>
      <c r="B224" s="56">
        <v>45299.7111111111</v>
      </c>
      <c r="C224" s="35">
        <v>338</v>
      </c>
      <c r="D224" s="35" t="s">
        <v>32</v>
      </c>
      <c r="E224" s="35" t="s">
        <v>41</v>
      </c>
      <c r="F224" s="35" t="s">
        <v>40</v>
      </c>
      <c r="G224" s="35" t="s">
        <v>35</v>
      </c>
      <c r="H224" s="35">
        <f t="shared" si="9"/>
        <v>1</v>
      </c>
      <c r="I224" s="35"/>
      <c r="J224" s="35">
        <v>5</v>
      </c>
      <c r="K224" s="35">
        <f t="shared" si="10"/>
        <v>16</v>
      </c>
      <c r="L224" s="35" t="str">
        <f t="shared" si="11"/>
        <v>Morning</v>
      </c>
      <c r="M224" s="65"/>
      <c r="N224" s="65"/>
      <c r="O224" s="65"/>
      <c r="P224" s="66"/>
      <c r="Q224" s="35"/>
      <c r="R224" s="66"/>
      <c r="S224" s="73"/>
      <c r="T224" s="78"/>
    </row>
    <row r="225" spans="1:20">
      <c r="A225" s="55">
        <v>45305.6368402778</v>
      </c>
      <c r="B225" s="56">
        <v>45305.6507291667</v>
      </c>
      <c r="C225" s="35">
        <v>189</v>
      </c>
      <c r="D225" s="35" t="s">
        <v>42</v>
      </c>
      <c r="E225" s="35" t="s">
        <v>32</v>
      </c>
      <c r="F225" s="35" t="s">
        <v>40</v>
      </c>
      <c r="G225" s="35" t="s">
        <v>35</v>
      </c>
      <c r="H225" s="35">
        <f t="shared" si="9"/>
        <v>1</v>
      </c>
      <c r="I225" s="35"/>
      <c r="J225" s="35">
        <v>5</v>
      </c>
      <c r="K225" s="35">
        <f t="shared" si="10"/>
        <v>15</v>
      </c>
      <c r="L225" s="35" t="str">
        <f t="shared" si="11"/>
        <v>Morning</v>
      </c>
      <c r="M225" s="65"/>
      <c r="N225" s="65"/>
      <c r="O225" s="65"/>
      <c r="P225" s="66"/>
      <c r="Q225" s="35"/>
      <c r="R225" s="66"/>
      <c r="S225" s="73"/>
      <c r="T225" s="78"/>
    </row>
    <row r="226" spans="1:20">
      <c r="A226" s="55">
        <v>45304.9310648148</v>
      </c>
      <c r="B226" s="56">
        <v>45304.9416203704</v>
      </c>
      <c r="C226" s="35">
        <v>428</v>
      </c>
      <c r="D226" s="35" t="s">
        <v>32</v>
      </c>
      <c r="E226" s="35" t="s">
        <v>41</v>
      </c>
      <c r="F226" s="35" t="s">
        <v>38</v>
      </c>
      <c r="G226" s="35" t="s">
        <v>36</v>
      </c>
      <c r="H226" s="35">
        <f t="shared" si="9"/>
        <v>0</v>
      </c>
      <c r="I226" s="35"/>
      <c r="J226" s="35">
        <v>3</v>
      </c>
      <c r="K226" s="35">
        <f t="shared" si="10"/>
        <v>22</v>
      </c>
      <c r="L226" s="35" t="str">
        <f t="shared" si="11"/>
        <v>Evening</v>
      </c>
      <c r="M226" s="65"/>
      <c r="N226" s="65"/>
      <c r="O226" s="65"/>
      <c r="P226" s="66"/>
      <c r="Q226" s="35"/>
      <c r="R226" s="66"/>
      <c r="S226" s="73"/>
      <c r="T226" s="78"/>
    </row>
    <row r="227" spans="1:20">
      <c r="A227" s="55">
        <v>45299.6630208333</v>
      </c>
      <c r="B227" s="56">
        <v>45299.6671296296</v>
      </c>
      <c r="C227" s="35">
        <v>484</v>
      </c>
      <c r="D227" s="35" t="s">
        <v>43</v>
      </c>
      <c r="E227" s="35" t="s">
        <v>32</v>
      </c>
      <c r="F227" s="35" t="s">
        <v>38</v>
      </c>
      <c r="G227" s="35" t="s">
        <v>35</v>
      </c>
      <c r="H227" s="35">
        <f t="shared" si="9"/>
        <v>1</v>
      </c>
      <c r="I227" s="35"/>
      <c r="J227" s="35">
        <v>3</v>
      </c>
      <c r="K227" s="35">
        <f t="shared" si="10"/>
        <v>15</v>
      </c>
      <c r="L227" s="35" t="str">
        <f t="shared" si="11"/>
        <v>Morning</v>
      </c>
      <c r="M227" s="65"/>
      <c r="N227" s="65"/>
      <c r="O227" s="65"/>
      <c r="P227" s="66"/>
      <c r="Q227" s="35"/>
      <c r="R227" s="66"/>
      <c r="S227" s="73"/>
      <c r="T227" s="78"/>
    </row>
    <row r="228" spans="1:20">
      <c r="A228" s="55">
        <v>45299.5926041667</v>
      </c>
      <c r="B228" s="56">
        <v>45299.6086226852</v>
      </c>
      <c r="C228" s="35">
        <v>90</v>
      </c>
      <c r="D228" s="35" t="s">
        <v>42</v>
      </c>
      <c r="E228" s="35" t="s">
        <v>41</v>
      </c>
      <c r="F228" s="35" t="s">
        <v>40</v>
      </c>
      <c r="G228" s="35" t="s">
        <v>35</v>
      </c>
      <c r="H228" s="35">
        <f t="shared" si="9"/>
        <v>1</v>
      </c>
      <c r="I228" s="35"/>
      <c r="J228" s="35">
        <v>3</v>
      </c>
      <c r="K228" s="35">
        <f t="shared" si="10"/>
        <v>14</v>
      </c>
      <c r="L228" s="35" t="str">
        <f t="shared" si="11"/>
        <v>Morning</v>
      </c>
      <c r="M228" s="65"/>
      <c r="N228" s="65"/>
      <c r="O228" s="65"/>
      <c r="P228" s="66"/>
      <c r="Q228" s="35"/>
      <c r="R228" s="66"/>
      <c r="S228" s="73"/>
      <c r="T228" s="78"/>
    </row>
    <row r="229" spans="1:20">
      <c r="A229" s="55">
        <v>45300.7803009259</v>
      </c>
      <c r="B229" s="56">
        <v>45300.7952777778</v>
      </c>
      <c r="C229" s="35">
        <v>50</v>
      </c>
      <c r="D229" s="35" t="s">
        <v>43</v>
      </c>
      <c r="E229" s="35" t="s">
        <v>39</v>
      </c>
      <c r="F229" s="35" t="s">
        <v>34</v>
      </c>
      <c r="G229" s="35" t="s">
        <v>35</v>
      </c>
      <c r="H229" s="35">
        <f t="shared" si="9"/>
        <v>1</v>
      </c>
      <c r="I229" s="35"/>
      <c r="J229" s="35">
        <v>5</v>
      </c>
      <c r="K229" s="35">
        <f t="shared" si="10"/>
        <v>18</v>
      </c>
      <c r="L229" s="35" t="str">
        <f t="shared" si="11"/>
        <v>Morning</v>
      </c>
      <c r="M229" s="65"/>
      <c r="N229" s="65"/>
      <c r="O229" s="65"/>
      <c r="P229" s="66"/>
      <c r="Q229" s="35"/>
      <c r="R229" s="66"/>
      <c r="S229" s="73"/>
      <c r="T229" s="78"/>
    </row>
    <row r="230" spans="1:20">
      <c r="A230" s="55">
        <v>45307.5388657407</v>
      </c>
      <c r="B230" s="56">
        <v>45307.5474421296</v>
      </c>
      <c r="C230" s="35">
        <v>320</v>
      </c>
      <c r="D230" s="35" t="s">
        <v>43</v>
      </c>
      <c r="E230" s="35" t="s">
        <v>39</v>
      </c>
      <c r="F230" s="35" t="s">
        <v>40</v>
      </c>
      <c r="G230" s="35" t="s">
        <v>35</v>
      </c>
      <c r="H230" s="35">
        <f t="shared" si="9"/>
        <v>1</v>
      </c>
      <c r="I230" s="35"/>
      <c r="J230" s="35">
        <v>3</v>
      </c>
      <c r="K230" s="35">
        <f t="shared" si="10"/>
        <v>12</v>
      </c>
      <c r="L230" s="35" t="str">
        <f t="shared" si="11"/>
        <v>Morning</v>
      </c>
      <c r="M230" s="65"/>
      <c r="N230" s="65"/>
      <c r="O230" s="65"/>
      <c r="P230" s="66"/>
      <c r="Q230" s="35"/>
      <c r="R230" s="66"/>
      <c r="S230" s="73"/>
      <c r="T230" s="78"/>
    </row>
    <row r="231" spans="1:20">
      <c r="A231" s="55">
        <v>45316.9154513889</v>
      </c>
      <c r="B231" s="56">
        <v>45316.9326273148</v>
      </c>
      <c r="C231" s="35">
        <v>219</v>
      </c>
      <c r="D231" s="35" t="s">
        <v>42</v>
      </c>
      <c r="E231" s="35" t="s">
        <v>39</v>
      </c>
      <c r="F231" s="35" t="s">
        <v>34</v>
      </c>
      <c r="G231" s="35" t="s">
        <v>35</v>
      </c>
      <c r="H231" s="35">
        <f t="shared" si="9"/>
        <v>1</v>
      </c>
      <c r="I231" s="35"/>
      <c r="J231" s="35">
        <v>4</v>
      </c>
      <c r="K231" s="35">
        <f t="shared" si="10"/>
        <v>21</v>
      </c>
      <c r="L231" s="35" t="str">
        <f t="shared" si="11"/>
        <v>Evening</v>
      </c>
      <c r="M231" s="65"/>
      <c r="N231" s="65"/>
      <c r="O231" s="65"/>
      <c r="P231" s="66"/>
      <c r="Q231" s="35"/>
      <c r="R231" s="66"/>
      <c r="S231" s="73"/>
      <c r="T231" s="78"/>
    </row>
    <row r="232" spans="1:20">
      <c r="A232" s="55">
        <v>45306.721712963</v>
      </c>
      <c r="B232" s="56">
        <v>45306.7309259259</v>
      </c>
      <c r="C232" s="35">
        <v>535</v>
      </c>
      <c r="D232" s="35" t="s">
        <v>42</v>
      </c>
      <c r="E232" s="35" t="s">
        <v>32</v>
      </c>
      <c r="F232" s="35" t="s">
        <v>40</v>
      </c>
      <c r="G232" s="35" t="s">
        <v>35</v>
      </c>
      <c r="H232" s="35">
        <f t="shared" si="9"/>
        <v>1</v>
      </c>
      <c r="I232" s="35"/>
      <c r="J232" s="35">
        <v>5</v>
      </c>
      <c r="K232" s="35">
        <f t="shared" si="10"/>
        <v>17</v>
      </c>
      <c r="L232" s="35" t="str">
        <f t="shared" si="11"/>
        <v>Morning</v>
      </c>
      <c r="M232" s="65"/>
      <c r="N232" s="65"/>
      <c r="O232" s="65"/>
      <c r="P232" s="66"/>
      <c r="Q232" s="35"/>
      <c r="R232" s="66"/>
      <c r="S232" s="73"/>
      <c r="T232" s="78"/>
    </row>
    <row r="233" spans="1:20">
      <c r="A233" s="55">
        <v>45316.7070949074</v>
      </c>
      <c r="B233" s="56">
        <v>45316.7165740741</v>
      </c>
      <c r="C233" s="35">
        <v>330</v>
      </c>
      <c r="D233" s="35" t="s">
        <v>42</v>
      </c>
      <c r="E233" s="35" t="s">
        <v>33</v>
      </c>
      <c r="F233" s="35" t="s">
        <v>34</v>
      </c>
      <c r="G233" s="35" t="s">
        <v>35</v>
      </c>
      <c r="H233" s="35">
        <f t="shared" si="9"/>
        <v>1</v>
      </c>
      <c r="I233" s="35"/>
      <c r="J233" s="35">
        <v>5</v>
      </c>
      <c r="K233" s="35">
        <f t="shared" si="10"/>
        <v>16</v>
      </c>
      <c r="L233" s="35" t="str">
        <f t="shared" si="11"/>
        <v>Morning</v>
      </c>
      <c r="M233" s="65"/>
      <c r="N233" s="65"/>
      <c r="O233" s="65"/>
      <c r="P233" s="66"/>
      <c r="Q233" s="35"/>
      <c r="R233" s="66"/>
      <c r="S233" s="73"/>
      <c r="T233" s="78"/>
    </row>
    <row r="234" spans="1:20">
      <c r="A234" s="55">
        <v>45292.6083217593</v>
      </c>
      <c r="B234" s="56">
        <v>45292.6228587963</v>
      </c>
      <c r="C234" s="35">
        <v>437</v>
      </c>
      <c r="D234" s="35" t="s">
        <v>37</v>
      </c>
      <c r="E234" s="35" t="s">
        <v>39</v>
      </c>
      <c r="F234" s="35" t="s">
        <v>40</v>
      </c>
      <c r="G234" s="35" t="s">
        <v>35</v>
      </c>
      <c r="H234" s="35">
        <f t="shared" si="9"/>
        <v>1</v>
      </c>
      <c r="I234" s="35"/>
      <c r="J234" s="35">
        <v>4</v>
      </c>
      <c r="K234" s="35">
        <f t="shared" si="10"/>
        <v>14</v>
      </c>
      <c r="L234" s="35" t="str">
        <f t="shared" si="11"/>
        <v>Morning</v>
      </c>
      <c r="M234" s="65"/>
      <c r="N234" s="65"/>
      <c r="O234" s="65"/>
      <c r="P234" s="66"/>
      <c r="Q234" s="35"/>
      <c r="R234" s="66"/>
      <c r="S234" s="73"/>
      <c r="T234" s="78"/>
    </row>
    <row r="235" spans="1:20">
      <c r="A235" s="55">
        <v>45318.563599537</v>
      </c>
      <c r="B235" s="56">
        <v>45318.5798032407</v>
      </c>
      <c r="C235" s="35">
        <v>355</v>
      </c>
      <c r="D235" s="35" t="s">
        <v>37</v>
      </c>
      <c r="E235" s="35" t="s">
        <v>32</v>
      </c>
      <c r="F235" s="35" t="s">
        <v>34</v>
      </c>
      <c r="G235" s="35" t="s">
        <v>35</v>
      </c>
      <c r="H235" s="35">
        <f t="shared" si="9"/>
        <v>1</v>
      </c>
      <c r="I235" s="35"/>
      <c r="J235" s="35">
        <v>4</v>
      </c>
      <c r="K235" s="35">
        <f t="shared" si="10"/>
        <v>13</v>
      </c>
      <c r="L235" s="35" t="str">
        <f t="shared" si="11"/>
        <v>Morning</v>
      </c>
      <c r="M235" s="65"/>
      <c r="N235" s="65"/>
      <c r="O235" s="65"/>
      <c r="P235" s="66"/>
      <c r="Q235" s="35"/>
      <c r="R235" s="66"/>
      <c r="S235" s="73"/>
      <c r="T235" s="78"/>
    </row>
    <row r="236" spans="1:20">
      <c r="A236" s="55">
        <v>45297.7153703704</v>
      </c>
      <c r="B236" s="56">
        <v>45297.7331365741</v>
      </c>
      <c r="C236" s="35">
        <v>569</v>
      </c>
      <c r="D236" s="35" t="s">
        <v>42</v>
      </c>
      <c r="E236" s="35" t="s">
        <v>39</v>
      </c>
      <c r="F236" s="35" t="s">
        <v>34</v>
      </c>
      <c r="G236" s="35" t="s">
        <v>35</v>
      </c>
      <c r="H236" s="35">
        <f t="shared" si="9"/>
        <v>1</v>
      </c>
      <c r="I236" s="35"/>
      <c r="J236" s="35">
        <v>3</v>
      </c>
      <c r="K236" s="35">
        <f t="shared" si="10"/>
        <v>17</v>
      </c>
      <c r="L236" s="35" t="str">
        <f t="shared" si="11"/>
        <v>Morning</v>
      </c>
      <c r="M236" s="65"/>
      <c r="N236" s="65"/>
      <c r="O236" s="65"/>
      <c r="P236" s="66"/>
      <c r="Q236" s="35"/>
      <c r="R236" s="66"/>
      <c r="S236" s="73"/>
      <c r="T236" s="78"/>
    </row>
    <row r="237" spans="1:20">
      <c r="A237" s="55">
        <v>45293.3699305556</v>
      </c>
      <c r="B237" s="56">
        <v>45293.3717708333</v>
      </c>
      <c r="C237" s="35">
        <v>16</v>
      </c>
      <c r="D237" s="35" t="s">
        <v>42</v>
      </c>
      <c r="E237" s="35" t="s">
        <v>39</v>
      </c>
      <c r="F237" s="35" t="s">
        <v>34</v>
      </c>
      <c r="G237" s="35" t="s">
        <v>36</v>
      </c>
      <c r="H237" s="35">
        <f t="shared" si="9"/>
        <v>0</v>
      </c>
      <c r="I237" s="35"/>
      <c r="J237" s="35">
        <v>3</v>
      </c>
      <c r="K237" s="35">
        <f t="shared" si="10"/>
        <v>8</v>
      </c>
      <c r="L237" s="35" t="str">
        <f t="shared" si="11"/>
        <v>Morning</v>
      </c>
      <c r="M237" s="65"/>
      <c r="N237" s="65"/>
      <c r="O237" s="65"/>
      <c r="P237" s="66"/>
      <c r="Q237" s="35"/>
      <c r="R237" s="66"/>
      <c r="S237" s="73"/>
      <c r="T237" s="78"/>
    </row>
    <row r="238" spans="1:20">
      <c r="A238" s="55">
        <v>45308.8493402778</v>
      </c>
      <c r="B238" s="56">
        <v>45308.8646759259</v>
      </c>
      <c r="C238" s="35">
        <v>504</v>
      </c>
      <c r="D238" s="35" t="s">
        <v>42</v>
      </c>
      <c r="E238" s="35" t="s">
        <v>33</v>
      </c>
      <c r="F238" s="35" t="s">
        <v>40</v>
      </c>
      <c r="G238" s="35" t="s">
        <v>35</v>
      </c>
      <c r="H238" s="35">
        <f t="shared" si="9"/>
        <v>1</v>
      </c>
      <c r="I238" s="35"/>
      <c r="J238" s="35">
        <v>4</v>
      </c>
      <c r="K238" s="35">
        <f t="shared" si="10"/>
        <v>20</v>
      </c>
      <c r="L238" s="35" t="str">
        <f t="shared" si="11"/>
        <v>Evening</v>
      </c>
      <c r="M238" s="65"/>
      <c r="N238" s="65"/>
      <c r="O238" s="65"/>
      <c r="P238" s="66"/>
      <c r="Q238" s="35"/>
      <c r="R238" s="66"/>
      <c r="S238" s="73"/>
      <c r="T238" s="78"/>
    </row>
    <row r="239" spans="1:20">
      <c r="A239" s="55">
        <v>45292.9488078704</v>
      </c>
      <c r="B239" s="56">
        <v>45292.9621990741</v>
      </c>
      <c r="C239" s="35">
        <v>303</v>
      </c>
      <c r="D239" s="35" t="s">
        <v>43</v>
      </c>
      <c r="E239" s="35" t="s">
        <v>32</v>
      </c>
      <c r="F239" s="35" t="s">
        <v>40</v>
      </c>
      <c r="G239" s="35" t="s">
        <v>36</v>
      </c>
      <c r="H239" s="35">
        <f t="shared" si="9"/>
        <v>0</v>
      </c>
      <c r="I239" s="35"/>
      <c r="J239" s="35">
        <v>1</v>
      </c>
      <c r="K239" s="35">
        <f t="shared" si="10"/>
        <v>22</v>
      </c>
      <c r="L239" s="35" t="str">
        <f t="shared" si="11"/>
        <v>Evening</v>
      </c>
      <c r="M239" s="65"/>
      <c r="N239" s="65"/>
      <c r="O239" s="65"/>
      <c r="P239" s="66"/>
      <c r="Q239" s="35"/>
      <c r="R239" s="66"/>
      <c r="S239" s="73"/>
      <c r="T239" s="78"/>
    </row>
    <row r="240" spans="1:20">
      <c r="A240" s="55">
        <v>45298.9283796296</v>
      </c>
      <c r="B240" s="56">
        <v>45298.9374652778</v>
      </c>
      <c r="C240" s="35">
        <v>283</v>
      </c>
      <c r="D240" s="35" t="s">
        <v>42</v>
      </c>
      <c r="E240" s="35" t="s">
        <v>33</v>
      </c>
      <c r="F240" s="35" t="s">
        <v>38</v>
      </c>
      <c r="G240" s="35" t="s">
        <v>35</v>
      </c>
      <c r="H240" s="35">
        <f t="shared" si="9"/>
        <v>1</v>
      </c>
      <c r="I240" s="35"/>
      <c r="J240" s="35">
        <v>4</v>
      </c>
      <c r="K240" s="35">
        <f t="shared" si="10"/>
        <v>22</v>
      </c>
      <c r="L240" s="35" t="str">
        <f t="shared" si="11"/>
        <v>Evening</v>
      </c>
      <c r="M240" s="65"/>
      <c r="N240" s="65"/>
      <c r="O240" s="65"/>
      <c r="P240" s="66"/>
      <c r="Q240" s="35"/>
      <c r="R240" s="66"/>
      <c r="S240" s="73"/>
      <c r="T240" s="78"/>
    </row>
    <row r="241" spans="1:20">
      <c r="A241" s="55">
        <v>45299.5553587963</v>
      </c>
      <c r="B241" s="56">
        <v>45299.5756712963</v>
      </c>
      <c r="C241" s="35">
        <v>92</v>
      </c>
      <c r="D241" s="35" t="s">
        <v>43</v>
      </c>
      <c r="E241" s="35" t="s">
        <v>33</v>
      </c>
      <c r="F241" s="35" t="s">
        <v>38</v>
      </c>
      <c r="G241" s="35" t="s">
        <v>35</v>
      </c>
      <c r="H241" s="35">
        <f t="shared" si="9"/>
        <v>1</v>
      </c>
      <c r="I241" s="35"/>
      <c r="J241" s="35">
        <v>5</v>
      </c>
      <c r="K241" s="35">
        <f t="shared" si="10"/>
        <v>13</v>
      </c>
      <c r="L241" s="35" t="str">
        <f t="shared" si="11"/>
        <v>Morning</v>
      </c>
      <c r="M241" s="65"/>
      <c r="N241" s="65"/>
      <c r="O241" s="65"/>
      <c r="P241" s="66"/>
      <c r="Q241" s="35"/>
      <c r="R241" s="66"/>
      <c r="S241" s="73"/>
      <c r="T241" s="78"/>
    </row>
    <row r="242" spans="1:20">
      <c r="A242" s="55">
        <v>45293.2806712963</v>
      </c>
      <c r="B242" s="56">
        <v>45293.2833217593</v>
      </c>
      <c r="C242" s="35">
        <v>521</v>
      </c>
      <c r="D242" s="35" t="s">
        <v>42</v>
      </c>
      <c r="E242" s="35" t="s">
        <v>41</v>
      </c>
      <c r="F242" s="35" t="s">
        <v>34</v>
      </c>
      <c r="G242" s="35" t="s">
        <v>35</v>
      </c>
      <c r="H242" s="35">
        <f t="shared" si="9"/>
        <v>1</v>
      </c>
      <c r="I242" s="35"/>
      <c r="J242" s="35">
        <v>3</v>
      </c>
      <c r="K242" s="35">
        <f t="shared" si="10"/>
        <v>6</v>
      </c>
      <c r="L242" s="35" t="str">
        <f t="shared" si="11"/>
        <v>Morning</v>
      </c>
      <c r="M242" s="65"/>
      <c r="N242" s="65"/>
      <c r="O242" s="65"/>
      <c r="P242" s="66"/>
      <c r="Q242" s="35"/>
      <c r="R242" s="66"/>
      <c r="S242" s="73"/>
      <c r="T242" s="78"/>
    </row>
    <row r="243" spans="1:20">
      <c r="A243" s="55">
        <v>45308.3015393519</v>
      </c>
      <c r="B243" s="56">
        <v>45308.3186342593</v>
      </c>
      <c r="C243" s="35">
        <v>590</v>
      </c>
      <c r="D243" s="35" t="s">
        <v>42</v>
      </c>
      <c r="E243" s="35" t="s">
        <v>41</v>
      </c>
      <c r="F243" s="35" t="s">
        <v>40</v>
      </c>
      <c r="G243" s="35" t="s">
        <v>35</v>
      </c>
      <c r="H243" s="35">
        <f t="shared" si="9"/>
        <v>1</v>
      </c>
      <c r="I243" s="35"/>
      <c r="J243" s="35">
        <v>5</v>
      </c>
      <c r="K243" s="35">
        <f t="shared" si="10"/>
        <v>7</v>
      </c>
      <c r="L243" s="35" t="str">
        <f t="shared" si="11"/>
        <v>Morning</v>
      </c>
      <c r="M243" s="65"/>
      <c r="N243" s="65"/>
      <c r="O243" s="65"/>
      <c r="P243" s="66"/>
      <c r="Q243" s="35"/>
      <c r="R243" s="66"/>
      <c r="S243" s="73"/>
      <c r="T243" s="78"/>
    </row>
    <row r="244" spans="1:20">
      <c r="A244" s="55">
        <v>45300.2999884259</v>
      </c>
      <c r="B244" s="56">
        <v>45300.3081365741</v>
      </c>
      <c r="C244" s="35">
        <v>26</v>
      </c>
      <c r="D244" s="35" t="s">
        <v>32</v>
      </c>
      <c r="E244" s="35" t="s">
        <v>39</v>
      </c>
      <c r="F244" s="35" t="s">
        <v>34</v>
      </c>
      <c r="G244" s="35" t="s">
        <v>35</v>
      </c>
      <c r="H244" s="35">
        <f t="shared" si="9"/>
        <v>1</v>
      </c>
      <c r="I244" s="35"/>
      <c r="J244" s="35">
        <v>3</v>
      </c>
      <c r="K244" s="35">
        <f t="shared" si="10"/>
        <v>7</v>
      </c>
      <c r="L244" s="35" t="str">
        <f t="shared" si="11"/>
        <v>Morning</v>
      </c>
      <c r="M244" s="65"/>
      <c r="N244" s="65"/>
      <c r="O244" s="65"/>
      <c r="P244" s="66"/>
      <c r="Q244" s="35"/>
      <c r="R244" s="66"/>
      <c r="S244" s="73"/>
      <c r="T244" s="78"/>
    </row>
    <row r="245" spans="1:20">
      <c r="A245" s="55">
        <v>45297.5672800926</v>
      </c>
      <c r="B245" s="56">
        <v>45297.5881018518</v>
      </c>
      <c r="C245" s="35">
        <v>408</v>
      </c>
      <c r="D245" s="35" t="s">
        <v>39</v>
      </c>
      <c r="E245" s="35" t="s">
        <v>41</v>
      </c>
      <c r="F245" s="35" t="s">
        <v>38</v>
      </c>
      <c r="G245" s="35" t="s">
        <v>35</v>
      </c>
      <c r="H245" s="35">
        <f t="shared" si="9"/>
        <v>1</v>
      </c>
      <c r="I245" s="35"/>
      <c r="J245" s="35">
        <v>3</v>
      </c>
      <c r="K245" s="35">
        <f t="shared" si="10"/>
        <v>13</v>
      </c>
      <c r="L245" s="35" t="str">
        <f t="shared" si="11"/>
        <v>Morning</v>
      </c>
      <c r="M245" s="65"/>
      <c r="N245" s="65"/>
      <c r="O245" s="65"/>
      <c r="P245" s="66"/>
      <c r="Q245" s="35"/>
      <c r="R245" s="66"/>
      <c r="S245" s="73"/>
      <c r="T245" s="78"/>
    </row>
    <row r="246" spans="1:20">
      <c r="A246" s="55">
        <v>45314.356099537</v>
      </c>
      <c r="B246" s="56">
        <v>45314.3649884259</v>
      </c>
      <c r="C246" s="35">
        <v>64</v>
      </c>
      <c r="D246" s="35" t="s">
        <v>43</v>
      </c>
      <c r="E246" s="35" t="s">
        <v>32</v>
      </c>
      <c r="F246" s="35" t="s">
        <v>40</v>
      </c>
      <c r="G246" s="35" t="s">
        <v>35</v>
      </c>
      <c r="H246" s="35">
        <f t="shared" si="9"/>
        <v>1</v>
      </c>
      <c r="I246" s="35"/>
      <c r="J246" s="35">
        <v>4</v>
      </c>
      <c r="K246" s="35">
        <f t="shared" si="10"/>
        <v>8</v>
      </c>
      <c r="L246" s="35" t="str">
        <f t="shared" si="11"/>
        <v>Morning</v>
      </c>
      <c r="M246" s="65"/>
      <c r="N246" s="65"/>
      <c r="O246" s="65"/>
      <c r="P246" s="66"/>
      <c r="Q246" s="35"/>
      <c r="R246" s="66"/>
      <c r="S246" s="73"/>
      <c r="T246" s="78"/>
    </row>
    <row r="247" spans="1:20">
      <c r="A247" s="55">
        <v>45316.7842592593</v>
      </c>
      <c r="B247" s="56">
        <v>45316.7856481482</v>
      </c>
      <c r="C247" s="35">
        <v>289</v>
      </c>
      <c r="D247" s="35" t="s">
        <v>42</v>
      </c>
      <c r="E247" s="35" t="s">
        <v>32</v>
      </c>
      <c r="F247" s="35" t="s">
        <v>40</v>
      </c>
      <c r="G247" s="35" t="s">
        <v>35</v>
      </c>
      <c r="H247" s="35">
        <f t="shared" si="9"/>
        <v>1</v>
      </c>
      <c r="I247" s="35"/>
      <c r="J247" s="35">
        <v>4</v>
      </c>
      <c r="K247" s="35">
        <f t="shared" si="10"/>
        <v>18</v>
      </c>
      <c r="L247" s="35" t="str">
        <f t="shared" si="11"/>
        <v>Morning</v>
      </c>
      <c r="M247" s="65"/>
      <c r="N247" s="65"/>
      <c r="O247" s="65"/>
      <c r="P247" s="66"/>
      <c r="Q247" s="35"/>
      <c r="R247" s="66"/>
      <c r="S247" s="73"/>
      <c r="T247" s="78"/>
    </row>
    <row r="248" spans="1:20">
      <c r="A248" s="55">
        <v>45297.7540393519</v>
      </c>
      <c r="B248" s="56">
        <v>45297.7693865741</v>
      </c>
      <c r="C248" s="35">
        <v>312</v>
      </c>
      <c r="D248" s="35" t="s">
        <v>32</v>
      </c>
      <c r="E248" s="35" t="s">
        <v>33</v>
      </c>
      <c r="F248" s="35" t="s">
        <v>40</v>
      </c>
      <c r="G248" s="35" t="s">
        <v>35</v>
      </c>
      <c r="H248" s="35">
        <f t="shared" si="9"/>
        <v>1</v>
      </c>
      <c r="I248" s="35"/>
      <c r="J248" s="35">
        <v>4</v>
      </c>
      <c r="K248" s="35">
        <f t="shared" si="10"/>
        <v>18</v>
      </c>
      <c r="L248" s="35" t="str">
        <f t="shared" si="11"/>
        <v>Morning</v>
      </c>
      <c r="M248" s="65"/>
      <c r="N248" s="65"/>
      <c r="O248" s="65"/>
      <c r="P248" s="66"/>
      <c r="Q248" s="35"/>
      <c r="R248" s="66"/>
      <c r="S248" s="73"/>
      <c r="T248" s="78"/>
    </row>
    <row r="249" spans="1:20">
      <c r="A249" s="55">
        <v>45317.4495833333</v>
      </c>
      <c r="B249" s="56">
        <v>45317.4577777778</v>
      </c>
      <c r="C249" s="35">
        <v>379</v>
      </c>
      <c r="D249" s="35" t="s">
        <v>43</v>
      </c>
      <c r="E249" s="35" t="s">
        <v>33</v>
      </c>
      <c r="F249" s="35" t="s">
        <v>40</v>
      </c>
      <c r="G249" s="35" t="s">
        <v>35</v>
      </c>
      <c r="H249" s="35">
        <f t="shared" si="9"/>
        <v>1</v>
      </c>
      <c r="I249" s="35"/>
      <c r="J249" s="35">
        <v>4</v>
      </c>
      <c r="K249" s="35">
        <f t="shared" si="10"/>
        <v>10</v>
      </c>
      <c r="L249" s="35" t="str">
        <f t="shared" si="11"/>
        <v>Morning</v>
      </c>
      <c r="M249" s="65"/>
      <c r="N249" s="65"/>
      <c r="O249" s="65"/>
      <c r="P249" s="66"/>
      <c r="Q249" s="35"/>
      <c r="R249" s="66"/>
      <c r="S249" s="73"/>
      <c r="T249" s="78"/>
    </row>
    <row r="250" spans="1:20">
      <c r="A250" s="55">
        <v>45316.5875925926</v>
      </c>
      <c r="B250" s="56">
        <v>45316.5903472222</v>
      </c>
      <c r="C250" s="35">
        <v>201</v>
      </c>
      <c r="D250" s="35" t="s">
        <v>42</v>
      </c>
      <c r="E250" s="35" t="s">
        <v>32</v>
      </c>
      <c r="F250" s="35" t="s">
        <v>34</v>
      </c>
      <c r="G250" s="35" t="s">
        <v>35</v>
      </c>
      <c r="H250" s="35">
        <f t="shared" si="9"/>
        <v>1</v>
      </c>
      <c r="I250" s="35"/>
      <c r="J250" s="35">
        <v>4</v>
      </c>
      <c r="K250" s="35">
        <f t="shared" si="10"/>
        <v>14</v>
      </c>
      <c r="L250" s="35" t="str">
        <f t="shared" si="11"/>
        <v>Morning</v>
      </c>
      <c r="M250" s="65"/>
      <c r="N250" s="65"/>
      <c r="O250" s="65"/>
      <c r="P250" s="66"/>
      <c r="Q250" s="35"/>
      <c r="R250" s="66"/>
      <c r="S250" s="73"/>
      <c r="T250" s="78"/>
    </row>
    <row r="251" spans="1:20">
      <c r="A251" s="55">
        <v>45292.3490162037</v>
      </c>
      <c r="B251" s="56">
        <v>45292.3519097222</v>
      </c>
      <c r="C251" s="35">
        <v>342</v>
      </c>
      <c r="D251" s="35" t="s">
        <v>42</v>
      </c>
      <c r="E251" s="35" t="s">
        <v>33</v>
      </c>
      <c r="F251" s="35" t="s">
        <v>38</v>
      </c>
      <c r="G251" s="35" t="s">
        <v>35</v>
      </c>
      <c r="H251" s="35">
        <f t="shared" si="9"/>
        <v>1</v>
      </c>
      <c r="I251" s="35"/>
      <c r="J251" s="35">
        <v>3</v>
      </c>
      <c r="K251" s="35">
        <f t="shared" si="10"/>
        <v>8</v>
      </c>
      <c r="L251" s="35" t="str">
        <f t="shared" si="11"/>
        <v>Morning</v>
      </c>
      <c r="M251" s="65"/>
      <c r="N251" s="65"/>
      <c r="O251" s="65"/>
      <c r="P251" s="66"/>
      <c r="Q251" s="35"/>
      <c r="R251" s="66"/>
      <c r="S251" s="73"/>
      <c r="T251" s="78"/>
    </row>
    <row r="252" spans="1:20">
      <c r="A252" s="55">
        <v>45309.5670486111</v>
      </c>
      <c r="B252" s="56">
        <v>45309.5717592593</v>
      </c>
      <c r="C252" s="35">
        <v>399</v>
      </c>
      <c r="D252" s="35" t="s">
        <v>32</v>
      </c>
      <c r="E252" s="35" t="s">
        <v>39</v>
      </c>
      <c r="F252" s="35" t="s">
        <v>38</v>
      </c>
      <c r="G252" s="35" t="s">
        <v>35</v>
      </c>
      <c r="H252" s="35">
        <f t="shared" si="9"/>
        <v>1</v>
      </c>
      <c r="I252" s="35"/>
      <c r="J252" s="35">
        <v>4</v>
      </c>
      <c r="K252" s="35">
        <f t="shared" si="10"/>
        <v>13</v>
      </c>
      <c r="L252" s="35" t="str">
        <f t="shared" si="11"/>
        <v>Morning</v>
      </c>
      <c r="M252" s="65"/>
      <c r="N252" s="65"/>
      <c r="O252" s="65"/>
      <c r="P252" s="66"/>
      <c r="Q252" s="35"/>
      <c r="R252" s="66"/>
      <c r="S252" s="73"/>
      <c r="T252" s="78"/>
    </row>
    <row r="253" spans="1:20">
      <c r="A253" s="55">
        <v>45294.4772800926</v>
      </c>
      <c r="B253" s="56">
        <v>45294.4879513889</v>
      </c>
      <c r="C253" s="35">
        <v>316</v>
      </c>
      <c r="D253" s="35" t="s">
        <v>42</v>
      </c>
      <c r="E253" s="35" t="s">
        <v>33</v>
      </c>
      <c r="F253" s="35" t="s">
        <v>38</v>
      </c>
      <c r="G253" s="35" t="s">
        <v>35</v>
      </c>
      <c r="H253" s="35">
        <f t="shared" si="9"/>
        <v>1</v>
      </c>
      <c r="I253" s="35"/>
      <c r="J253" s="35">
        <v>3</v>
      </c>
      <c r="K253" s="35">
        <f t="shared" si="10"/>
        <v>11</v>
      </c>
      <c r="L253" s="35" t="str">
        <f t="shared" si="11"/>
        <v>Morning</v>
      </c>
      <c r="M253" s="65"/>
      <c r="N253" s="65"/>
      <c r="O253" s="65"/>
      <c r="P253" s="66"/>
      <c r="Q253" s="35"/>
      <c r="R253" s="66"/>
      <c r="S253" s="73"/>
      <c r="T253" s="78"/>
    </row>
    <row r="254" spans="1:20">
      <c r="A254" s="55">
        <v>45312.9018402778</v>
      </c>
      <c r="B254" s="56">
        <v>45312.9071643519</v>
      </c>
      <c r="C254" s="35">
        <v>478</v>
      </c>
      <c r="D254" s="35" t="s">
        <v>43</v>
      </c>
      <c r="E254" s="35" t="s">
        <v>39</v>
      </c>
      <c r="F254" s="35" t="s">
        <v>38</v>
      </c>
      <c r="G254" s="35" t="s">
        <v>36</v>
      </c>
      <c r="H254" s="35">
        <f t="shared" si="9"/>
        <v>0</v>
      </c>
      <c r="I254" s="35"/>
      <c r="J254" s="35">
        <v>2</v>
      </c>
      <c r="K254" s="35">
        <f t="shared" si="10"/>
        <v>21</v>
      </c>
      <c r="L254" s="35" t="str">
        <f t="shared" si="11"/>
        <v>Evening</v>
      </c>
      <c r="M254" s="65"/>
      <c r="N254" s="65"/>
      <c r="O254" s="65"/>
      <c r="P254" s="66"/>
      <c r="Q254" s="35"/>
      <c r="R254" s="66"/>
      <c r="S254" s="73"/>
      <c r="T254" s="78"/>
    </row>
    <row r="255" spans="1:20">
      <c r="A255" s="55">
        <v>45304.6863541667</v>
      </c>
      <c r="B255" s="56">
        <v>45304.6972453704</v>
      </c>
      <c r="C255" s="35">
        <v>149</v>
      </c>
      <c r="D255" s="35" t="s">
        <v>37</v>
      </c>
      <c r="E255" s="35" t="s">
        <v>41</v>
      </c>
      <c r="F255" s="35" t="s">
        <v>34</v>
      </c>
      <c r="G255" s="35" t="s">
        <v>35</v>
      </c>
      <c r="H255" s="35">
        <f t="shared" si="9"/>
        <v>1</v>
      </c>
      <c r="I255" s="35"/>
      <c r="J255" s="35">
        <v>3</v>
      </c>
      <c r="K255" s="35">
        <f t="shared" si="10"/>
        <v>16</v>
      </c>
      <c r="L255" s="35" t="str">
        <f t="shared" si="11"/>
        <v>Morning</v>
      </c>
      <c r="M255" s="65"/>
      <c r="N255" s="65"/>
      <c r="O255" s="65"/>
      <c r="P255" s="66"/>
      <c r="Q255" s="35"/>
      <c r="R255" s="66"/>
      <c r="S255" s="73"/>
      <c r="T255" s="78"/>
    </row>
    <row r="256" spans="1:20">
      <c r="A256" s="55">
        <v>45302.4759259259</v>
      </c>
      <c r="B256" s="56">
        <v>45302.4835185185</v>
      </c>
      <c r="C256" s="35">
        <v>512</v>
      </c>
      <c r="D256" s="35" t="s">
        <v>39</v>
      </c>
      <c r="E256" s="35" t="s">
        <v>39</v>
      </c>
      <c r="F256" s="35" t="s">
        <v>38</v>
      </c>
      <c r="G256" s="35" t="s">
        <v>35</v>
      </c>
      <c r="H256" s="35">
        <f t="shared" si="9"/>
        <v>1</v>
      </c>
      <c r="I256" s="35"/>
      <c r="J256" s="35">
        <v>4</v>
      </c>
      <c r="K256" s="35">
        <f t="shared" si="10"/>
        <v>11</v>
      </c>
      <c r="L256" s="35" t="str">
        <f t="shared" si="11"/>
        <v>Morning</v>
      </c>
      <c r="M256" s="65"/>
      <c r="N256" s="65"/>
      <c r="O256" s="65"/>
      <c r="P256" s="66"/>
      <c r="Q256" s="35"/>
      <c r="R256" s="66"/>
      <c r="S256" s="73"/>
      <c r="T256" s="78"/>
    </row>
    <row r="257" spans="1:20">
      <c r="A257" s="55">
        <v>45295.526087963</v>
      </c>
      <c r="B257" s="56">
        <v>45295.5310416667</v>
      </c>
      <c r="C257" s="35">
        <v>573</v>
      </c>
      <c r="D257" s="35" t="s">
        <v>43</v>
      </c>
      <c r="E257" s="35" t="s">
        <v>32</v>
      </c>
      <c r="F257" s="35" t="s">
        <v>34</v>
      </c>
      <c r="G257" s="35" t="s">
        <v>36</v>
      </c>
      <c r="H257" s="35">
        <f t="shared" si="9"/>
        <v>0</v>
      </c>
      <c r="I257" s="35"/>
      <c r="J257" s="35">
        <v>2</v>
      </c>
      <c r="K257" s="35">
        <f t="shared" si="10"/>
        <v>12</v>
      </c>
      <c r="L257" s="35" t="str">
        <f t="shared" si="11"/>
        <v>Morning</v>
      </c>
      <c r="M257" s="65"/>
      <c r="N257" s="65"/>
      <c r="O257" s="65"/>
      <c r="P257" s="66"/>
      <c r="Q257" s="35"/>
      <c r="R257" s="66"/>
      <c r="S257" s="73"/>
      <c r="T257" s="78"/>
    </row>
    <row r="258" spans="1:20">
      <c r="A258" s="55">
        <v>45318.8218865741</v>
      </c>
      <c r="B258" s="56">
        <v>45318.8258796296</v>
      </c>
      <c r="C258" s="35">
        <v>320</v>
      </c>
      <c r="D258" s="35" t="s">
        <v>32</v>
      </c>
      <c r="E258" s="35" t="s">
        <v>41</v>
      </c>
      <c r="F258" s="35" t="s">
        <v>34</v>
      </c>
      <c r="G258" s="35" t="s">
        <v>36</v>
      </c>
      <c r="H258" s="35">
        <f t="shared" si="9"/>
        <v>0</v>
      </c>
      <c r="I258" s="35"/>
      <c r="J258" s="35">
        <v>2</v>
      </c>
      <c r="K258" s="35">
        <f t="shared" si="10"/>
        <v>19</v>
      </c>
      <c r="L258" s="35" t="str">
        <f t="shared" si="11"/>
        <v>Evening</v>
      </c>
      <c r="M258" s="65"/>
      <c r="N258" s="65"/>
      <c r="O258" s="65"/>
      <c r="P258" s="66"/>
      <c r="Q258" s="35"/>
      <c r="R258" s="66"/>
      <c r="S258" s="73"/>
      <c r="T258" s="78"/>
    </row>
    <row r="259" spans="1:20">
      <c r="A259" s="55">
        <v>45306.9009837963</v>
      </c>
      <c r="B259" s="56">
        <v>45306.9143402778</v>
      </c>
      <c r="C259" s="35">
        <v>528</v>
      </c>
      <c r="D259" s="35" t="s">
        <v>42</v>
      </c>
      <c r="E259" s="35" t="s">
        <v>33</v>
      </c>
      <c r="F259" s="35" t="s">
        <v>38</v>
      </c>
      <c r="G259" s="35" t="s">
        <v>35</v>
      </c>
      <c r="H259" s="35">
        <f t="shared" ref="H259:H322" si="12">IF(G259="Y",1,0)</f>
        <v>1</v>
      </c>
      <c r="I259" s="35"/>
      <c r="J259" s="35">
        <v>5</v>
      </c>
      <c r="K259" s="35">
        <f t="shared" ref="K259:K322" si="13">HOUR(A259:A758)</f>
        <v>21</v>
      </c>
      <c r="L259" s="35" t="str">
        <f t="shared" ref="L259:L322" si="14">IF(AND(K259&gt;=6,K259&lt;=18),"Morning","Evening")</f>
        <v>Evening</v>
      </c>
      <c r="M259" s="65"/>
      <c r="N259" s="65"/>
      <c r="O259" s="65"/>
      <c r="P259" s="66"/>
      <c r="Q259" s="35"/>
      <c r="R259" s="66"/>
      <c r="S259" s="73"/>
      <c r="T259" s="78"/>
    </row>
    <row r="260" spans="1:20">
      <c r="A260" s="55">
        <v>45312.3380671296</v>
      </c>
      <c r="B260" s="56">
        <v>45312.3446412037</v>
      </c>
      <c r="C260" s="35">
        <v>373</v>
      </c>
      <c r="D260" s="35" t="s">
        <v>32</v>
      </c>
      <c r="E260" s="35" t="s">
        <v>33</v>
      </c>
      <c r="F260" s="35" t="s">
        <v>34</v>
      </c>
      <c r="G260" s="35" t="s">
        <v>35</v>
      </c>
      <c r="H260" s="35">
        <f t="shared" si="12"/>
        <v>1</v>
      </c>
      <c r="I260" s="35"/>
      <c r="J260" s="35">
        <v>5</v>
      </c>
      <c r="K260" s="35">
        <f t="shared" si="13"/>
        <v>8</v>
      </c>
      <c r="L260" s="35" t="str">
        <f t="shared" si="14"/>
        <v>Morning</v>
      </c>
      <c r="M260" s="65"/>
      <c r="N260" s="65"/>
      <c r="O260" s="65"/>
      <c r="P260" s="66"/>
      <c r="Q260" s="35"/>
      <c r="R260" s="66"/>
      <c r="S260" s="73"/>
      <c r="T260" s="78"/>
    </row>
    <row r="261" spans="1:20">
      <c r="A261" s="55">
        <v>45304.7017013889</v>
      </c>
      <c r="B261" s="56">
        <v>45304.7048958333</v>
      </c>
      <c r="C261" s="35">
        <v>20</v>
      </c>
      <c r="D261" s="35" t="s">
        <v>43</v>
      </c>
      <c r="E261" s="35" t="s">
        <v>41</v>
      </c>
      <c r="F261" s="35" t="s">
        <v>40</v>
      </c>
      <c r="G261" s="35" t="s">
        <v>35</v>
      </c>
      <c r="H261" s="35">
        <f t="shared" si="12"/>
        <v>1</v>
      </c>
      <c r="I261" s="35"/>
      <c r="J261" s="35">
        <v>5</v>
      </c>
      <c r="K261" s="35">
        <f t="shared" si="13"/>
        <v>16</v>
      </c>
      <c r="L261" s="35" t="str">
        <f t="shared" si="14"/>
        <v>Morning</v>
      </c>
      <c r="M261" s="65"/>
      <c r="N261" s="65"/>
      <c r="O261" s="65"/>
      <c r="P261" s="66"/>
      <c r="Q261" s="35"/>
      <c r="R261" s="66"/>
      <c r="S261" s="73"/>
      <c r="T261" s="78"/>
    </row>
    <row r="262" spans="1:20">
      <c r="A262" s="55">
        <v>45310.5613773148</v>
      </c>
      <c r="B262" s="56">
        <v>45310.5713425926</v>
      </c>
      <c r="C262" s="35">
        <v>484</v>
      </c>
      <c r="D262" s="35" t="s">
        <v>39</v>
      </c>
      <c r="E262" s="35" t="s">
        <v>39</v>
      </c>
      <c r="F262" s="35" t="s">
        <v>38</v>
      </c>
      <c r="G262" s="35" t="s">
        <v>35</v>
      </c>
      <c r="H262" s="35">
        <f t="shared" si="12"/>
        <v>1</v>
      </c>
      <c r="I262" s="35"/>
      <c r="J262" s="35">
        <v>4</v>
      </c>
      <c r="K262" s="35">
        <f t="shared" si="13"/>
        <v>13</v>
      </c>
      <c r="L262" s="35" t="str">
        <f t="shared" si="14"/>
        <v>Morning</v>
      </c>
      <c r="M262" s="65"/>
      <c r="N262" s="65"/>
      <c r="O262" s="65"/>
      <c r="P262" s="66"/>
      <c r="Q262" s="35"/>
      <c r="R262" s="66"/>
      <c r="S262" s="73"/>
      <c r="T262" s="78"/>
    </row>
    <row r="263" spans="1:20">
      <c r="A263" s="55">
        <v>45301.8320023148</v>
      </c>
      <c r="B263" s="56">
        <v>45301.8354398148</v>
      </c>
      <c r="C263" s="35">
        <v>155</v>
      </c>
      <c r="D263" s="35" t="s">
        <v>37</v>
      </c>
      <c r="E263" s="35" t="s">
        <v>41</v>
      </c>
      <c r="F263" s="35" t="s">
        <v>38</v>
      </c>
      <c r="G263" s="35" t="s">
        <v>35</v>
      </c>
      <c r="H263" s="35">
        <f t="shared" si="12"/>
        <v>1</v>
      </c>
      <c r="I263" s="35"/>
      <c r="J263" s="35">
        <v>3</v>
      </c>
      <c r="K263" s="35">
        <f t="shared" si="13"/>
        <v>19</v>
      </c>
      <c r="L263" s="35" t="str">
        <f t="shared" si="14"/>
        <v>Evening</v>
      </c>
      <c r="M263" s="65"/>
      <c r="N263" s="65"/>
      <c r="O263" s="65"/>
      <c r="P263" s="66"/>
      <c r="Q263" s="35"/>
      <c r="R263" s="66"/>
      <c r="S263" s="73"/>
      <c r="T263" s="78"/>
    </row>
    <row r="264" spans="1:20">
      <c r="A264" s="55">
        <v>45307.7292361111</v>
      </c>
      <c r="B264" s="56">
        <v>45307.7403125</v>
      </c>
      <c r="C264" s="35">
        <v>473</v>
      </c>
      <c r="D264" s="35" t="s">
        <v>37</v>
      </c>
      <c r="E264" s="35" t="s">
        <v>33</v>
      </c>
      <c r="F264" s="35" t="s">
        <v>38</v>
      </c>
      <c r="G264" s="35" t="s">
        <v>36</v>
      </c>
      <c r="H264" s="35">
        <f t="shared" si="12"/>
        <v>0</v>
      </c>
      <c r="I264" s="35"/>
      <c r="J264" s="35">
        <v>3</v>
      </c>
      <c r="K264" s="35">
        <f t="shared" si="13"/>
        <v>17</v>
      </c>
      <c r="L264" s="35" t="str">
        <f t="shared" si="14"/>
        <v>Morning</v>
      </c>
      <c r="M264" s="65"/>
      <c r="N264" s="65"/>
      <c r="O264" s="65"/>
      <c r="P264" s="66"/>
      <c r="Q264" s="35"/>
      <c r="R264" s="66"/>
      <c r="S264" s="73"/>
      <c r="T264" s="78"/>
    </row>
    <row r="265" spans="1:20">
      <c r="A265" s="55">
        <v>45302.4054513889</v>
      </c>
      <c r="B265" s="56">
        <v>45302.4100347222</v>
      </c>
      <c r="C265" s="35">
        <v>259</v>
      </c>
      <c r="D265" s="35" t="s">
        <v>39</v>
      </c>
      <c r="E265" s="35" t="s">
        <v>39</v>
      </c>
      <c r="F265" s="35" t="s">
        <v>34</v>
      </c>
      <c r="G265" s="35" t="s">
        <v>36</v>
      </c>
      <c r="H265" s="35">
        <f t="shared" si="12"/>
        <v>0</v>
      </c>
      <c r="I265" s="35"/>
      <c r="J265" s="35">
        <v>3</v>
      </c>
      <c r="K265" s="35">
        <f t="shared" si="13"/>
        <v>9</v>
      </c>
      <c r="L265" s="35" t="str">
        <f t="shared" si="14"/>
        <v>Morning</v>
      </c>
      <c r="M265" s="65"/>
      <c r="N265" s="65"/>
      <c r="O265" s="65"/>
      <c r="P265" s="66"/>
      <c r="Q265" s="35"/>
      <c r="R265" s="66"/>
      <c r="S265" s="73"/>
      <c r="T265" s="78"/>
    </row>
    <row r="266" spans="1:20">
      <c r="A266" s="55">
        <v>45299.7779050926</v>
      </c>
      <c r="B266" s="56">
        <v>45299.7830092593</v>
      </c>
      <c r="C266" s="35">
        <v>452</v>
      </c>
      <c r="D266" s="35" t="s">
        <v>42</v>
      </c>
      <c r="E266" s="35" t="s">
        <v>33</v>
      </c>
      <c r="F266" s="35" t="s">
        <v>34</v>
      </c>
      <c r="G266" s="35" t="s">
        <v>35</v>
      </c>
      <c r="H266" s="35">
        <f t="shared" si="12"/>
        <v>1</v>
      </c>
      <c r="I266" s="35"/>
      <c r="J266" s="35">
        <v>3</v>
      </c>
      <c r="K266" s="35">
        <f t="shared" si="13"/>
        <v>18</v>
      </c>
      <c r="L266" s="35" t="str">
        <f t="shared" si="14"/>
        <v>Morning</v>
      </c>
      <c r="M266" s="65"/>
      <c r="N266" s="65"/>
      <c r="O266" s="65"/>
      <c r="P266" s="66"/>
      <c r="Q266" s="35"/>
      <c r="R266" s="66"/>
      <c r="S266" s="73"/>
      <c r="T266" s="78"/>
    </row>
    <row r="267" spans="1:20">
      <c r="A267" s="55">
        <v>45310.8083333333</v>
      </c>
      <c r="B267" s="56">
        <v>45310.8257291667</v>
      </c>
      <c r="C267" s="35">
        <v>229</v>
      </c>
      <c r="D267" s="35" t="s">
        <v>32</v>
      </c>
      <c r="E267" s="35" t="s">
        <v>41</v>
      </c>
      <c r="F267" s="35" t="s">
        <v>34</v>
      </c>
      <c r="G267" s="35" t="s">
        <v>35</v>
      </c>
      <c r="H267" s="35">
        <f t="shared" si="12"/>
        <v>1</v>
      </c>
      <c r="I267" s="35"/>
      <c r="J267" s="35">
        <v>3</v>
      </c>
      <c r="K267" s="35">
        <f t="shared" si="13"/>
        <v>19</v>
      </c>
      <c r="L267" s="35" t="str">
        <f t="shared" si="14"/>
        <v>Evening</v>
      </c>
      <c r="M267" s="65"/>
      <c r="N267" s="65"/>
      <c r="O267" s="65"/>
      <c r="P267" s="66"/>
      <c r="Q267" s="35"/>
      <c r="R267" s="66"/>
      <c r="S267" s="73"/>
      <c r="T267" s="78"/>
    </row>
    <row r="268" spans="1:20">
      <c r="A268" s="55">
        <v>45295.474537037</v>
      </c>
      <c r="B268" s="56">
        <v>45295.4798958333</v>
      </c>
      <c r="C268" s="35">
        <v>478</v>
      </c>
      <c r="D268" s="35" t="s">
        <v>43</v>
      </c>
      <c r="E268" s="35" t="s">
        <v>41</v>
      </c>
      <c r="F268" s="35" t="s">
        <v>34</v>
      </c>
      <c r="G268" s="35" t="s">
        <v>35</v>
      </c>
      <c r="H268" s="35">
        <f t="shared" si="12"/>
        <v>1</v>
      </c>
      <c r="I268" s="35"/>
      <c r="J268" s="35">
        <v>5</v>
      </c>
      <c r="K268" s="35">
        <f t="shared" si="13"/>
        <v>11</v>
      </c>
      <c r="L268" s="35" t="str">
        <f t="shared" si="14"/>
        <v>Morning</v>
      </c>
      <c r="M268" s="65"/>
      <c r="N268" s="65"/>
      <c r="O268" s="65"/>
      <c r="P268" s="66"/>
      <c r="Q268" s="35"/>
      <c r="R268" s="66"/>
      <c r="S268" s="73"/>
      <c r="T268" s="78"/>
    </row>
    <row r="269" spans="1:20">
      <c r="A269" s="55">
        <v>45302.7773726852</v>
      </c>
      <c r="B269" s="56">
        <v>45302.7919791667</v>
      </c>
      <c r="C269" s="35">
        <v>126</v>
      </c>
      <c r="D269" s="35" t="s">
        <v>37</v>
      </c>
      <c r="E269" s="35" t="s">
        <v>41</v>
      </c>
      <c r="F269" s="35" t="s">
        <v>38</v>
      </c>
      <c r="G269" s="35" t="s">
        <v>35</v>
      </c>
      <c r="H269" s="35">
        <f t="shared" si="12"/>
        <v>1</v>
      </c>
      <c r="I269" s="35"/>
      <c r="J269" s="35">
        <v>5</v>
      </c>
      <c r="K269" s="35">
        <f t="shared" si="13"/>
        <v>18</v>
      </c>
      <c r="L269" s="35" t="str">
        <f t="shared" si="14"/>
        <v>Morning</v>
      </c>
      <c r="M269" s="65"/>
      <c r="N269" s="65"/>
      <c r="O269" s="65"/>
      <c r="P269" s="66"/>
      <c r="Q269" s="35"/>
      <c r="R269" s="66"/>
      <c r="S269" s="73"/>
      <c r="T269" s="78"/>
    </row>
    <row r="270" spans="1:20">
      <c r="A270" s="55">
        <v>45317.6657291667</v>
      </c>
      <c r="B270" s="56">
        <v>45317.6804050926</v>
      </c>
      <c r="C270" s="35">
        <v>96</v>
      </c>
      <c r="D270" s="35" t="s">
        <v>32</v>
      </c>
      <c r="E270" s="35" t="s">
        <v>41</v>
      </c>
      <c r="F270" s="35" t="s">
        <v>40</v>
      </c>
      <c r="G270" s="35" t="s">
        <v>36</v>
      </c>
      <c r="H270" s="35">
        <f t="shared" si="12"/>
        <v>0</v>
      </c>
      <c r="I270" s="35"/>
      <c r="J270" s="35">
        <v>1</v>
      </c>
      <c r="K270" s="35">
        <f t="shared" si="13"/>
        <v>15</v>
      </c>
      <c r="L270" s="35" t="str">
        <f t="shared" si="14"/>
        <v>Morning</v>
      </c>
      <c r="M270" s="65"/>
      <c r="N270" s="65"/>
      <c r="O270" s="65"/>
      <c r="P270" s="66"/>
      <c r="Q270" s="35"/>
      <c r="R270" s="66"/>
      <c r="S270" s="73"/>
      <c r="T270" s="78"/>
    </row>
    <row r="271" spans="1:20">
      <c r="A271" s="55">
        <v>45296.9336342593</v>
      </c>
      <c r="B271" s="56">
        <v>45296.9484606481</v>
      </c>
      <c r="C271" s="35">
        <v>151</v>
      </c>
      <c r="D271" s="35" t="s">
        <v>39</v>
      </c>
      <c r="E271" s="35" t="s">
        <v>32</v>
      </c>
      <c r="F271" s="35" t="s">
        <v>38</v>
      </c>
      <c r="G271" s="35" t="s">
        <v>36</v>
      </c>
      <c r="H271" s="35">
        <f t="shared" si="12"/>
        <v>0</v>
      </c>
      <c r="I271" s="35"/>
      <c r="J271" s="35">
        <v>3</v>
      </c>
      <c r="K271" s="35">
        <f t="shared" si="13"/>
        <v>22</v>
      </c>
      <c r="L271" s="35" t="str">
        <f t="shared" si="14"/>
        <v>Evening</v>
      </c>
      <c r="M271" s="65"/>
      <c r="N271" s="65"/>
      <c r="O271" s="65"/>
      <c r="P271" s="66"/>
      <c r="Q271" s="35"/>
      <c r="R271" s="66"/>
      <c r="S271" s="73"/>
      <c r="T271" s="78"/>
    </row>
    <row r="272" spans="1:20">
      <c r="A272" s="55">
        <v>45312.4827546296</v>
      </c>
      <c r="B272" s="56">
        <v>45312.4950462963</v>
      </c>
      <c r="C272" s="35">
        <v>305</v>
      </c>
      <c r="D272" s="35" t="s">
        <v>32</v>
      </c>
      <c r="E272" s="35" t="s">
        <v>39</v>
      </c>
      <c r="F272" s="35" t="s">
        <v>38</v>
      </c>
      <c r="G272" s="35" t="s">
        <v>35</v>
      </c>
      <c r="H272" s="35">
        <f t="shared" si="12"/>
        <v>1</v>
      </c>
      <c r="I272" s="35"/>
      <c r="J272" s="35">
        <v>5</v>
      </c>
      <c r="K272" s="35">
        <f t="shared" si="13"/>
        <v>11</v>
      </c>
      <c r="L272" s="35" t="str">
        <f t="shared" si="14"/>
        <v>Morning</v>
      </c>
      <c r="M272" s="65"/>
      <c r="N272" s="65"/>
      <c r="O272" s="65"/>
      <c r="P272" s="66"/>
      <c r="Q272" s="35"/>
      <c r="R272" s="66"/>
      <c r="S272" s="73"/>
      <c r="T272" s="78"/>
    </row>
    <row r="273" spans="1:20">
      <c r="A273" s="55">
        <v>45319.7086921296</v>
      </c>
      <c r="B273" s="56">
        <v>45319.7126157407</v>
      </c>
      <c r="C273" s="35">
        <v>209</v>
      </c>
      <c r="D273" s="35" t="s">
        <v>42</v>
      </c>
      <c r="E273" s="35" t="s">
        <v>32</v>
      </c>
      <c r="F273" s="35" t="s">
        <v>38</v>
      </c>
      <c r="G273" s="35" t="s">
        <v>35</v>
      </c>
      <c r="H273" s="35">
        <f t="shared" si="12"/>
        <v>1</v>
      </c>
      <c r="I273" s="35"/>
      <c r="J273" s="35">
        <v>4</v>
      </c>
      <c r="K273" s="35">
        <f t="shared" si="13"/>
        <v>17</v>
      </c>
      <c r="L273" s="35" t="str">
        <f t="shared" si="14"/>
        <v>Morning</v>
      </c>
      <c r="M273" s="65"/>
      <c r="N273" s="65"/>
      <c r="O273" s="65"/>
      <c r="P273" s="66"/>
      <c r="Q273" s="35"/>
      <c r="R273" s="66"/>
      <c r="S273" s="73"/>
      <c r="T273" s="78"/>
    </row>
    <row r="274" spans="1:20">
      <c r="A274" s="55">
        <v>45318.8549768518</v>
      </c>
      <c r="B274" s="56">
        <v>45318.8576273148</v>
      </c>
      <c r="C274" s="35">
        <v>588</v>
      </c>
      <c r="D274" s="35" t="s">
        <v>43</v>
      </c>
      <c r="E274" s="35" t="s">
        <v>39</v>
      </c>
      <c r="F274" s="35" t="s">
        <v>38</v>
      </c>
      <c r="G274" s="35" t="s">
        <v>36</v>
      </c>
      <c r="H274" s="35">
        <f t="shared" si="12"/>
        <v>0</v>
      </c>
      <c r="I274" s="35"/>
      <c r="J274" s="35">
        <v>1</v>
      </c>
      <c r="K274" s="35">
        <f t="shared" si="13"/>
        <v>20</v>
      </c>
      <c r="L274" s="35" t="str">
        <f t="shared" si="14"/>
        <v>Evening</v>
      </c>
      <c r="M274" s="65"/>
      <c r="N274" s="65"/>
      <c r="O274" s="65"/>
      <c r="P274" s="66"/>
      <c r="Q274" s="35"/>
      <c r="R274" s="66"/>
      <c r="S274" s="73"/>
      <c r="T274" s="78"/>
    </row>
    <row r="275" spans="1:20">
      <c r="A275" s="55">
        <v>45316.8588773148</v>
      </c>
      <c r="B275" s="56">
        <v>45316.8778819444</v>
      </c>
      <c r="C275" s="35">
        <v>517</v>
      </c>
      <c r="D275" s="35" t="s">
        <v>39</v>
      </c>
      <c r="E275" s="35" t="s">
        <v>33</v>
      </c>
      <c r="F275" s="35" t="s">
        <v>34</v>
      </c>
      <c r="G275" s="35" t="s">
        <v>36</v>
      </c>
      <c r="H275" s="35">
        <f t="shared" si="12"/>
        <v>0</v>
      </c>
      <c r="I275" s="35"/>
      <c r="J275" s="35">
        <v>3</v>
      </c>
      <c r="K275" s="35">
        <f t="shared" si="13"/>
        <v>20</v>
      </c>
      <c r="L275" s="35" t="str">
        <f t="shared" si="14"/>
        <v>Evening</v>
      </c>
      <c r="M275" s="65"/>
      <c r="N275" s="65"/>
      <c r="O275" s="65"/>
      <c r="P275" s="66"/>
      <c r="Q275" s="35"/>
      <c r="R275" s="66"/>
      <c r="S275" s="73"/>
      <c r="T275" s="78"/>
    </row>
    <row r="276" spans="1:20">
      <c r="A276" s="55">
        <v>45309.3255324074</v>
      </c>
      <c r="B276" s="56">
        <v>45309.3366782407</v>
      </c>
      <c r="C276" s="35">
        <v>569</v>
      </c>
      <c r="D276" s="35" t="s">
        <v>32</v>
      </c>
      <c r="E276" s="35" t="s">
        <v>32</v>
      </c>
      <c r="F276" s="35" t="s">
        <v>40</v>
      </c>
      <c r="G276" s="35" t="s">
        <v>35</v>
      </c>
      <c r="H276" s="35">
        <f t="shared" si="12"/>
        <v>1</v>
      </c>
      <c r="I276" s="35"/>
      <c r="J276" s="35">
        <v>5</v>
      </c>
      <c r="K276" s="35">
        <f t="shared" si="13"/>
        <v>7</v>
      </c>
      <c r="L276" s="35" t="str">
        <f t="shared" si="14"/>
        <v>Morning</v>
      </c>
      <c r="M276" s="65"/>
      <c r="N276" s="65"/>
      <c r="O276" s="65"/>
      <c r="P276" s="66"/>
      <c r="Q276" s="35"/>
      <c r="R276" s="66"/>
      <c r="S276" s="73"/>
      <c r="T276" s="78"/>
    </row>
    <row r="277" spans="1:20">
      <c r="A277" s="55">
        <v>45299.6632175926</v>
      </c>
      <c r="B277" s="56">
        <v>45299.6745717593</v>
      </c>
      <c r="C277" s="35">
        <v>279</v>
      </c>
      <c r="D277" s="35" t="s">
        <v>37</v>
      </c>
      <c r="E277" s="35" t="s">
        <v>33</v>
      </c>
      <c r="F277" s="35" t="s">
        <v>38</v>
      </c>
      <c r="G277" s="35" t="s">
        <v>35</v>
      </c>
      <c r="H277" s="35">
        <f t="shared" si="12"/>
        <v>1</v>
      </c>
      <c r="I277" s="35"/>
      <c r="J277" s="35">
        <v>3</v>
      </c>
      <c r="K277" s="35">
        <f t="shared" si="13"/>
        <v>15</v>
      </c>
      <c r="L277" s="35" t="str">
        <f t="shared" si="14"/>
        <v>Morning</v>
      </c>
      <c r="M277" s="65"/>
      <c r="N277" s="65"/>
      <c r="O277" s="65"/>
      <c r="P277" s="66"/>
      <c r="Q277" s="35"/>
      <c r="R277" s="66"/>
      <c r="S277" s="73"/>
      <c r="T277" s="78"/>
    </row>
    <row r="278" spans="1:20">
      <c r="A278" s="55">
        <v>45317.5512847222</v>
      </c>
      <c r="B278" s="56">
        <v>45317.5694560185</v>
      </c>
      <c r="C278" s="35">
        <v>369</v>
      </c>
      <c r="D278" s="35" t="s">
        <v>39</v>
      </c>
      <c r="E278" s="35" t="s">
        <v>32</v>
      </c>
      <c r="F278" s="35" t="s">
        <v>40</v>
      </c>
      <c r="G278" s="35" t="s">
        <v>35</v>
      </c>
      <c r="H278" s="35">
        <f t="shared" si="12"/>
        <v>1</v>
      </c>
      <c r="I278" s="35"/>
      <c r="J278" s="35">
        <v>3</v>
      </c>
      <c r="K278" s="35">
        <f t="shared" si="13"/>
        <v>13</v>
      </c>
      <c r="L278" s="35" t="str">
        <f t="shared" si="14"/>
        <v>Morning</v>
      </c>
      <c r="M278" s="65"/>
      <c r="N278" s="65"/>
      <c r="O278" s="65"/>
      <c r="P278" s="66"/>
      <c r="Q278" s="35"/>
      <c r="R278" s="66"/>
      <c r="S278" s="73"/>
      <c r="T278" s="78"/>
    </row>
    <row r="279" spans="1:20">
      <c r="A279" s="55">
        <v>45298.3169212963</v>
      </c>
      <c r="B279" s="56">
        <v>45298.3302314815</v>
      </c>
      <c r="C279" s="35">
        <v>297</v>
      </c>
      <c r="D279" s="35" t="s">
        <v>39</v>
      </c>
      <c r="E279" s="35" t="s">
        <v>39</v>
      </c>
      <c r="F279" s="35" t="s">
        <v>38</v>
      </c>
      <c r="G279" s="35" t="s">
        <v>35</v>
      </c>
      <c r="H279" s="35">
        <f t="shared" si="12"/>
        <v>1</v>
      </c>
      <c r="I279" s="35"/>
      <c r="J279" s="35">
        <v>4</v>
      </c>
      <c r="K279" s="35">
        <f t="shared" si="13"/>
        <v>7</v>
      </c>
      <c r="L279" s="35" t="str">
        <f t="shared" si="14"/>
        <v>Morning</v>
      </c>
      <c r="M279" s="65"/>
      <c r="N279" s="65"/>
      <c r="O279" s="65"/>
      <c r="P279" s="66"/>
      <c r="Q279" s="35"/>
      <c r="R279" s="66"/>
      <c r="S279" s="73"/>
      <c r="T279" s="78"/>
    </row>
    <row r="280" spans="1:20">
      <c r="A280" s="55">
        <v>45310.6212037037</v>
      </c>
      <c r="B280" s="56">
        <v>45310.6379976852</v>
      </c>
      <c r="C280" s="35">
        <v>107</v>
      </c>
      <c r="D280" s="35" t="s">
        <v>32</v>
      </c>
      <c r="E280" s="35" t="s">
        <v>32</v>
      </c>
      <c r="F280" s="35" t="s">
        <v>40</v>
      </c>
      <c r="G280" s="35" t="s">
        <v>35</v>
      </c>
      <c r="H280" s="35">
        <f t="shared" si="12"/>
        <v>1</v>
      </c>
      <c r="I280" s="35"/>
      <c r="J280" s="35">
        <v>5</v>
      </c>
      <c r="K280" s="35">
        <f t="shared" si="13"/>
        <v>14</v>
      </c>
      <c r="L280" s="35" t="str">
        <f t="shared" si="14"/>
        <v>Morning</v>
      </c>
      <c r="M280" s="65"/>
      <c r="N280" s="65"/>
      <c r="O280" s="65"/>
      <c r="P280" s="66"/>
      <c r="Q280" s="35"/>
      <c r="R280" s="66"/>
      <c r="S280" s="73"/>
      <c r="T280" s="78"/>
    </row>
    <row r="281" spans="1:20">
      <c r="A281" s="55">
        <v>45314.4271875</v>
      </c>
      <c r="B281" s="56">
        <v>45314.4447337963</v>
      </c>
      <c r="C281" s="35">
        <v>339</v>
      </c>
      <c r="D281" s="35" t="s">
        <v>32</v>
      </c>
      <c r="E281" s="35" t="s">
        <v>32</v>
      </c>
      <c r="F281" s="35" t="s">
        <v>38</v>
      </c>
      <c r="G281" s="35" t="s">
        <v>36</v>
      </c>
      <c r="H281" s="35">
        <f t="shared" si="12"/>
        <v>0</v>
      </c>
      <c r="I281" s="35"/>
      <c r="J281" s="35">
        <v>3</v>
      </c>
      <c r="K281" s="35">
        <f t="shared" si="13"/>
        <v>10</v>
      </c>
      <c r="L281" s="35" t="str">
        <f t="shared" si="14"/>
        <v>Morning</v>
      </c>
      <c r="M281" s="65"/>
      <c r="N281" s="65"/>
      <c r="O281" s="65"/>
      <c r="P281" s="66"/>
      <c r="Q281" s="35"/>
      <c r="R281" s="66"/>
      <c r="S281" s="73"/>
      <c r="T281" s="78"/>
    </row>
    <row r="282" spans="1:20">
      <c r="A282" s="55">
        <v>45304.8365740741</v>
      </c>
      <c r="B282" s="56">
        <v>45304.856099537</v>
      </c>
      <c r="C282" s="35">
        <v>105</v>
      </c>
      <c r="D282" s="35" t="s">
        <v>42</v>
      </c>
      <c r="E282" s="35" t="s">
        <v>41</v>
      </c>
      <c r="F282" s="35" t="s">
        <v>34</v>
      </c>
      <c r="G282" s="35" t="s">
        <v>35</v>
      </c>
      <c r="H282" s="35">
        <f t="shared" si="12"/>
        <v>1</v>
      </c>
      <c r="I282" s="35"/>
      <c r="J282" s="35">
        <v>4</v>
      </c>
      <c r="K282" s="35">
        <f t="shared" si="13"/>
        <v>20</v>
      </c>
      <c r="L282" s="35" t="str">
        <f t="shared" si="14"/>
        <v>Evening</v>
      </c>
      <c r="M282" s="65"/>
      <c r="N282" s="65"/>
      <c r="O282" s="65"/>
      <c r="P282" s="66"/>
      <c r="Q282" s="35"/>
      <c r="R282" s="66"/>
      <c r="S282" s="73"/>
      <c r="T282" s="78"/>
    </row>
    <row r="283" spans="1:20">
      <c r="A283" s="55">
        <v>45307.6923611111</v>
      </c>
      <c r="B283" s="56">
        <v>45307.711400463</v>
      </c>
      <c r="C283" s="35">
        <v>105</v>
      </c>
      <c r="D283" s="35" t="s">
        <v>42</v>
      </c>
      <c r="E283" s="35" t="s">
        <v>41</v>
      </c>
      <c r="F283" s="35" t="s">
        <v>40</v>
      </c>
      <c r="G283" s="35" t="s">
        <v>35</v>
      </c>
      <c r="H283" s="35">
        <f t="shared" si="12"/>
        <v>1</v>
      </c>
      <c r="I283" s="35"/>
      <c r="J283" s="35">
        <v>4</v>
      </c>
      <c r="K283" s="35">
        <f t="shared" si="13"/>
        <v>16</v>
      </c>
      <c r="L283" s="35" t="str">
        <f t="shared" si="14"/>
        <v>Morning</v>
      </c>
      <c r="M283" s="65"/>
      <c r="N283" s="65"/>
      <c r="O283" s="65"/>
      <c r="P283" s="66"/>
      <c r="Q283" s="35"/>
      <c r="R283" s="66"/>
      <c r="S283" s="73"/>
      <c r="T283" s="78"/>
    </row>
    <row r="284" spans="1:20">
      <c r="A284" s="55">
        <v>45305.521724537</v>
      </c>
      <c r="B284" s="56">
        <v>45305.5300694444</v>
      </c>
      <c r="C284" s="35">
        <v>300</v>
      </c>
      <c r="D284" s="35" t="s">
        <v>37</v>
      </c>
      <c r="E284" s="35" t="s">
        <v>39</v>
      </c>
      <c r="F284" s="35" t="s">
        <v>34</v>
      </c>
      <c r="G284" s="35" t="s">
        <v>35</v>
      </c>
      <c r="H284" s="35">
        <f t="shared" si="12"/>
        <v>1</v>
      </c>
      <c r="I284" s="35"/>
      <c r="J284" s="35">
        <v>4</v>
      </c>
      <c r="K284" s="35">
        <f t="shared" si="13"/>
        <v>12</v>
      </c>
      <c r="L284" s="35" t="str">
        <f t="shared" si="14"/>
        <v>Morning</v>
      </c>
      <c r="M284" s="65"/>
      <c r="N284" s="65"/>
      <c r="O284" s="65"/>
      <c r="P284" s="66"/>
      <c r="Q284" s="35"/>
      <c r="R284" s="66"/>
      <c r="S284" s="73"/>
      <c r="T284" s="78"/>
    </row>
    <row r="285" spans="1:20">
      <c r="A285" s="55">
        <v>45313.293125</v>
      </c>
      <c r="B285" s="56">
        <v>45313.3086574074</v>
      </c>
      <c r="C285" s="35">
        <v>480</v>
      </c>
      <c r="D285" s="35" t="s">
        <v>43</v>
      </c>
      <c r="E285" s="35" t="s">
        <v>33</v>
      </c>
      <c r="F285" s="35" t="s">
        <v>40</v>
      </c>
      <c r="G285" s="35" t="s">
        <v>35</v>
      </c>
      <c r="H285" s="35">
        <f t="shared" si="12"/>
        <v>1</v>
      </c>
      <c r="I285" s="35"/>
      <c r="J285" s="35">
        <v>3</v>
      </c>
      <c r="K285" s="35">
        <f t="shared" si="13"/>
        <v>7</v>
      </c>
      <c r="L285" s="35" t="str">
        <f t="shared" si="14"/>
        <v>Morning</v>
      </c>
      <c r="M285" s="65"/>
      <c r="N285" s="65"/>
      <c r="O285" s="65"/>
      <c r="P285" s="66"/>
      <c r="Q285" s="35"/>
      <c r="R285" s="66"/>
      <c r="S285" s="73"/>
      <c r="T285" s="78"/>
    </row>
    <row r="286" spans="1:20">
      <c r="A286" s="55">
        <v>45298.4560300926</v>
      </c>
      <c r="B286" s="56">
        <v>45298.4638773148</v>
      </c>
      <c r="C286" s="35">
        <v>172</v>
      </c>
      <c r="D286" s="35" t="s">
        <v>37</v>
      </c>
      <c r="E286" s="35" t="s">
        <v>33</v>
      </c>
      <c r="F286" s="35" t="s">
        <v>34</v>
      </c>
      <c r="G286" s="35" t="s">
        <v>35</v>
      </c>
      <c r="H286" s="35">
        <f t="shared" si="12"/>
        <v>1</v>
      </c>
      <c r="I286" s="35"/>
      <c r="J286" s="35">
        <v>3</v>
      </c>
      <c r="K286" s="35">
        <f t="shared" si="13"/>
        <v>10</v>
      </c>
      <c r="L286" s="35" t="str">
        <f t="shared" si="14"/>
        <v>Morning</v>
      </c>
      <c r="M286" s="65"/>
      <c r="N286" s="65"/>
      <c r="O286" s="65"/>
      <c r="P286" s="66"/>
      <c r="Q286" s="35"/>
      <c r="R286" s="66"/>
      <c r="S286" s="73"/>
      <c r="T286" s="78"/>
    </row>
    <row r="287" spans="1:20">
      <c r="A287" s="55">
        <v>45313.4607060185</v>
      </c>
      <c r="B287" s="56">
        <v>45313.4762268519</v>
      </c>
      <c r="C287" s="35">
        <v>322</v>
      </c>
      <c r="D287" s="35" t="s">
        <v>32</v>
      </c>
      <c r="E287" s="35" t="s">
        <v>32</v>
      </c>
      <c r="F287" s="35" t="s">
        <v>34</v>
      </c>
      <c r="G287" s="35" t="s">
        <v>36</v>
      </c>
      <c r="H287" s="35">
        <f t="shared" si="12"/>
        <v>0</v>
      </c>
      <c r="I287" s="35"/>
      <c r="J287" s="35">
        <v>1</v>
      </c>
      <c r="K287" s="35">
        <f t="shared" si="13"/>
        <v>11</v>
      </c>
      <c r="L287" s="35" t="str">
        <f t="shared" si="14"/>
        <v>Morning</v>
      </c>
      <c r="M287" s="65"/>
      <c r="N287" s="65"/>
      <c r="O287" s="65"/>
      <c r="P287" s="66"/>
      <c r="Q287" s="35"/>
      <c r="R287" s="66"/>
      <c r="S287" s="73"/>
      <c r="T287" s="78"/>
    </row>
    <row r="288" spans="1:20">
      <c r="A288" s="55">
        <v>45294.4425231482</v>
      </c>
      <c r="B288" s="56">
        <v>45294.4555208333</v>
      </c>
      <c r="C288" s="35">
        <v>465</v>
      </c>
      <c r="D288" s="35" t="s">
        <v>43</v>
      </c>
      <c r="E288" s="35" t="s">
        <v>33</v>
      </c>
      <c r="F288" s="35" t="s">
        <v>34</v>
      </c>
      <c r="G288" s="35" t="s">
        <v>35</v>
      </c>
      <c r="H288" s="35">
        <f t="shared" si="12"/>
        <v>1</v>
      </c>
      <c r="I288" s="35"/>
      <c r="J288" s="35">
        <v>3</v>
      </c>
      <c r="K288" s="35">
        <f t="shared" si="13"/>
        <v>10</v>
      </c>
      <c r="L288" s="35" t="str">
        <f t="shared" si="14"/>
        <v>Morning</v>
      </c>
      <c r="M288" s="65"/>
      <c r="N288" s="65"/>
      <c r="O288" s="65"/>
      <c r="P288" s="66"/>
      <c r="Q288" s="35"/>
      <c r="R288" s="66"/>
      <c r="S288" s="73"/>
      <c r="T288" s="78"/>
    </row>
    <row r="289" spans="1:20">
      <c r="A289" s="55">
        <v>45305.4375462963</v>
      </c>
      <c r="B289" s="56">
        <v>45305.4436574074</v>
      </c>
      <c r="C289" s="35">
        <v>402</v>
      </c>
      <c r="D289" s="35" t="s">
        <v>43</v>
      </c>
      <c r="E289" s="35" t="s">
        <v>33</v>
      </c>
      <c r="F289" s="35" t="s">
        <v>40</v>
      </c>
      <c r="G289" s="35" t="s">
        <v>35</v>
      </c>
      <c r="H289" s="35">
        <f t="shared" si="12"/>
        <v>1</v>
      </c>
      <c r="I289" s="35"/>
      <c r="J289" s="35">
        <v>4</v>
      </c>
      <c r="K289" s="35">
        <f t="shared" si="13"/>
        <v>10</v>
      </c>
      <c r="L289" s="35" t="str">
        <f t="shared" si="14"/>
        <v>Morning</v>
      </c>
      <c r="M289" s="65"/>
      <c r="N289" s="65"/>
      <c r="O289" s="65"/>
      <c r="P289" s="66"/>
      <c r="Q289" s="35"/>
      <c r="R289" s="66"/>
      <c r="S289" s="73"/>
      <c r="T289" s="78"/>
    </row>
    <row r="290" spans="1:20">
      <c r="A290" s="55">
        <v>45304.4456365741</v>
      </c>
      <c r="B290" s="56">
        <v>45304.4497106482</v>
      </c>
      <c r="C290" s="35">
        <v>80</v>
      </c>
      <c r="D290" s="35" t="s">
        <v>39</v>
      </c>
      <c r="E290" s="35" t="s">
        <v>33</v>
      </c>
      <c r="F290" s="35" t="s">
        <v>34</v>
      </c>
      <c r="G290" s="35" t="s">
        <v>35</v>
      </c>
      <c r="H290" s="35">
        <f t="shared" si="12"/>
        <v>1</v>
      </c>
      <c r="I290" s="35"/>
      <c r="J290" s="35">
        <v>4</v>
      </c>
      <c r="K290" s="35">
        <f t="shared" si="13"/>
        <v>10</v>
      </c>
      <c r="L290" s="35" t="str">
        <f t="shared" si="14"/>
        <v>Morning</v>
      </c>
      <c r="M290" s="65"/>
      <c r="N290" s="65"/>
      <c r="O290" s="65"/>
      <c r="P290" s="66"/>
      <c r="Q290" s="35"/>
      <c r="R290" s="66"/>
      <c r="S290" s="73"/>
      <c r="T290" s="78"/>
    </row>
    <row r="291" spans="1:20">
      <c r="A291" s="55">
        <v>45315.5283217593</v>
      </c>
      <c r="B291" s="56">
        <v>45315.5326041667</v>
      </c>
      <c r="C291" s="35">
        <v>431</v>
      </c>
      <c r="D291" s="35" t="s">
        <v>39</v>
      </c>
      <c r="E291" s="35" t="s">
        <v>32</v>
      </c>
      <c r="F291" s="35" t="s">
        <v>40</v>
      </c>
      <c r="G291" s="35" t="s">
        <v>36</v>
      </c>
      <c r="H291" s="35">
        <f t="shared" si="12"/>
        <v>0</v>
      </c>
      <c r="I291" s="35"/>
      <c r="J291" s="35">
        <v>1</v>
      </c>
      <c r="K291" s="35">
        <f t="shared" si="13"/>
        <v>12</v>
      </c>
      <c r="L291" s="35" t="str">
        <f t="shared" si="14"/>
        <v>Morning</v>
      </c>
      <c r="M291" s="65"/>
      <c r="N291" s="65"/>
      <c r="O291" s="65"/>
      <c r="P291" s="66"/>
      <c r="Q291" s="35"/>
      <c r="R291" s="66"/>
      <c r="S291" s="73"/>
      <c r="T291" s="78"/>
    </row>
    <row r="292" spans="1:20">
      <c r="A292" s="55">
        <v>45310.7655902778</v>
      </c>
      <c r="B292" s="56">
        <v>45310.7737384259</v>
      </c>
      <c r="C292" s="35">
        <v>153</v>
      </c>
      <c r="D292" s="35" t="s">
        <v>32</v>
      </c>
      <c r="E292" s="35" t="s">
        <v>41</v>
      </c>
      <c r="F292" s="35" t="s">
        <v>34</v>
      </c>
      <c r="G292" s="35" t="s">
        <v>36</v>
      </c>
      <c r="H292" s="35">
        <f t="shared" si="12"/>
        <v>0</v>
      </c>
      <c r="I292" s="35"/>
      <c r="J292" s="35">
        <v>3</v>
      </c>
      <c r="K292" s="35">
        <f t="shared" si="13"/>
        <v>18</v>
      </c>
      <c r="L292" s="35" t="str">
        <f t="shared" si="14"/>
        <v>Morning</v>
      </c>
      <c r="M292" s="65"/>
      <c r="N292" s="65"/>
      <c r="O292" s="65"/>
      <c r="P292" s="66"/>
      <c r="Q292" s="35"/>
      <c r="R292" s="66"/>
      <c r="S292" s="73"/>
      <c r="T292" s="78"/>
    </row>
    <row r="293" spans="1:20">
      <c r="A293" s="55">
        <v>45311.659537037</v>
      </c>
      <c r="B293" s="56">
        <v>45311.6608564815</v>
      </c>
      <c r="C293" s="35">
        <v>318</v>
      </c>
      <c r="D293" s="35" t="s">
        <v>32</v>
      </c>
      <c r="E293" s="35" t="s">
        <v>39</v>
      </c>
      <c r="F293" s="35" t="s">
        <v>34</v>
      </c>
      <c r="G293" s="35" t="s">
        <v>35</v>
      </c>
      <c r="H293" s="35">
        <f t="shared" si="12"/>
        <v>1</v>
      </c>
      <c r="I293" s="35"/>
      <c r="J293" s="35">
        <v>5</v>
      </c>
      <c r="K293" s="35">
        <f t="shared" si="13"/>
        <v>15</v>
      </c>
      <c r="L293" s="35" t="str">
        <f t="shared" si="14"/>
        <v>Morning</v>
      </c>
      <c r="M293" s="65"/>
      <c r="N293" s="65"/>
      <c r="O293" s="65"/>
      <c r="P293" s="66"/>
      <c r="Q293" s="35"/>
      <c r="R293" s="66"/>
      <c r="S293" s="73"/>
      <c r="T293" s="78"/>
    </row>
    <row r="294" spans="1:20">
      <c r="A294" s="55">
        <v>45317.5634722222</v>
      </c>
      <c r="B294" s="56">
        <v>45317.5668287037</v>
      </c>
      <c r="C294" s="35">
        <v>256</v>
      </c>
      <c r="D294" s="35" t="s">
        <v>42</v>
      </c>
      <c r="E294" s="35" t="s">
        <v>33</v>
      </c>
      <c r="F294" s="35" t="s">
        <v>34</v>
      </c>
      <c r="G294" s="35" t="s">
        <v>35</v>
      </c>
      <c r="H294" s="35">
        <f t="shared" si="12"/>
        <v>1</v>
      </c>
      <c r="I294" s="35"/>
      <c r="J294" s="35">
        <v>3</v>
      </c>
      <c r="K294" s="35">
        <f t="shared" si="13"/>
        <v>13</v>
      </c>
      <c r="L294" s="35" t="str">
        <f t="shared" si="14"/>
        <v>Morning</v>
      </c>
      <c r="M294" s="65"/>
      <c r="N294" s="65"/>
      <c r="O294" s="65"/>
      <c r="P294" s="66"/>
      <c r="Q294" s="35"/>
      <c r="R294" s="66"/>
      <c r="S294" s="73"/>
      <c r="T294" s="78"/>
    </row>
    <row r="295" spans="1:20">
      <c r="A295" s="55">
        <v>45302.4339699074</v>
      </c>
      <c r="B295" s="56">
        <v>45302.4545486111</v>
      </c>
      <c r="C295" s="35">
        <v>592</v>
      </c>
      <c r="D295" s="35" t="s">
        <v>42</v>
      </c>
      <c r="E295" s="35" t="s">
        <v>41</v>
      </c>
      <c r="F295" s="35" t="s">
        <v>34</v>
      </c>
      <c r="G295" s="35" t="s">
        <v>35</v>
      </c>
      <c r="H295" s="35">
        <f t="shared" si="12"/>
        <v>1</v>
      </c>
      <c r="I295" s="35"/>
      <c r="J295" s="35">
        <v>4</v>
      </c>
      <c r="K295" s="35">
        <f t="shared" si="13"/>
        <v>10</v>
      </c>
      <c r="L295" s="35" t="str">
        <f t="shared" si="14"/>
        <v>Morning</v>
      </c>
      <c r="M295" s="65"/>
      <c r="N295" s="65"/>
      <c r="O295" s="65"/>
      <c r="P295" s="66"/>
      <c r="Q295" s="35"/>
      <c r="R295" s="66"/>
      <c r="S295" s="73"/>
      <c r="T295" s="78"/>
    </row>
    <row r="296" spans="1:20">
      <c r="A296" s="55">
        <v>45294.2757407407</v>
      </c>
      <c r="B296" s="56">
        <v>45294.2767592593</v>
      </c>
      <c r="C296" s="35">
        <v>278</v>
      </c>
      <c r="D296" s="35" t="s">
        <v>32</v>
      </c>
      <c r="E296" s="35" t="s">
        <v>33</v>
      </c>
      <c r="F296" s="35" t="s">
        <v>40</v>
      </c>
      <c r="G296" s="35" t="s">
        <v>35</v>
      </c>
      <c r="H296" s="35">
        <f t="shared" si="12"/>
        <v>1</v>
      </c>
      <c r="I296" s="35"/>
      <c r="J296" s="35">
        <v>4</v>
      </c>
      <c r="K296" s="35">
        <f t="shared" si="13"/>
        <v>6</v>
      </c>
      <c r="L296" s="35" t="str">
        <f t="shared" si="14"/>
        <v>Morning</v>
      </c>
      <c r="M296" s="65"/>
      <c r="N296" s="65"/>
      <c r="O296" s="65"/>
      <c r="P296" s="66"/>
      <c r="Q296" s="35"/>
      <c r="R296" s="66"/>
      <c r="S296" s="73"/>
      <c r="T296" s="78"/>
    </row>
    <row r="297" spans="1:20">
      <c r="A297" s="55">
        <v>45301.9509953704</v>
      </c>
      <c r="B297" s="56">
        <v>45301.961724537</v>
      </c>
      <c r="C297" s="35">
        <v>421</v>
      </c>
      <c r="D297" s="35" t="s">
        <v>43</v>
      </c>
      <c r="E297" s="35" t="s">
        <v>39</v>
      </c>
      <c r="F297" s="35" t="s">
        <v>38</v>
      </c>
      <c r="G297" s="35" t="s">
        <v>36</v>
      </c>
      <c r="H297" s="35">
        <f t="shared" si="12"/>
        <v>0</v>
      </c>
      <c r="I297" s="35"/>
      <c r="J297" s="35">
        <v>1</v>
      </c>
      <c r="K297" s="35">
        <f t="shared" si="13"/>
        <v>22</v>
      </c>
      <c r="L297" s="35" t="str">
        <f t="shared" si="14"/>
        <v>Evening</v>
      </c>
      <c r="M297" s="65"/>
      <c r="N297" s="65"/>
      <c r="O297" s="65"/>
      <c r="P297" s="66"/>
      <c r="Q297" s="35"/>
      <c r="R297" s="66"/>
      <c r="S297" s="73"/>
      <c r="T297" s="78"/>
    </row>
    <row r="298" spans="1:20">
      <c r="A298" s="55">
        <v>45317.4405092593</v>
      </c>
      <c r="B298" s="56">
        <v>45317.450462963</v>
      </c>
      <c r="C298" s="35">
        <v>77</v>
      </c>
      <c r="D298" s="35" t="s">
        <v>37</v>
      </c>
      <c r="E298" s="35" t="s">
        <v>32</v>
      </c>
      <c r="F298" s="35" t="s">
        <v>34</v>
      </c>
      <c r="G298" s="35" t="s">
        <v>35</v>
      </c>
      <c r="H298" s="35">
        <f t="shared" si="12"/>
        <v>1</v>
      </c>
      <c r="I298" s="35"/>
      <c r="J298" s="35">
        <v>3</v>
      </c>
      <c r="K298" s="35">
        <f t="shared" si="13"/>
        <v>10</v>
      </c>
      <c r="L298" s="35" t="str">
        <f t="shared" si="14"/>
        <v>Morning</v>
      </c>
      <c r="M298" s="65"/>
      <c r="N298" s="65"/>
      <c r="O298" s="65"/>
      <c r="P298" s="66"/>
      <c r="Q298" s="35"/>
      <c r="R298" s="66"/>
      <c r="S298" s="73"/>
      <c r="T298" s="78"/>
    </row>
    <row r="299" spans="1:20">
      <c r="A299" s="55">
        <v>45299.3746180556</v>
      </c>
      <c r="B299" s="56">
        <v>45299.3780555556</v>
      </c>
      <c r="C299" s="35">
        <v>474</v>
      </c>
      <c r="D299" s="35" t="s">
        <v>39</v>
      </c>
      <c r="E299" s="35" t="s">
        <v>33</v>
      </c>
      <c r="F299" s="35" t="s">
        <v>38</v>
      </c>
      <c r="G299" s="35" t="s">
        <v>35</v>
      </c>
      <c r="H299" s="35">
        <f t="shared" si="12"/>
        <v>1</v>
      </c>
      <c r="I299" s="35"/>
      <c r="J299" s="35">
        <v>5</v>
      </c>
      <c r="K299" s="35">
        <f t="shared" si="13"/>
        <v>8</v>
      </c>
      <c r="L299" s="35" t="str">
        <f t="shared" si="14"/>
        <v>Morning</v>
      </c>
      <c r="M299" s="65"/>
      <c r="N299" s="65"/>
      <c r="O299" s="65"/>
      <c r="P299" s="66"/>
      <c r="Q299" s="35"/>
      <c r="R299" s="66"/>
      <c r="S299" s="73"/>
      <c r="T299" s="78"/>
    </row>
    <row r="300" spans="1:20">
      <c r="A300" s="55">
        <v>45297.3755208333</v>
      </c>
      <c r="B300" s="56">
        <v>45297.3794675926</v>
      </c>
      <c r="C300" s="35">
        <v>21</v>
      </c>
      <c r="D300" s="35" t="s">
        <v>32</v>
      </c>
      <c r="E300" s="35" t="s">
        <v>32</v>
      </c>
      <c r="F300" s="35" t="s">
        <v>38</v>
      </c>
      <c r="G300" s="35" t="s">
        <v>35</v>
      </c>
      <c r="H300" s="35">
        <f t="shared" si="12"/>
        <v>1</v>
      </c>
      <c r="I300" s="35"/>
      <c r="J300" s="35">
        <v>5</v>
      </c>
      <c r="K300" s="35">
        <f t="shared" si="13"/>
        <v>9</v>
      </c>
      <c r="L300" s="35" t="str">
        <f t="shared" si="14"/>
        <v>Morning</v>
      </c>
      <c r="M300" s="65"/>
      <c r="N300" s="65"/>
      <c r="O300" s="65"/>
      <c r="P300" s="66"/>
      <c r="Q300" s="35"/>
      <c r="R300" s="66"/>
      <c r="S300" s="73"/>
      <c r="T300" s="78"/>
    </row>
    <row r="301" spans="1:20">
      <c r="A301" s="55">
        <v>45297.7144328704</v>
      </c>
      <c r="B301" s="56">
        <v>45297.7336342593</v>
      </c>
      <c r="C301" s="35">
        <v>285</v>
      </c>
      <c r="D301" s="35" t="s">
        <v>43</v>
      </c>
      <c r="E301" s="35" t="s">
        <v>33</v>
      </c>
      <c r="F301" s="35" t="s">
        <v>38</v>
      </c>
      <c r="G301" s="35" t="s">
        <v>35</v>
      </c>
      <c r="H301" s="35">
        <f t="shared" si="12"/>
        <v>1</v>
      </c>
      <c r="I301" s="35"/>
      <c r="J301" s="35">
        <v>4</v>
      </c>
      <c r="K301" s="35">
        <f t="shared" si="13"/>
        <v>17</v>
      </c>
      <c r="L301" s="35" t="str">
        <f t="shared" si="14"/>
        <v>Morning</v>
      </c>
      <c r="M301" s="65"/>
      <c r="N301" s="65"/>
      <c r="O301" s="65"/>
      <c r="P301" s="66"/>
      <c r="Q301" s="35"/>
      <c r="R301" s="66"/>
      <c r="S301" s="73"/>
      <c r="T301" s="78"/>
    </row>
    <row r="302" spans="1:20">
      <c r="A302" s="55">
        <v>45294.615</v>
      </c>
      <c r="B302" s="56">
        <v>45294.6305671296</v>
      </c>
      <c r="C302" s="35">
        <v>88</v>
      </c>
      <c r="D302" s="35" t="s">
        <v>42</v>
      </c>
      <c r="E302" s="35" t="s">
        <v>32</v>
      </c>
      <c r="F302" s="35" t="s">
        <v>34</v>
      </c>
      <c r="G302" s="35" t="s">
        <v>35</v>
      </c>
      <c r="H302" s="35">
        <f t="shared" si="12"/>
        <v>1</v>
      </c>
      <c r="I302" s="35"/>
      <c r="J302" s="35">
        <v>4</v>
      </c>
      <c r="K302" s="35">
        <f t="shared" si="13"/>
        <v>14</v>
      </c>
      <c r="L302" s="35" t="str">
        <f t="shared" si="14"/>
        <v>Morning</v>
      </c>
      <c r="M302" s="65"/>
      <c r="N302" s="65"/>
      <c r="O302" s="65"/>
      <c r="P302" s="66"/>
      <c r="Q302" s="35"/>
      <c r="R302" s="66"/>
      <c r="S302" s="73"/>
      <c r="T302" s="78"/>
    </row>
    <row r="303" spans="1:20">
      <c r="A303" s="55">
        <v>45310.4744212963</v>
      </c>
      <c r="B303" s="56">
        <v>45310.4811574074</v>
      </c>
      <c r="C303" s="35">
        <v>115</v>
      </c>
      <c r="D303" s="35" t="s">
        <v>39</v>
      </c>
      <c r="E303" s="35" t="s">
        <v>33</v>
      </c>
      <c r="F303" s="35" t="s">
        <v>40</v>
      </c>
      <c r="G303" s="35" t="s">
        <v>35</v>
      </c>
      <c r="H303" s="35">
        <f t="shared" si="12"/>
        <v>1</v>
      </c>
      <c r="I303" s="35"/>
      <c r="J303" s="35">
        <v>3</v>
      </c>
      <c r="K303" s="35">
        <f t="shared" si="13"/>
        <v>11</v>
      </c>
      <c r="L303" s="35" t="str">
        <f t="shared" si="14"/>
        <v>Morning</v>
      </c>
      <c r="M303" s="65"/>
      <c r="N303" s="65"/>
      <c r="O303" s="65"/>
      <c r="P303" s="66"/>
      <c r="Q303" s="35"/>
      <c r="R303" s="66"/>
      <c r="S303" s="73"/>
      <c r="T303" s="78"/>
    </row>
    <row r="304" spans="1:20">
      <c r="A304" s="55">
        <v>45319.2604398148</v>
      </c>
      <c r="B304" s="56">
        <v>45319.2723148148</v>
      </c>
      <c r="C304" s="35">
        <v>382</v>
      </c>
      <c r="D304" s="35" t="s">
        <v>42</v>
      </c>
      <c r="E304" s="35" t="s">
        <v>39</v>
      </c>
      <c r="F304" s="35" t="s">
        <v>40</v>
      </c>
      <c r="G304" s="35" t="s">
        <v>35</v>
      </c>
      <c r="H304" s="35">
        <f t="shared" si="12"/>
        <v>1</v>
      </c>
      <c r="I304" s="35"/>
      <c r="J304" s="35">
        <v>3</v>
      </c>
      <c r="K304" s="35">
        <f t="shared" si="13"/>
        <v>6</v>
      </c>
      <c r="L304" s="35" t="str">
        <f t="shared" si="14"/>
        <v>Morning</v>
      </c>
      <c r="M304" s="65"/>
      <c r="N304" s="65"/>
      <c r="O304" s="65"/>
      <c r="P304" s="66"/>
      <c r="Q304" s="35"/>
      <c r="R304" s="66"/>
      <c r="S304" s="73"/>
      <c r="T304" s="78"/>
    </row>
    <row r="305" spans="1:20">
      <c r="A305" s="55">
        <v>45317.8016203704</v>
      </c>
      <c r="B305" s="56">
        <v>45317.8081944444</v>
      </c>
      <c r="C305" s="35">
        <v>436</v>
      </c>
      <c r="D305" s="35" t="s">
        <v>37</v>
      </c>
      <c r="E305" s="35" t="s">
        <v>41</v>
      </c>
      <c r="F305" s="35" t="s">
        <v>40</v>
      </c>
      <c r="G305" s="35" t="s">
        <v>35</v>
      </c>
      <c r="H305" s="35">
        <f t="shared" si="12"/>
        <v>1</v>
      </c>
      <c r="I305" s="35"/>
      <c r="J305" s="35">
        <v>3</v>
      </c>
      <c r="K305" s="35">
        <f t="shared" si="13"/>
        <v>19</v>
      </c>
      <c r="L305" s="35" t="str">
        <f t="shared" si="14"/>
        <v>Evening</v>
      </c>
      <c r="M305" s="65"/>
      <c r="N305" s="65"/>
      <c r="O305" s="65"/>
      <c r="P305" s="66"/>
      <c r="Q305" s="35"/>
      <c r="R305" s="66"/>
      <c r="S305" s="73"/>
      <c r="T305" s="78"/>
    </row>
    <row r="306" spans="1:20">
      <c r="A306" s="55">
        <v>45313.2994675926</v>
      </c>
      <c r="B306" s="56">
        <v>45313.319224537</v>
      </c>
      <c r="C306" s="35">
        <v>538</v>
      </c>
      <c r="D306" s="35" t="s">
        <v>43</v>
      </c>
      <c r="E306" s="35" t="s">
        <v>32</v>
      </c>
      <c r="F306" s="35" t="s">
        <v>40</v>
      </c>
      <c r="G306" s="35" t="s">
        <v>35</v>
      </c>
      <c r="H306" s="35">
        <f t="shared" si="12"/>
        <v>1</v>
      </c>
      <c r="I306" s="35"/>
      <c r="J306" s="35">
        <v>4</v>
      </c>
      <c r="K306" s="35">
        <f t="shared" si="13"/>
        <v>7</v>
      </c>
      <c r="L306" s="35" t="str">
        <f t="shared" si="14"/>
        <v>Morning</v>
      </c>
      <c r="M306" s="65"/>
      <c r="N306" s="65"/>
      <c r="O306" s="65"/>
      <c r="P306" s="66"/>
      <c r="Q306" s="35"/>
      <c r="R306" s="66"/>
      <c r="S306" s="73"/>
      <c r="T306" s="78"/>
    </row>
    <row r="307" spans="1:20">
      <c r="A307" s="55">
        <v>45319.6389467593</v>
      </c>
      <c r="B307" s="56">
        <v>45319.6527430556</v>
      </c>
      <c r="C307" s="35">
        <v>477</v>
      </c>
      <c r="D307" s="35" t="s">
        <v>43</v>
      </c>
      <c r="E307" s="35" t="s">
        <v>41</v>
      </c>
      <c r="F307" s="35" t="s">
        <v>40</v>
      </c>
      <c r="G307" s="35" t="s">
        <v>35</v>
      </c>
      <c r="H307" s="35">
        <f t="shared" si="12"/>
        <v>1</v>
      </c>
      <c r="I307" s="35"/>
      <c r="J307" s="35">
        <v>4</v>
      </c>
      <c r="K307" s="35">
        <f t="shared" si="13"/>
        <v>15</v>
      </c>
      <c r="L307" s="35" t="str">
        <f t="shared" si="14"/>
        <v>Morning</v>
      </c>
      <c r="M307" s="65"/>
      <c r="N307" s="65"/>
      <c r="O307" s="65"/>
      <c r="P307" s="66"/>
      <c r="Q307" s="35"/>
      <c r="R307" s="66"/>
      <c r="S307" s="73"/>
      <c r="T307" s="78"/>
    </row>
    <row r="308" spans="1:20">
      <c r="A308" s="55">
        <v>45311.5620717593</v>
      </c>
      <c r="B308" s="56">
        <v>45311.5767824074</v>
      </c>
      <c r="C308" s="35">
        <v>515</v>
      </c>
      <c r="D308" s="35" t="s">
        <v>32</v>
      </c>
      <c r="E308" s="35" t="s">
        <v>39</v>
      </c>
      <c r="F308" s="35" t="s">
        <v>40</v>
      </c>
      <c r="G308" s="35" t="s">
        <v>36</v>
      </c>
      <c r="H308" s="35">
        <f t="shared" si="12"/>
        <v>0</v>
      </c>
      <c r="I308" s="35"/>
      <c r="J308" s="35">
        <v>2</v>
      </c>
      <c r="K308" s="35">
        <f t="shared" si="13"/>
        <v>13</v>
      </c>
      <c r="L308" s="35" t="str">
        <f t="shared" si="14"/>
        <v>Morning</v>
      </c>
      <c r="M308" s="65"/>
      <c r="N308" s="65"/>
      <c r="O308" s="65"/>
      <c r="P308" s="66"/>
      <c r="Q308" s="35"/>
      <c r="R308" s="66"/>
      <c r="S308" s="73"/>
      <c r="T308" s="78"/>
    </row>
    <row r="309" spans="1:20">
      <c r="A309" s="55">
        <v>45303.2645833333</v>
      </c>
      <c r="B309" s="56">
        <v>45303.2832638889</v>
      </c>
      <c r="C309" s="35">
        <v>395</v>
      </c>
      <c r="D309" s="35" t="s">
        <v>37</v>
      </c>
      <c r="E309" s="35" t="s">
        <v>33</v>
      </c>
      <c r="F309" s="35" t="s">
        <v>40</v>
      </c>
      <c r="G309" s="35" t="s">
        <v>35</v>
      </c>
      <c r="H309" s="35">
        <f t="shared" si="12"/>
        <v>1</v>
      </c>
      <c r="I309" s="35"/>
      <c r="J309" s="35">
        <v>3</v>
      </c>
      <c r="K309" s="35">
        <f t="shared" si="13"/>
        <v>6</v>
      </c>
      <c r="L309" s="35" t="str">
        <f t="shared" si="14"/>
        <v>Morning</v>
      </c>
      <c r="M309" s="65"/>
      <c r="N309" s="65"/>
      <c r="O309" s="65"/>
      <c r="P309" s="66"/>
      <c r="Q309" s="35"/>
      <c r="R309" s="66"/>
      <c r="S309" s="73"/>
      <c r="T309" s="78"/>
    </row>
    <row r="310" spans="1:20">
      <c r="A310" s="55">
        <v>45307.2984375</v>
      </c>
      <c r="B310" s="56">
        <v>45307.3057638889</v>
      </c>
      <c r="C310" s="35">
        <v>105</v>
      </c>
      <c r="D310" s="35" t="s">
        <v>43</v>
      </c>
      <c r="E310" s="35" t="s">
        <v>39</v>
      </c>
      <c r="F310" s="35" t="s">
        <v>34</v>
      </c>
      <c r="G310" s="35" t="s">
        <v>35</v>
      </c>
      <c r="H310" s="35">
        <f t="shared" si="12"/>
        <v>1</v>
      </c>
      <c r="I310" s="35"/>
      <c r="J310" s="35">
        <v>4</v>
      </c>
      <c r="K310" s="35">
        <f t="shared" si="13"/>
        <v>7</v>
      </c>
      <c r="L310" s="35" t="str">
        <f t="shared" si="14"/>
        <v>Morning</v>
      </c>
      <c r="M310" s="65"/>
      <c r="N310" s="65"/>
      <c r="O310" s="65"/>
      <c r="P310" s="66"/>
      <c r="Q310" s="35"/>
      <c r="R310" s="66"/>
      <c r="S310" s="73"/>
      <c r="T310" s="78"/>
    </row>
    <row r="311" spans="1:20">
      <c r="A311" s="55">
        <v>45315.3590972222</v>
      </c>
      <c r="B311" s="56">
        <v>45315.3717708333</v>
      </c>
      <c r="C311" s="35">
        <v>146</v>
      </c>
      <c r="D311" s="35" t="s">
        <v>42</v>
      </c>
      <c r="E311" s="35" t="s">
        <v>33</v>
      </c>
      <c r="F311" s="35" t="s">
        <v>34</v>
      </c>
      <c r="G311" s="35" t="s">
        <v>35</v>
      </c>
      <c r="H311" s="35">
        <f t="shared" si="12"/>
        <v>1</v>
      </c>
      <c r="I311" s="35"/>
      <c r="J311" s="35">
        <v>4</v>
      </c>
      <c r="K311" s="35">
        <f t="shared" si="13"/>
        <v>8</v>
      </c>
      <c r="L311" s="35" t="str">
        <f t="shared" si="14"/>
        <v>Morning</v>
      </c>
      <c r="M311" s="65"/>
      <c r="N311" s="65"/>
      <c r="O311" s="65"/>
      <c r="P311" s="66"/>
      <c r="Q311" s="35"/>
      <c r="R311" s="66"/>
      <c r="S311" s="73"/>
      <c r="T311" s="78"/>
    </row>
    <row r="312" spans="1:20">
      <c r="A312" s="55">
        <v>45296.5543518519</v>
      </c>
      <c r="B312" s="56">
        <v>45296.5625115741</v>
      </c>
      <c r="C312" s="35">
        <v>412</v>
      </c>
      <c r="D312" s="35" t="s">
        <v>37</v>
      </c>
      <c r="E312" s="35" t="s">
        <v>41</v>
      </c>
      <c r="F312" s="35" t="s">
        <v>38</v>
      </c>
      <c r="G312" s="35" t="s">
        <v>35</v>
      </c>
      <c r="H312" s="35">
        <f t="shared" si="12"/>
        <v>1</v>
      </c>
      <c r="I312" s="35"/>
      <c r="J312" s="35">
        <v>3</v>
      </c>
      <c r="K312" s="35">
        <f t="shared" si="13"/>
        <v>13</v>
      </c>
      <c r="L312" s="35" t="str">
        <f t="shared" si="14"/>
        <v>Morning</v>
      </c>
      <c r="M312" s="65"/>
      <c r="N312" s="65"/>
      <c r="O312" s="65"/>
      <c r="P312" s="66"/>
      <c r="Q312" s="35"/>
      <c r="R312" s="66"/>
      <c r="S312" s="73"/>
      <c r="T312" s="78"/>
    </row>
    <row r="313" spans="1:20">
      <c r="A313" s="55">
        <v>45296.3813194444</v>
      </c>
      <c r="B313" s="56">
        <v>45296.3859027778</v>
      </c>
      <c r="C313" s="35">
        <v>470</v>
      </c>
      <c r="D313" s="35" t="s">
        <v>42</v>
      </c>
      <c r="E313" s="35" t="s">
        <v>41</v>
      </c>
      <c r="F313" s="35" t="s">
        <v>38</v>
      </c>
      <c r="G313" s="35" t="s">
        <v>36</v>
      </c>
      <c r="H313" s="35">
        <f t="shared" si="12"/>
        <v>0</v>
      </c>
      <c r="I313" s="35"/>
      <c r="J313" s="35">
        <v>2</v>
      </c>
      <c r="K313" s="35">
        <f t="shared" si="13"/>
        <v>9</v>
      </c>
      <c r="L313" s="35" t="str">
        <f t="shared" si="14"/>
        <v>Morning</v>
      </c>
      <c r="M313" s="65"/>
      <c r="N313" s="65"/>
      <c r="O313" s="65"/>
      <c r="P313" s="66"/>
      <c r="Q313" s="35"/>
      <c r="R313" s="66"/>
      <c r="S313" s="73"/>
      <c r="T313" s="78"/>
    </row>
    <row r="314" spans="1:20">
      <c r="A314" s="55">
        <v>45306.6453240741</v>
      </c>
      <c r="B314" s="56">
        <v>45306.6488541667</v>
      </c>
      <c r="C314" s="35">
        <v>102</v>
      </c>
      <c r="D314" s="35" t="s">
        <v>32</v>
      </c>
      <c r="E314" s="35" t="s">
        <v>41</v>
      </c>
      <c r="F314" s="35" t="s">
        <v>34</v>
      </c>
      <c r="G314" s="35" t="s">
        <v>35</v>
      </c>
      <c r="H314" s="35">
        <f t="shared" si="12"/>
        <v>1</v>
      </c>
      <c r="I314" s="35"/>
      <c r="J314" s="35">
        <v>3</v>
      </c>
      <c r="K314" s="35">
        <f t="shared" si="13"/>
        <v>15</v>
      </c>
      <c r="L314" s="35" t="str">
        <f t="shared" si="14"/>
        <v>Morning</v>
      </c>
      <c r="M314" s="65"/>
      <c r="N314" s="65"/>
      <c r="O314" s="65"/>
      <c r="P314" s="66"/>
      <c r="Q314" s="35"/>
      <c r="R314" s="66"/>
      <c r="S314" s="73"/>
      <c r="T314" s="78"/>
    </row>
    <row r="315" spans="1:20">
      <c r="A315" s="55">
        <v>45318.672974537</v>
      </c>
      <c r="B315" s="56">
        <v>45318.6905208333</v>
      </c>
      <c r="C315" s="35">
        <v>264</v>
      </c>
      <c r="D315" s="35" t="s">
        <v>37</v>
      </c>
      <c r="E315" s="35" t="s">
        <v>32</v>
      </c>
      <c r="F315" s="35" t="s">
        <v>34</v>
      </c>
      <c r="G315" s="35" t="s">
        <v>36</v>
      </c>
      <c r="H315" s="35">
        <f t="shared" si="12"/>
        <v>0</v>
      </c>
      <c r="I315" s="35"/>
      <c r="J315" s="35">
        <v>2</v>
      </c>
      <c r="K315" s="35">
        <f t="shared" si="13"/>
        <v>16</v>
      </c>
      <c r="L315" s="35" t="str">
        <f t="shared" si="14"/>
        <v>Morning</v>
      </c>
      <c r="M315" s="65"/>
      <c r="N315" s="65"/>
      <c r="O315" s="65"/>
      <c r="P315" s="66"/>
      <c r="Q315" s="35"/>
      <c r="R315" s="66"/>
      <c r="S315" s="73"/>
      <c r="T315" s="78"/>
    </row>
    <row r="316" spans="1:20">
      <c r="A316" s="55">
        <v>45292.7878240741</v>
      </c>
      <c r="B316" s="56">
        <v>45292.8016898148</v>
      </c>
      <c r="C316" s="35">
        <v>573</v>
      </c>
      <c r="D316" s="35" t="s">
        <v>32</v>
      </c>
      <c r="E316" s="35" t="s">
        <v>33</v>
      </c>
      <c r="F316" s="35" t="s">
        <v>38</v>
      </c>
      <c r="G316" s="35" t="s">
        <v>36</v>
      </c>
      <c r="H316" s="35">
        <f t="shared" si="12"/>
        <v>0</v>
      </c>
      <c r="I316" s="35"/>
      <c r="J316" s="35">
        <v>1</v>
      </c>
      <c r="K316" s="35">
        <f t="shared" si="13"/>
        <v>18</v>
      </c>
      <c r="L316" s="35" t="str">
        <f t="shared" si="14"/>
        <v>Morning</v>
      </c>
      <c r="M316" s="65"/>
      <c r="N316" s="65"/>
      <c r="O316" s="65"/>
      <c r="P316" s="66"/>
      <c r="Q316" s="35"/>
      <c r="R316" s="66"/>
      <c r="S316" s="73"/>
      <c r="T316" s="78"/>
    </row>
    <row r="317" spans="1:20">
      <c r="A317" s="55">
        <v>45318.5473611111</v>
      </c>
      <c r="B317" s="56">
        <v>45318.5675694444</v>
      </c>
      <c r="C317" s="35">
        <v>420</v>
      </c>
      <c r="D317" s="35" t="s">
        <v>37</v>
      </c>
      <c r="E317" s="35" t="s">
        <v>33</v>
      </c>
      <c r="F317" s="35" t="s">
        <v>34</v>
      </c>
      <c r="G317" s="35" t="s">
        <v>35</v>
      </c>
      <c r="H317" s="35">
        <f t="shared" si="12"/>
        <v>1</v>
      </c>
      <c r="I317" s="35"/>
      <c r="J317" s="35">
        <v>3</v>
      </c>
      <c r="K317" s="35">
        <f t="shared" si="13"/>
        <v>13</v>
      </c>
      <c r="L317" s="35" t="str">
        <f t="shared" si="14"/>
        <v>Morning</v>
      </c>
      <c r="M317" s="65"/>
      <c r="N317" s="65"/>
      <c r="O317" s="65"/>
      <c r="P317" s="66"/>
      <c r="Q317" s="35"/>
      <c r="R317" s="66"/>
      <c r="S317" s="73"/>
      <c r="T317" s="78"/>
    </row>
    <row r="318" spans="1:20">
      <c r="A318" s="55">
        <v>45294.5400578704</v>
      </c>
      <c r="B318" s="56">
        <v>45294.5512615741</v>
      </c>
      <c r="C318" s="35">
        <v>141</v>
      </c>
      <c r="D318" s="35" t="s">
        <v>43</v>
      </c>
      <c r="E318" s="35" t="s">
        <v>41</v>
      </c>
      <c r="F318" s="35" t="s">
        <v>40</v>
      </c>
      <c r="G318" s="35" t="s">
        <v>36</v>
      </c>
      <c r="H318" s="35">
        <f t="shared" si="12"/>
        <v>0</v>
      </c>
      <c r="I318" s="35"/>
      <c r="J318" s="35">
        <v>2</v>
      </c>
      <c r="K318" s="35">
        <f t="shared" si="13"/>
        <v>12</v>
      </c>
      <c r="L318" s="35" t="str">
        <f t="shared" si="14"/>
        <v>Morning</v>
      </c>
      <c r="M318" s="65"/>
      <c r="N318" s="65"/>
      <c r="O318" s="65"/>
      <c r="P318" s="66"/>
      <c r="Q318" s="35"/>
      <c r="R318" s="66"/>
      <c r="S318" s="73"/>
      <c r="T318" s="78"/>
    </row>
    <row r="319" spans="1:20">
      <c r="A319" s="55">
        <v>45310.8283101852</v>
      </c>
      <c r="B319" s="56">
        <v>45310.8383564815</v>
      </c>
      <c r="C319" s="35">
        <v>518</v>
      </c>
      <c r="D319" s="35" t="s">
        <v>43</v>
      </c>
      <c r="E319" s="35" t="s">
        <v>32</v>
      </c>
      <c r="F319" s="35" t="s">
        <v>34</v>
      </c>
      <c r="G319" s="35" t="s">
        <v>35</v>
      </c>
      <c r="H319" s="35">
        <f t="shared" si="12"/>
        <v>1</v>
      </c>
      <c r="I319" s="35"/>
      <c r="J319" s="35">
        <v>4</v>
      </c>
      <c r="K319" s="35">
        <f t="shared" si="13"/>
        <v>19</v>
      </c>
      <c r="L319" s="35" t="str">
        <f t="shared" si="14"/>
        <v>Evening</v>
      </c>
      <c r="M319" s="65"/>
      <c r="N319" s="65"/>
      <c r="O319" s="65"/>
      <c r="P319" s="66"/>
      <c r="Q319" s="35"/>
      <c r="R319" s="66"/>
      <c r="S319" s="73"/>
      <c r="T319" s="78"/>
    </row>
    <row r="320" spans="1:20">
      <c r="A320" s="55">
        <v>45297.595462963</v>
      </c>
      <c r="B320" s="56">
        <v>45297.5996759259</v>
      </c>
      <c r="C320" s="35">
        <v>45</v>
      </c>
      <c r="D320" s="35" t="s">
        <v>39</v>
      </c>
      <c r="E320" s="35" t="s">
        <v>39</v>
      </c>
      <c r="F320" s="35" t="s">
        <v>34</v>
      </c>
      <c r="G320" s="35" t="s">
        <v>35</v>
      </c>
      <c r="H320" s="35">
        <f t="shared" si="12"/>
        <v>1</v>
      </c>
      <c r="I320" s="35"/>
      <c r="J320" s="35">
        <v>4</v>
      </c>
      <c r="K320" s="35">
        <f t="shared" si="13"/>
        <v>14</v>
      </c>
      <c r="L320" s="35" t="str">
        <f t="shared" si="14"/>
        <v>Morning</v>
      </c>
      <c r="M320" s="65"/>
      <c r="N320" s="65"/>
      <c r="O320" s="65"/>
      <c r="P320" s="66"/>
      <c r="Q320" s="35"/>
      <c r="R320" s="66"/>
      <c r="S320" s="73"/>
      <c r="T320" s="78"/>
    </row>
    <row r="321" spans="1:20">
      <c r="A321" s="55">
        <v>45309.8771412037</v>
      </c>
      <c r="B321" s="56">
        <v>45309.8844560185</v>
      </c>
      <c r="C321" s="35">
        <v>402</v>
      </c>
      <c r="D321" s="35" t="s">
        <v>32</v>
      </c>
      <c r="E321" s="35" t="s">
        <v>32</v>
      </c>
      <c r="F321" s="35" t="s">
        <v>40</v>
      </c>
      <c r="G321" s="35" t="s">
        <v>35</v>
      </c>
      <c r="H321" s="35">
        <f t="shared" si="12"/>
        <v>1</v>
      </c>
      <c r="I321" s="35"/>
      <c r="J321" s="35">
        <v>5</v>
      </c>
      <c r="K321" s="35">
        <f t="shared" si="13"/>
        <v>21</v>
      </c>
      <c r="L321" s="35" t="str">
        <f t="shared" si="14"/>
        <v>Evening</v>
      </c>
      <c r="M321" s="65"/>
      <c r="N321" s="65"/>
      <c r="O321" s="65"/>
      <c r="P321" s="66"/>
      <c r="Q321" s="35"/>
      <c r="R321" s="66"/>
      <c r="S321" s="73"/>
      <c r="T321" s="78"/>
    </row>
    <row r="322" spans="1:20">
      <c r="A322" s="55">
        <v>45312.2672453704</v>
      </c>
      <c r="B322" s="56">
        <v>45312.284837963</v>
      </c>
      <c r="C322" s="35">
        <v>377</v>
      </c>
      <c r="D322" s="35" t="s">
        <v>42</v>
      </c>
      <c r="E322" s="35" t="s">
        <v>32</v>
      </c>
      <c r="F322" s="35" t="s">
        <v>38</v>
      </c>
      <c r="G322" s="35" t="s">
        <v>35</v>
      </c>
      <c r="H322" s="35">
        <f t="shared" si="12"/>
        <v>1</v>
      </c>
      <c r="I322" s="35"/>
      <c r="J322" s="35">
        <v>5</v>
      </c>
      <c r="K322" s="35">
        <f t="shared" si="13"/>
        <v>6</v>
      </c>
      <c r="L322" s="35" t="str">
        <f t="shared" si="14"/>
        <v>Morning</v>
      </c>
      <c r="M322" s="65"/>
      <c r="N322" s="65"/>
      <c r="O322" s="65"/>
      <c r="P322" s="66"/>
      <c r="Q322" s="35"/>
      <c r="R322" s="66"/>
      <c r="S322" s="73"/>
      <c r="T322" s="78"/>
    </row>
    <row r="323" spans="1:20">
      <c r="A323" s="55">
        <v>45304.5909837963</v>
      </c>
      <c r="B323" s="56">
        <v>45304.5992361111</v>
      </c>
      <c r="C323" s="35">
        <v>234</v>
      </c>
      <c r="D323" s="35" t="s">
        <v>43</v>
      </c>
      <c r="E323" s="35" t="s">
        <v>41</v>
      </c>
      <c r="F323" s="35" t="s">
        <v>40</v>
      </c>
      <c r="G323" s="35" t="s">
        <v>35</v>
      </c>
      <c r="H323" s="35">
        <f t="shared" ref="H323:H386" si="15">IF(G323="Y",1,0)</f>
        <v>1</v>
      </c>
      <c r="I323" s="35"/>
      <c r="J323" s="35">
        <v>4</v>
      </c>
      <c r="K323" s="35">
        <f t="shared" ref="K323:K386" si="16">HOUR(A323:A822)</f>
        <v>14</v>
      </c>
      <c r="L323" s="35" t="str">
        <f t="shared" ref="L323:L386" si="17">IF(AND(K323&gt;=6,K323&lt;=18),"Morning","Evening")</f>
        <v>Morning</v>
      </c>
      <c r="M323" s="65"/>
      <c r="N323" s="65"/>
      <c r="O323" s="65"/>
      <c r="P323" s="66"/>
      <c r="Q323" s="35"/>
      <c r="R323" s="66"/>
      <c r="S323" s="73"/>
      <c r="T323" s="78"/>
    </row>
    <row r="324" spans="1:20">
      <c r="A324" s="55">
        <v>45303.5486805556</v>
      </c>
      <c r="B324" s="56">
        <v>45303.5552430556</v>
      </c>
      <c r="C324" s="35">
        <v>256</v>
      </c>
      <c r="D324" s="35" t="s">
        <v>37</v>
      </c>
      <c r="E324" s="35" t="s">
        <v>33</v>
      </c>
      <c r="F324" s="35" t="s">
        <v>40</v>
      </c>
      <c r="G324" s="35" t="s">
        <v>35</v>
      </c>
      <c r="H324" s="35">
        <f t="shared" si="15"/>
        <v>1</v>
      </c>
      <c r="I324" s="35"/>
      <c r="J324" s="35">
        <v>4</v>
      </c>
      <c r="K324" s="35">
        <f t="shared" si="16"/>
        <v>13</v>
      </c>
      <c r="L324" s="35" t="str">
        <f t="shared" si="17"/>
        <v>Morning</v>
      </c>
      <c r="M324" s="65"/>
      <c r="N324" s="65"/>
      <c r="O324" s="65"/>
      <c r="P324" s="66"/>
      <c r="Q324" s="35"/>
      <c r="R324" s="66"/>
      <c r="S324" s="73"/>
      <c r="T324" s="78"/>
    </row>
    <row r="325" spans="1:20">
      <c r="A325" s="55">
        <v>45318.4661458333</v>
      </c>
      <c r="B325" s="56">
        <v>45318.4808796296</v>
      </c>
      <c r="C325" s="35">
        <v>335</v>
      </c>
      <c r="D325" s="35" t="s">
        <v>37</v>
      </c>
      <c r="E325" s="35" t="s">
        <v>33</v>
      </c>
      <c r="F325" s="35" t="s">
        <v>34</v>
      </c>
      <c r="G325" s="35" t="s">
        <v>35</v>
      </c>
      <c r="H325" s="35">
        <f t="shared" si="15"/>
        <v>1</v>
      </c>
      <c r="I325" s="35"/>
      <c r="J325" s="35">
        <v>5</v>
      </c>
      <c r="K325" s="35">
        <f t="shared" si="16"/>
        <v>11</v>
      </c>
      <c r="L325" s="35" t="str">
        <f t="shared" si="17"/>
        <v>Morning</v>
      </c>
      <c r="M325" s="65"/>
      <c r="N325" s="65"/>
      <c r="O325" s="65"/>
      <c r="P325" s="66"/>
      <c r="Q325" s="35"/>
      <c r="R325" s="66"/>
      <c r="S325" s="73"/>
      <c r="T325" s="78"/>
    </row>
    <row r="326" spans="1:20">
      <c r="A326" s="55">
        <v>45296.5373958333</v>
      </c>
      <c r="B326" s="56">
        <v>45296.5497569444</v>
      </c>
      <c r="C326" s="35">
        <v>565</v>
      </c>
      <c r="D326" s="35" t="s">
        <v>37</v>
      </c>
      <c r="E326" s="35" t="s">
        <v>39</v>
      </c>
      <c r="F326" s="35" t="s">
        <v>38</v>
      </c>
      <c r="G326" s="35" t="s">
        <v>36</v>
      </c>
      <c r="H326" s="35">
        <f t="shared" si="15"/>
        <v>0</v>
      </c>
      <c r="I326" s="35"/>
      <c r="J326" s="35">
        <v>1</v>
      </c>
      <c r="K326" s="35">
        <f t="shared" si="16"/>
        <v>12</v>
      </c>
      <c r="L326" s="35" t="str">
        <f t="shared" si="17"/>
        <v>Morning</v>
      </c>
      <c r="M326" s="65"/>
      <c r="N326" s="65"/>
      <c r="O326" s="65"/>
      <c r="P326" s="66"/>
      <c r="Q326" s="35"/>
      <c r="R326" s="66"/>
      <c r="S326" s="73"/>
      <c r="T326" s="78"/>
    </row>
    <row r="327" spans="1:20">
      <c r="A327" s="55">
        <v>45292.9375</v>
      </c>
      <c r="B327" s="56">
        <v>45292.9460532407</v>
      </c>
      <c r="C327" s="35">
        <v>216</v>
      </c>
      <c r="D327" s="35" t="s">
        <v>32</v>
      </c>
      <c r="E327" s="35" t="s">
        <v>41</v>
      </c>
      <c r="F327" s="35" t="s">
        <v>34</v>
      </c>
      <c r="G327" s="35" t="s">
        <v>36</v>
      </c>
      <c r="H327" s="35">
        <f t="shared" si="15"/>
        <v>0</v>
      </c>
      <c r="I327" s="35"/>
      <c r="J327" s="35">
        <v>2</v>
      </c>
      <c r="K327" s="35">
        <f t="shared" si="16"/>
        <v>22</v>
      </c>
      <c r="L327" s="35" t="str">
        <f t="shared" si="17"/>
        <v>Evening</v>
      </c>
      <c r="M327" s="65"/>
      <c r="N327" s="65"/>
      <c r="O327" s="65"/>
      <c r="P327" s="66"/>
      <c r="Q327" s="35"/>
      <c r="R327" s="66"/>
      <c r="S327" s="73"/>
      <c r="T327" s="78"/>
    </row>
    <row r="328" spans="1:20">
      <c r="A328" s="55">
        <v>45310.450775463</v>
      </c>
      <c r="B328" s="56">
        <v>45310.4715277778</v>
      </c>
      <c r="C328" s="35">
        <v>548</v>
      </c>
      <c r="D328" s="35" t="s">
        <v>37</v>
      </c>
      <c r="E328" s="35" t="s">
        <v>33</v>
      </c>
      <c r="F328" s="35" t="s">
        <v>38</v>
      </c>
      <c r="G328" s="35" t="s">
        <v>35</v>
      </c>
      <c r="H328" s="35">
        <f t="shared" si="15"/>
        <v>1</v>
      </c>
      <c r="I328" s="35"/>
      <c r="J328" s="35">
        <v>5</v>
      </c>
      <c r="K328" s="35">
        <f t="shared" si="16"/>
        <v>10</v>
      </c>
      <c r="L328" s="35" t="str">
        <f t="shared" si="17"/>
        <v>Morning</v>
      </c>
      <c r="M328" s="65"/>
      <c r="N328" s="65"/>
      <c r="O328" s="65"/>
      <c r="P328" s="66"/>
      <c r="Q328" s="35"/>
      <c r="R328" s="66"/>
      <c r="S328" s="73"/>
      <c r="T328" s="78"/>
    </row>
    <row r="329" spans="1:20">
      <c r="A329" s="55">
        <v>45310.3898032407</v>
      </c>
      <c r="B329" s="56">
        <v>45310.3981365741</v>
      </c>
      <c r="C329" s="35">
        <v>149</v>
      </c>
      <c r="D329" s="35" t="s">
        <v>32</v>
      </c>
      <c r="E329" s="35" t="s">
        <v>32</v>
      </c>
      <c r="F329" s="35" t="s">
        <v>34</v>
      </c>
      <c r="G329" s="35" t="s">
        <v>35</v>
      </c>
      <c r="H329" s="35">
        <f t="shared" si="15"/>
        <v>1</v>
      </c>
      <c r="I329" s="35"/>
      <c r="J329" s="35">
        <v>5</v>
      </c>
      <c r="K329" s="35">
        <f t="shared" si="16"/>
        <v>9</v>
      </c>
      <c r="L329" s="35" t="str">
        <f t="shared" si="17"/>
        <v>Morning</v>
      </c>
      <c r="M329" s="65"/>
      <c r="N329" s="65"/>
      <c r="O329" s="65"/>
      <c r="P329" s="66"/>
      <c r="Q329" s="35"/>
      <c r="R329" s="66"/>
      <c r="S329" s="73"/>
      <c r="T329" s="78"/>
    </row>
    <row r="330" spans="1:20">
      <c r="A330" s="55">
        <v>45297.7185416667</v>
      </c>
      <c r="B330" s="56">
        <v>45297.7331944444</v>
      </c>
      <c r="C330" s="35">
        <v>189</v>
      </c>
      <c r="D330" s="35" t="s">
        <v>42</v>
      </c>
      <c r="E330" s="35" t="s">
        <v>41</v>
      </c>
      <c r="F330" s="35" t="s">
        <v>34</v>
      </c>
      <c r="G330" s="35" t="s">
        <v>35</v>
      </c>
      <c r="H330" s="35">
        <f t="shared" si="15"/>
        <v>1</v>
      </c>
      <c r="I330" s="35"/>
      <c r="J330" s="35">
        <v>3</v>
      </c>
      <c r="K330" s="35">
        <f t="shared" si="16"/>
        <v>17</v>
      </c>
      <c r="L330" s="35" t="str">
        <f t="shared" si="17"/>
        <v>Morning</v>
      </c>
      <c r="M330" s="65"/>
      <c r="N330" s="65"/>
      <c r="O330" s="65"/>
      <c r="P330" s="66"/>
      <c r="Q330" s="35"/>
      <c r="R330" s="66"/>
      <c r="S330" s="73"/>
      <c r="T330" s="78"/>
    </row>
    <row r="331" spans="1:20">
      <c r="A331" s="55">
        <v>45315.2809722222</v>
      </c>
      <c r="B331" s="56">
        <v>45315.2909375</v>
      </c>
      <c r="C331" s="35">
        <v>591</v>
      </c>
      <c r="D331" s="35" t="s">
        <v>43</v>
      </c>
      <c r="E331" s="35" t="s">
        <v>39</v>
      </c>
      <c r="F331" s="35" t="s">
        <v>34</v>
      </c>
      <c r="G331" s="35" t="s">
        <v>35</v>
      </c>
      <c r="H331" s="35">
        <f t="shared" si="15"/>
        <v>1</v>
      </c>
      <c r="I331" s="35"/>
      <c r="J331" s="35">
        <v>5</v>
      </c>
      <c r="K331" s="35">
        <f t="shared" si="16"/>
        <v>6</v>
      </c>
      <c r="L331" s="35" t="str">
        <f t="shared" si="17"/>
        <v>Morning</v>
      </c>
      <c r="M331" s="65"/>
      <c r="N331" s="65"/>
      <c r="O331" s="65"/>
      <c r="P331" s="66"/>
      <c r="Q331" s="35"/>
      <c r="R331" s="66"/>
      <c r="S331" s="73"/>
      <c r="T331" s="78"/>
    </row>
    <row r="332" spans="1:20">
      <c r="A332" s="55">
        <v>45312.4163310185</v>
      </c>
      <c r="B332" s="56">
        <v>45312.4203587963</v>
      </c>
      <c r="C332" s="35">
        <v>349</v>
      </c>
      <c r="D332" s="35" t="s">
        <v>43</v>
      </c>
      <c r="E332" s="35" t="s">
        <v>39</v>
      </c>
      <c r="F332" s="35" t="s">
        <v>38</v>
      </c>
      <c r="G332" s="35" t="s">
        <v>35</v>
      </c>
      <c r="H332" s="35">
        <f t="shared" si="15"/>
        <v>1</v>
      </c>
      <c r="I332" s="35"/>
      <c r="J332" s="35">
        <v>3</v>
      </c>
      <c r="K332" s="35">
        <f t="shared" si="16"/>
        <v>9</v>
      </c>
      <c r="L332" s="35" t="str">
        <f t="shared" si="17"/>
        <v>Morning</v>
      </c>
      <c r="M332" s="65"/>
      <c r="N332" s="65"/>
      <c r="O332" s="65"/>
      <c r="P332" s="66"/>
      <c r="Q332" s="35"/>
      <c r="R332" s="66"/>
      <c r="S332" s="73"/>
      <c r="T332" s="78"/>
    </row>
    <row r="333" spans="1:20">
      <c r="A333" s="55">
        <v>45294.6861111111</v>
      </c>
      <c r="B333" s="56">
        <v>45294.6930902778</v>
      </c>
      <c r="C333" s="35">
        <v>224</v>
      </c>
      <c r="D333" s="35" t="s">
        <v>32</v>
      </c>
      <c r="E333" s="35" t="s">
        <v>33</v>
      </c>
      <c r="F333" s="35" t="s">
        <v>38</v>
      </c>
      <c r="G333" s="35" t="s">
        <v>35</v>
      </c>
      <c r="H333" s="35">
        <f t="shared" si="15"/>
        <v>1</v>
      </c>
      <c r="I333" s="35"/>
      <c r="J333" s="35">
        <v>3</v>
      </c>
      <c r="K333" s="35">
        <f t="shared" si="16"/>
        <v>16</v>
      </c>
      <c r="L333" s="35" t="str">
        <f t="shared" si="17"/>
        <v>Morning</v>
      </c>
      <c r="M333" s="65"/>
      <c r="N333" s="65"/>
      <c r="O333" s="65"/>
      <c r="P333" s="66"/>
      <c r="Q333" s="35"/>
      <c r="R333" s="66"/>
      <c r="S333" s="73"/>
      <c r="T333" s="78"/>
    </row>
    <row r="334" spans="1:20">
      <c r="A334" s="55">
        <v>45292.3086574074</v>
      </c>
      <c r="B334" s="56">
        <v>45292.326712963</v>
      </c>
      <c r="C334" s="35">
        <v>439</v>
      </c>
      <c r="D334" s="35" t="s">
        <v>32</v>
      </c>
      <c r="E334" s="35" t="s">
        <v>32</v>
      </c>
      <c r="F334" s="35" t="s">
        <v>38</v>
      </c>
      <c r="G334" s="35" t="s">
        <v>35</v>
      </c>
      <c r="H334" s="35">
        <f t="shared" si="15"/>
        <v>1</v>
      </c>
      <c r="I334" s="35"/>
      <c r="J334" s="35">
        <v>4</v>
      </c>
      <c r="K334" s="35">
        <f t="shared" si="16"/>
        <v>7</v>
      </c>
      <c r="L334" s="35" t="str">
        <f t="shared" si="17"/>
        <v>Morning</v>
      </c>
      <c r="M334" s="65"/>
      <c r="N334" s="65"/>
      <c r="O334" s="65"/>
      <c r="P334" s="66"/>
      <c r="Q334" s="35"/>
      <c r="R334" s="66"/>
      <c r="S334" s="73"/>
      <c r="T334" s="78"/>
    </row>
    <row r="335" spans="1:20">
      <c r="A335" s="55">
        <v>45304.4121527778</v>
      </c>
      <c r="B335" s="56">
        <v>45304.4315393519</v>
      </c>
      <c r="C335" s="35">
        <v>240</v>
      </c>
      <c r="D335" s="35" t="s">
        <v>32</v>
      </c>
      <c r="E335" s="35" t="s">
        <v>32</v>
      </c>
      <c r="F335" s="35" t="s">
        <v>40</v>
      </c>
      <c r="G335" s="35" t="s">
        <v>35</v>
      </c>
      <c r="H335" s="35">
        <f t="shared" si="15"/>
        <v>1</v>
      </c>
      <c r="I335" s="35"/>
      <c r="J335" s="35">
        <v>3</v>
      </c>
      <c r="K335" s="35">
        <f t="shared" si="16"/>
        <v>9</v>
      </c>
      <c r="L335" s="35" t="str">
        <f t="shared" si="17"/>
        <v>Morning</v>
      </c>
      <c r="M335" s="65"/>
      <c r="N335" s="65"/>
      <c r="O335" s="65"/>
      <c r="P335" s="66"/>
      <c r="Q335" s="35"/>
      <c r="R335" s="66"/>
      <c r="S335" s="73"/>
      <c r="T335" s="78"/>
    </row>
    <row r="336" spans="1:20">
      <c r="A336" s="55">
        <v>45292.6778472222</v>
      </c>
      <c r="B336" s="56">
        <v>45292.6802893519</v>
      </c>
      <c r="C336" s="35">
        <v>360</v>
      </c>
      <c r="D336" s="35" t="s">
        <v>32</v>
      </c>
      <c r="E336" s="35" t="s">
        <v>32</v>
      </c>
      <c r="F336" s="35" t="s">
        <v>40</v>
      </c>
      <c r="G336" s="35" t="s">
        <v>35</v>
      </c>
      <c r="H336" s="35">
        <f t="shared" si="15"/>
        <v>1</v>
      </c>
      <c r="I336" s="35"/>
      <c r="J336" s="35">
        <v>5</v>
      </c>
      <c r="K336" s="35">
        <f t="shared" si="16"/>
        <v>16</v>
      </c>
      <c r="L336" s="35" t="str">
        <f t="shared" si="17"/>
        <v>Morning</v>
      </c>
      <c r="M336" s="65"/>
      <c r="N336" s="65"/>
      <c r="O336" s="65"/>
      <c r="P336" s="66"/>
      <c r="Q336" s="35"/>
      <c r="R336" s="66"/>
      <c r="S336" s="73"/>
      <c r="T336" s="78"/>
    </row>
    <row r="337" spans="1:20">
      <c r="A337" s="55">
        <v>45294.6935069444</v>
      </c>
      <c r="B337" s="56">
        <v>45294.7056365741</v>
      </c>
      <c r="C337" s="35">
        <v>41</v>
      </c>
      <c r="D337" s="35" t="s">
        <v>42</v>
      </c>
      <c r="E337" s="35" t="s">
        <v>39</v>
      </c>
      <c r="F337" s="35" t="s">
        <v>34</v>
      </c>
      <c r="G337" s="35" t="s">
        <v>35</v>
      </c>
      <c r="H337" s="35">
        <f t="shared" si="15"/>
        <v>1</v>
      </c>
      <c r="I337" s="35"/>
      <c r="J337" s="35">
        <v>3</v>
      </c>
      <c r="K337" s="35">
        <f t="shared" si="16"/>
        <v>16</v>
      </c>
      <c r="L337" s="35" t="str">
        <f t="shared" si="17"/>
        <v>Morning</v>
      </c>
      <c r="M337" s="65"/>
      <c r="N337" s="65"/>
      <c r="O337" s="65"/>
      <c r="P337" s="66"/>
      <c r="Q337" s="35"/>
      <c r="R337" s="66"/>
      <c r="S337" s="73"/>
      <c r="T337" s="78"/>
    </row>
    <row r="338" spans="1:20">
      <c r="A338" s="55">
        <v>45295.6758333333</v>
      </c>
      <c r="B338" s="56">
        <v>45295.6862268519</v>
      </c>
      <c r="C338" s="35">
        <v>577</v>
      </c>
      <c r="D338" s="35" t="s">
        <v>39</v>
      </c>
      <c r="E338" s="35" t="s">
        <v>41</v>
      </c>
      <c r="F338" s="35" t="s">
        <v>34</v>
      </c>
      <c r="G338" s="35" t="s">
        <v>35</v>
      </c>
      <c r="H338" s="35">
        <f t="shared" si="15"/>
        <v>1</v>
      </c>
      <c r="I338" s="35"/>
      <c r="J338" s="35">
        <v>3</v>
      </c>
      <c r="K338" s="35">
        <f t="shared" si="16"/>
        <v>16</v>
      </c>
      <c r="L338" s="35" t="str">
        <f t="shared" si="17"/>
        <v>Morning</v>
      </c>
      <c r="M338" s="65"/>
      <c r="N338" s="65"/>
      <c r="O338" s="65"/>
      <c r="P338" s="66"/>
      <c r="Q338" s="35"/>
      <c r="R338" s="66"/>
      <c r="S338" s="73"/>
      <c r="T338" s="78"/>
    </row>
    <row r="339" spans="1:20">
      <c r="A339" s="55">
        <v>45293.7754050926</v>
      </c>
      <c r="B339" s="56">
        <v>45293.7960069444</v>
      </c>
      <c r="C339" s="35">
        <v>512</v>
      </c>
      <c r="D339" s="35" t="s">
        <v>32</v>
      </c>
      <c r="E339" s="35" t="s">
        <v>33</v>
      </c>
      <c r="F339" s="35" t="s">
        <v>38</v>
      </c>
      <c r="G339" s="35" t="s">
        <v>36</v>
      </c>
      <c r="H339" s="35">
        <f t="shared" si="15"/>
        <v>0</v>
      </c>
      <c r="I339" s="35"/>
      <c r="J339" s="35">
        <v>1</v>
      </c>
      <c r="K339" s="35">
        <f t="shared" si="16"/>
        <v>18</v>
      </c>
      <c r="L339" s="35" t="str">
        <f t="shared" si="17"/>
        <v>Morning</v>
      </c>
      <c r="M339" s="65"/>
      <c r="N339" s="65"/>
      <c r="O339" s="65"/>
      <c r="P339" s="66"/>
      <c r="Q339" s="35"/>
      <c r="R339" s="66"/>
      <c r="S339" s="73"/>
      <c r="T339" s="78"/>
    </row>
    <row r="340" spans="1:20">
      <c r="A340" s="55">
        <v>45312.8834027778</v>
      </c>
      <c r="B340" s="56">
        <v>45312.8846990741</v>
      </c>
      <c r="C340" s="35">
        <v>221</v>
      </c>
      <c r="D340" s="35" t="s">
        <v>32</v>
      </c>
      <c r="E340" s="35" t="s">
        <v>41</v>
      </c>
      <c r="F340" s="35" t="s">
        <v>40</v>
      </c>
      <c r="G340" s="35" t="s">
        <v>35</v>
      </c>
      <c r="H340" s="35">
        <f t="shared" si="15"/>
        <v>1</v>
      </c>
      <c r="I340" s="35"/>
      <c r="J340" s="35">
        <v>3</v>
      </c>
      <c r="K340" s="35">
        <f t="shared" si="16"/>
        <v>21</v>
      </c>
      <c r="L340" s="35" t="str">
        <f t="shared" si="17"/>
        <v>Evening</v>
      </c>
      <c r="M340" s="65"/>
      <c r="N340" s="65"/>
      <c r="O340" s="65"/>
      <c r="P340" s="66"/>
      <c r="Q340" s="35"/>
      <c r="R340" s="66"/>
      <c r="S340" s="73"/>
      <c r="T340" s="78"/>
    </row>
    <row r="341" spans="1:20">
      <c r="A341" s="55">
        <v>45317.7711921296</v>
      </c>
      <c r="B341" s="56">
        <v>45317.7875462963</v>
      </c>
      <c r="C341" s="35">
        <v>281</v>
      </c>
      <c r="D341" s="35" t="s">
        <v>43</v>
      </c>
      <c r="E341" s="35" t="s">
        <v>32</v>
      </c>
      <c r="F341" s="35" t="s">
        <v>40</v>
      </c>
      <c r="G341" s="35" t="s">
        <v>35</v>
      </c>
      <c r="H341" s="35">
        <f t="shared" si="15"/>
        <v>1</v>
      </c>
      <c r="I341" s="35"/>
      <c r="J341" s="35">
        <v>4</v>
      </c>
      <c r="K341" s="35">
        <f t="shared" si="16"/>
        <v>18</v>
      </c>
      <c r="L341" s="35" t="str">
        <f t="shared" si="17"/>
        <v>Morning</v>
      </c>
      <c r="M341" s="65"/>
      <c r="N341" s="65"/>
      <c r="O341" s="65"/>
      <c r="P341" s="66"/>
      <c r="Q341" s="35"/>
      <c r="R341" s="66"/>
      <c r="S341" s="73"/>
      <c r="T341" s="78"/>
    </row>
    <row r="342" spans="1:20">
      <c r="A342" s="55">
        <v>45297.8349074074</v>
      </c>
      <c r="B342" s="56">
        <v>45297.8460185185</v>
      </c>
      <c r="C342" s="35">
        <v>486</v>
      </c>
      <c r="D342" s="35" t="s">
        <v>37</v>
      </c>
      <c r="E342" s="35" t="s">
        <v>39</v>
      </c>
      <c r="F342" s="35" t="s">
        <v>38</v>
      </c>
      <c r="G342" s="35" t="s">
        <v>35</v>
      </c>
      <c r="H342" s="35">
        <f t="shared" si="15"/>
        <v>1</v>
      </c>
      <c r="I342" s="35"/>
      <c r="J342" s="35">
        <v>3</v>
      </c>
      <c r="K342" s="35">
        <f t="shared" si="16"/>
        <v>20</v>
      </c>
      <c r="L342" s="35" t="str">
        <f t="shared" si="17"/>
        <v>Evening</v>
      </c>
      <c r="M342" s="65"/>
      <c r="N342" s="65"/>
      <c r="O342" s="65"/>
      <c r="P342" s="66"/>
      <c r="Q342" s="35"/>
      <c r="R342" s="66"/>
      <c r="S342" s="73"/>
      <c r="T342" s="78"/>
    </row>
    <row r="343" spans="1:20">
      <c r="A343" s="55">
        <v>45314.3789583333</v>
      </c>
      <c r="B343" s="56">
        <v>45314.3878009259</v>
      </c>
      <c r="C343" s="35">
        <v>564</v>
      </c>
      <c r="D343" s="35" t="s">
        <v>42</v>
      </c>
      <c r="E343" s="35" t="s">
        <v>39</v>
      </c>
      <c r="F343" s="35" t="s">
        <v>34</v>
      </c>
      <c r="G343" s="35" t="s">
        <v>36</v>
      </c>
      <c r="H343" s="35">
        <f t="shared" si="15"/>
        <v>0</v>
      </c>
      <c r="I343" s="35"/>
      <c r="J343" s="35">
        <v>2</v>
      </c>
      <c r="K343" s="35">
        <f t="shared" si="16"/>
        <v>9</v>
      </c>
      <c r="L343" s="35" t="str">
        <f t="shared" si="17"/>
        <v>Morning</v>
      </c>
      <c r="M343" s="65"/>
      <c r="N343" s="65"/>
      <c r="O343" s="65"/>
      <c r="P343" s="66"/>
      <c r="Q343" s="35"/>
      <c r="R343" s="66"/>
      <c r="S343" s="73"/>
      <c r="T343" s="78"/>
    </row>
    <row r="344" spans="1:20">
      <c r="A344" s="55">
        <v>45309.9006481481</v>
      </c>
      <c r="B344" s="56">
        <v>45309.9069212963</v>
      </c>
      <c r="C344" s="35">
        <v>497</v>
      </c>
      <c r="D344" s="35" t="s">
        <v>37</v>
      </c>
      <c r="E344" s="35" t="s">
        <v>33</v>
      </c>
      <c r="F344" s="35" t="s">
        <v>38</v>
      </c>
      <c r="G344" s="35" t="s">
        <v>35</v>
      </c>
      <c r="H344" s="35">
        <f t="shared" si="15"/>
        <v>1</v>
      </c>
      <c r="I344" s="35"/>
      <c r="J344" s="35">
        <v>5</v>
      </c>
      <c r="K344" s="35">
        <f t="shared" si="16"/>
        <v>21</v>
      </c>
      <c r="L344" s="35" t="str">
        <f t="shared" si="17"/>
        <v>Evening</v>
      </c>
      <c r="M344" s="65"/>
      <c r="N344" s="65"/>
      <c r="O344" s="65"/>
      <c r="P344" s="66"/>
      <c r="Q344" s="35"/>
      <c r="R344" s="66"/>
      <c r="S344" s="73"/>
      <c r="T344" s="78"/>
    </row>
    <row r="345" spans="1:20">
      <c r="A345" s="55">
        <v>45308.9525</v>
      </c>
      <c r="B345" s="56">
        <v>45308.9692476852</v>
      </c>
      <c r="C345" s="35">
        <v>160</v>
      </c>
      <c r="D345" s="35" t="s">
        <v>43</v>
      </c>
      <c r="E345" s="35" t="s">
        <v>32</v>
      </c>
      <c r="F345" s="35" t="s">
        <v>40</v>
      </c>
      <c r="G345" s="35" t="s">
        <v>35</v>
      </c>
      <c r="H345" s="35">
        <f t="shared" si="15"/>
        <v>1</v>
      </c>
      <c r="I345" s="35"/>
      <c r="J345" s="35">
        <v>3</v>
      </c>
      <c r="K345" s="35">
        <f t="shared" si="16"/>
        <v>22</v>
      </c>
      <c r="L345" s="35" t="str">
        <f t="shared" si="17"/>
        <v>Evening</v>
      </c>
      <c r="M345" s="65"/>
      <c r="N345" s="65"/>
      <c r="O345" s="65"/>
      <c r="P345" s="66"/>
      <c r="Q345" s="35"/>
      <c r="R345" s="66"/>
      <c r="S345" s="73"/>
      <c r="T345" s="78"/>
    </row>
    <row r="346" spans="1:20">
      <c r="A346" s="55">
        <v>45317.5055787037</v>
      </c>
      <c r="B346" s="56">
        <v>45317.5163078704</v>
      </c>
      <c r="C346" s="35">
        <v>90</v>
      </c>
      <c r="D346" s="35" t="s">
        <v>42</v>
      </c>
      <c r="E346" s="35" t="s">
        <v>39</v>
      </c>
      <c r="F346" s="35" t="s">
        <v>34</v>
      </c>
      <c r="G346" s="35" t="s">
        <v>36</v>
      </c>
      <c r="H346" s="35">
        <f t="shared" si="15"/>
        <v>0</v>
      </c>
      <c r="I346" s="35"/>
      <c r="J346" s="35">
        <v>3</v>
      </c>
      <c r="K346" s="35">
        <f t="shared" si="16"/>
        <v>12</v>
      </c>
      <c r="L346" s="35" t="str">
        <f t="shared" si="17"/>
        <v>Morning</v>
      </c>
      <c r="M346" s="65"/>
      <c r="N346" s="65"/>
      <c r="O346" s="65"/>
      <c r="P346" s="66"/>
      <c r="Q346" s="35"/>
      <c r="R346" s="66"/>
      <c r="S346" s="73"/>
      <c r="T346" s="78"/>
    </row>
    <row r="347" spans="1:20">
      <c r="A347" s="55">
        <v>45315.3370833333</v>
      </c>
      <c r="B347" s="56">
        <v>45315.3509606481</v>
      </c>
      <c r="C347" s="35">
        <v>416</v>
      </c>
      <c r="D347" s="35" t="s">
        <v>39</v>
      </c>
      <c r="E347" s="35" t="s">
        <v>41</v>
      </c>
      <c r="F347" s="35" t="s">
        <v>38</v>
      </c>
      <c r="G347" s="35" t="s">
        <v>35</v>
      </c>
      <c r="H347" s="35">
        <f t="shared" si="15"/>
        <v>1</v>
      </c>
      <c r="I347" s="35"/>
      <c r="J347" s="35">
        <v>3</v>
      </c>
      <c r="K347" s="35">
        <f t="shared" si="16"/>
        <v>8</v>
      </c>
      <c r="L347" s="35" t="str">
        <f t="shared" si="17"/>
        <v>Morning</v>
      </c>
      <c r="M347" s="65"/>
      <c r="N347" s="65"/>
      <c r="O347" s="65"/>
      <c r="P347" s="66"/>
      <c r="Q347" s="35"/>
      <c r="R347" s="66"/>
      <c r="S347" s="73"/>
      <c r="T347" s="78"/>
    </row>
    <row r="348" spans="1:20">
      <c r="A348" s="55">
        <v>45314.9516898148</v>
      </c>
      <c r="B348" s="56">
        <v>45314.9550462963</v>
      </c>
      <c r="C348" s="35">
        <v>434</v>
      </c>
      <c r="D348" s="35" t="s">
        <v>32</v>
      </c>
      <c r="E348" s="35" t="s">
        <v>39</v>
      </c>
      <c r="F348" s="35" t="s">
        <v>34</v>
      </c>
      <c r="G348" s="35" t="s">
        <v>35</v>
      </c>
      <c r="H348" s="35">
        <f t="shared" si="15"/>
        <v>1</v>
      </c>
      <c r="I348" s="35"/>
      <c r="J348" s="35">
        <v>3</v>
      </c>
      <c r="K348" s="35">
        <f t="shared" si="16"/>
        <v>22</v>
      </c>
      <c r="L348" s="35" t="str">
        <f t="shared" si="17"/>
        <v>Evening</v>
      </c>
      <c r="M348" s="65"/>
      <c r="N348" s="65"/>
      <c r="O348" s="65"/>
      <c r="P348" s="66"/>
      <c r="Q348" s="35"/>
      <c r="R348" s="66"/>
      <c r="S348" s="73"/>
      <c r="T348" s="78"/>
    </row>
    <row r="349" spans="1:20">
      <c r="A349" s="55">
        <v>45295.4099305556</v>
      </c>
      <c r="B349" s="56">
        <v>45295.4233101852</v>
      </c>
      <c r="C349" s="35">
        <v>362</v>
      </c>
      <c r="D349" s="35" t="s">
        <v>42</v>
      </c>
      <c r="E349" s="35" t="s">
        <v>41</v>
      </c>
      <c r="F349" s="35" t="s">
        <v>38</v>
      </c>
      <c r="G349" s="35" t="s">
        <v>35</v>
      </c>
      <c r="H349" s="35">
        <f t="shared" si="15"/>
        <v>1</v>
      </c>
      <c r="I349" s="35"/>
      <c r="J349" s="35">
        <v>5</v>
      </c>
      <c r="K349" s="35">
        <f t="shared" si="16"/>
        <v>9</v>
      </c>
      <c r="L349" s="35" t="str">
        <f t="shared" si="17"/>
        <v>Morning</v>
      </c>
      <c r="M349" s="65"/>
      <c r="N349" s="65"/>
      <c r="O349" s="65"/>
      <c r="P349" s="66"/>
      <c r="Q349" s="35"/>
      <c r="R349" s="66"/>
      <c r="S349" s="73"/>
      <c r="T349" s="78"/>
    </row>
    <row r="350" spans="1:20">
      <c r="A350" s="55">
        <v>45307.2995023148</v>
      </c>
      <c r="B350" s="56">
        <v>45307.3097453704</v>
      </c>
      <c r="C350" s="35">
        <v>157</v>
      </c>
      <c r="D350" s="35" t="s">
        <v>39</v>
      </c>
      <c r="E350" s="35" t="s">
        <v>32</v>
      </c>
      <c r="F350" s="35" t="s">
        <v>40</v>
      </c>
      <c r="G350" s="35" t="s">
        <v>35</v>
      </c>
      <c r="H350" s="35">
        <f t="shared" si="15"/>
        <v>1</v>
      </c>
      <c r="I350" s="35"/>
      <c r="J350" s="35">
        <v>4</v>
      </c>
      <c r="K350" s="35">
        <f t="shared" si="16"/>
        <v>7</v>
      </c>
      <c r="L350" s="35" t="str">
        <f t="shared" si="17"/>
        <v>Morning</v>
      </c>
      <c r="M350" s="65"/>
      <c r="N350" s="65"/>
      <c r="O350" s="65"/>
      <c r="P350" s="66"/>
      <c r="Q350" s="35"/>
      <c r="R350" s="66"/>
      <c r="S350" s="73"/>
      <c r="T350" s="78"/>
    </row>
    <row r="351" spans="1:20">
      <c r="A351" s="55">
        <v>45299.3246527778</v>
      </c>
      <c r="B351" s="56">
        <v>45299.331712963</v>
      </c>
      <c r="C351" s="35">
        <v>391</v>
      </c>
      <c r="D351" s="35" t="s">
        <v>43</v>
      </c>
      <c r="E351" s="35" t="s">
        <v>41</v>
      </c>
      <c r="F351" s="35" t="s">
        <v>38</v>
      </c>
      <c r="G351" s="35" t="s">
        <v>35</v>
      </c>
      <c r="H351" s="35">
        <f t="shared" si="15"/>
        <v>1</v>
      </c>
      <c r="I351" s="35"/>
      <c r="J351" s="35">
        <v>4</v>
      </c>
      <c r="K351" s="35">
        <f t="shared" si="16"/>
        <v>7</v>
      </c>
      <c r="L351" s="35" t="str">
        <f t="shared" si="17"/>
        <v>Morning</v>
      </c>
      <c r="M351" s="65"/>
      <c r="N351" s="65"/>
      <c r="O351" s="65"/>
      <c r="P351" s="66"/>
      <c r="Q351" s="35"/>
      <c r="R351" s="66"/>
      <c r="S351" s="73"/>
      <c r="T351" s="78"/>
    </row>
    <row r="352" spans="1:20">
      <c r="A352" s="55">
        <v>45314.4133564815</v>
      </c>
      <c r="B352" s="56">
        <v>45314.4172337963</v>
      </c>
      <c r="C352" s="35">
        <v>317</v>
      </c>
      <c r="D352" s="35" t="s">
        <v>42</v>
      </c>
      <c r="E352" s="35" t="s">
        <v>41</v>
      </c>
      <c r="F352" s="35" t="s">
        <v>38</v>
      </c>
      <c r="G352" s="35" t="s">
        <v>35</v>
      </c>
      <c r="H352" s="35">
        <f t="shared" si="15"/>
        <v>1</v>
      </c>
      <c r="I352" s="35"/>
      <c r="J352" s="35">
        <v>5</v>
      </c>
      <c r="K352" s="35">
        <f t="shared" si="16"/>
        <v>9</v>
      </c>
      <c r="L352" s="35" t="str">
        <f t="shared" si="17"/>
        <v>Morning</v>
      </c>
      <c r="M352" s="65"/>
      <c r="N352" s="65"/>
      <c r="O352" s="65"/>
      <c r="P352" s="66"/>
      <c r="Q352" s="35"/>
      <c r="R352" s="66"/>
      <c r="S352" s="73"/>
      <c r="T352" s="78"/>
    </row>
    <row r="353" spans="1:20">
      <c r="A353" s="55">
        <v>45294.5195949074</v>
      </c>
      <c r="B353" s="56">
        <v>45294.5398148148</v>
      </c>
      <c r="C353" s="35">
        <v>426</v>
      </c>
      <c r="D353" s="35" t="s">
        <v>42</v>
      </c>
      <c r="E353" s="35" t="s">
        <v>41</v>
      </c>
      <c r="F353" s="35" t="s">
        <v>40</v>
      </c>
      <c r="G353" s="35" t="s">
        <v>35</v>
      </c>
      <c r="H353" s="35">
        <f t="shared" si="15"/>
        <v>1</v>
      </c>
      <c r="I353" s="35"/>
      <c r="J353" s="35">
        <v>3</v>
      </c>
      <c r="K353" s="35">
        <f t="shared" si="16"/>
        <v>12</v>
      </c>
      <c r="L353" s="35" t="str">
        <f t="shared" si="17"/>
        <v>Morning</v>
      </c>
      <c r="M353" s="65"/>
      <c r="N353" s="65"/>
      <c r="O353" s="65"/>
      <c r="P353" s="66"/>
      <c r="Q353" s="35"/>
      <c r="R353" s="66"/>
      <c r="S353" s="73"/>
      <c r="T353" s="78"/>
    </row>
    <row r="354" spans="1:20">
      <c r="A354" s="55">
        <v>45301.9341203704</v>
      </c>
      <c r="B354" s="56">
        <v>45301.9533101852</v>
      </c>
      <c r="C354" s="35">
        <v>546</v>
      </c>
      <c r="D354" s="35" t="s">
        <v>39</v>
      </c>
      <c r="E354" s="35" t="s">
        <v>33</v>
      </c>
      <c r="F354" s="35" t="s">
        <v>40</v>
      </c>
      <c r="G354" s="35" t="s">
        <v>36</v>
      </c>
      <c r="H354" s="35">
        <f t="shared" si="15"/>
        <v>0</v>
      </c>
      <c r="I354" s="35"/>
      <c r="J354" s="35">
        <v>1</v>
      </c>
      <c r="K354" s="35">
        <f t="shared" si="16"/>
        <v>22</v>
      </c>
      <c r="L354" s="35" t="str">
        <f t="shared" si="17"/>
        <v>Evening</v>
      </c>
      <c r="M354" s="65"/>
      <c r="N354" s="65"/>
      <c r="O354" s="65"/>
      <c r="P354" s="66"/>
      <c r="Q354" s="35"/>
      <c r="R354" s="66"/>
      <c r="S354" s="73"/>
      <c r="T354" s="78"/>
    </row>
    <row r="355" spans="1:20">
      <c r="A355" s="55">
        <v>45293.836087963</v>
      </c>
      <c r="B355" s="56">
        <v>45293.8453240741</v>
      </c>
      <c r="C355" s="35">
        <v>213</v>
      </c>
      <c r="D355" s="35" t="s">
        <v>37</v>
      </c>
      <c r="E355" s="35" t="s">
        <v>41</v>
      </c>
      <c r="F355" s="35" t="s">
        <v>38</v>
      </c>
      <c r="G355" s="35" t="s">
        <v>35</v>
      </c>
      <c r="H355" s="35">
        <f t="shared" si="15"/>
        <v>1</v>
      </c>
      <c r="I355" s="35"/>
      <c r="J355" s="35">
        <v>5</v>
      </c>
      <c r="K355" s="35">
        <f t="shared" si="16"/>
        <v>20</v>
      </c>
      <c r="L355" s="35" t="str">
        <f t="shared" si="17"/>
        <v>Evening</v>
      </c>
      <c r="M355" s="65"/>
      <c r="N355" s="65"/>
      <c r="O355" s="65"/>
      <c r="P355" s="66"/>
      <c r="Q355" s="35"/>
      <c r="R355" s="66"/>
      <c r="S355" s="73"/>
      <c r="T355" s="78"/>
    </row>
    <row r="356" spans="1:20">
      <c r="A356" s="55">
        <v>45295.2606828704</v>
      </c>
      <c r="B356" s="56">
        <v>45295.272962963</v>
      </c>
      <c r="C356" s="35">
        <v>466</v>
      </c>
      <c r="D356" s="35" t="s">
        <v>32</v>
      </c>
      <c r="E356" s="35" t="s">
        <v>32</v>
      </c>
      <c r="F356" s="35" t="s">
        <v>34</v>
      </c>
      <c r="G356" s="35" t="s">
        <v>35</v>
      </c>
      <c r="H356" s="35">
        <f t="shared" si="15"/>
        <v>1</v>
      </c>
      <c r="I356" s="35"/>
      <c r="J356" s="35">
        <v>4</v>
      </c>
      <c r="K356" s="35">
        <f t="shared" si="16"/>
        <v>6</v>
      </c>
      <c r="L356" s="35" t="str">
        <f t="shared" si="17"/>
        <v>Morning</v>
      </c>
      <c r="M356" s="65"/>
      <c r="N356" s="65"/>
      <c r="O356" s="65"/>
      <c r="P356" s="66"/>
      <c r="Q356" s="35"/>
      <c r="R356" s="66"/>
      <c r="S356" s="73"/>
      <c r="T356" s="78"/>
    </row>
    <row r="357" spans="1:20">
      <c r="A357" s="55">
        <v>45318.6165856481</v>
      </c>
      <c r="B357" s="56">
        <v>45318.633599537</v>
      </c>
      <c r="C357" s="35">
        <v>102</v>
      </c>
      <c r="D357" s="35" t="s">
        <v>37</v>
      </c>
      <c r="E357" s="35" t="s">
        <v>33</v>
      </c>
      <c r="F357" s="35" t="s">
        <v>38</v>
      </c>
      <c r="G357" s="35" t="s">
        <v>36</v>
      </c>
      <c r="H357" s="35">
        <f t="shared" si="15"/>
        <v>0</v>
      </c>
      <c r="I357" s="35"/>
      <c r="J357" s="35">
        <v>3</v>
      </c>
      <c r="K357" s="35">
        <f t="shared" si="16"/>
        <v>14</v>
      </c>
      <c r="L357" s="35" t="str">
        <f t="shared" si="17"/>
        <v>Morning</v>
      </c>
      <c r="M357" s="65"/>
      <c r="N357" s="65"/>
      <c r="O357" s="65"/>
      <c r="P357" s="66"/>
      <c r="Q357" s="35"/>
      <c r="R357" s="66"/>
      <c r="S357" s="73"/>
      <c r="T357" s="78"/>
    </row>
    <row r="358" spans="1:20">
      <c r="A358" s="55">
        <v>45319.5703009259</v>
      </c>
      <c r="B358" s="56">
        <v>45319.5870486111</v>
      </c>
      <c r="C358" s="35">
        <v>221</v>
      </c>
      <c r="D358" s="35" t="s">
        <v>37</v>
      </c>
      <c r="E358" s="35" t="s">
        <v>32</v>
      </c>
      <c r="F358" s="35" t="s">
        <v>34</v>
      </c>
      <c r="G358" s="35" t="s">
        <v>36</v>
      </c>
      <c r="H358" s="35">
        <f t="shared" si="15"/>
        <v>0</v>
      </c>
      <c r="I358" s="35"/>
      <c r="J358" s="35">
        <v>3</v>
      </c>
      <c r="K358" s="35">
        <f t="shared" si="16"/>
        <v>13</v>
      </c>
      <c r="L358" s="35" t="str">
        <f t="shared" si="17"/>
        <v>Morning</v>
      </c>
      <c r="M358" s="65"/>
      <c r="N358" s="65"/>
      <c r="O358" s="65"/>
      <c r="P358" s="66"/>
      <c r="Q358" s="35"/>
      <c r="R358" s="66"/>
      <c r="S358" s="73"/>
      <c r="T358" s="78"/>
    </row>
    <row r="359" spans="1:20">
      <c r="A359" s="55">
        <v>45296.4853125</v>
      </c>
      <c r="B359" s="56">
        <v>45296.4862037037</v>
      </c>
      <c r="C359" s="35">
        <v>239</v>
      </c>
      <c r="D359" s="35" t="s">
        <v>37</v>
      </c>
      <c r="E359" s="35" t="s">
        <v>41</v>
      </c>
      <c r="F359" s="35" t="s">
        <v>34</v>
      </c>
      <c r="G359" s="35" t="s">
        <v>35</v>
      </c>
      <c r="H359" s="35">
        <f t="shared" si="15"/>
        <v>1</v>
      </c>
      <c r="I359" s="35"/>
      <c r="J359" s="35">
        <v>5</v>
      </c>
      <c r="K359" s="35">
        <f t="shared" si="16"/>
        <v>11</v>
      </c>
      <c r="L359" s="35" t="str">
        <f t="shared" si="17"/>
        <v>Morning</v>
      </c>
      <c r="M359" s="65"/>
      <c r="N359" s="65"/>
      <c r="O359" s="65"/>
      <c r="P359" s="66"/>
      <c r="Q359" s="35"/>
      <c r="R359" s="66"/>
      <c r="S359" s="73"/>
      <c r="T359" s="78"/>
    </row>
    <row r="360" spans="1:20">
      <c r="A360" s="55">
        <v>45305.7877546296</v>
      </c>
      <c r="B360" s="56">
        <v>45305.7993287037</v>
      </c>
      <c r="C360" s="35">
        <v>268</v>
      </c>
      <c r="D360" s="35" t="s">
        <v>32</v>
      </c>
      <c r="E360" s="35" t="s">
        <v>32</v>
      </c>
      <c r="F360" s="35" t="s">
        <v>38</v>
      </c>
      <c r="G360" s="35" t="s">
        <v>35</v>
      </c>
      <c r="H360" s="35">
        <f t="shared" si="15"/>
        <v>1</v>
      </c>
      <c r="I360" s="35"/>
      <c r="J360" s="35">
        <v>5</v>
      </c>
      <c r="K360" s="35">
        <f t="shared" si="16"/>
        <v>18</v>
      </c>
      <c r="L360" s="35" t="str">
        <f t="shared" si="17"/>
        <v>Morning</v>
      </c>
      <c r="M360" s="65"/>
      <c r="N360" s="65"/>
      <c r="O360" s="65"/>
      <c r="P360" s="66"/>
      <c r="Q360" s="35"/>
      <c r="R360" s="66"/>
      <c r="S360" s="73"/>
      <c r="T360" s="78"/>
    </row>
    <row r="361" spans="1:20">
      <c r="A361" s="55">
        <v>45310.3753703704</v>
      </c>
      <c r="B361" s="56">
        <v>45310.3917592593</v>
      </c>
      <c r="C361" s="35">
        <v>393</v>
      </c>
      <c r="D361" s="35" t="s">
        <v>39</v>
      </c>
      <c r="E361" s="35" t="s">
        <v>41</v>
      </c>
      <c r="F361" s="35" t="s">
        <v>38</v>
      </c>
      <c r="G361" s="35" t="s">
        <v>35</v>
      </c>
      <c r="H361" s="35">
        <f t="shared" si="15"/>
        <v>1</v>
      </c>
      <c r="I361" s="35"/>
      <c r="J361" s="35">
        <v>4</v>
      </c>
      <c r="K361" s="35">
        <f t="shared" si="16"/>
        <v>9</v>
      </c>
      <c r="L361" s="35" t="str">
        <f t="shared" si="17"/>
        <v>Morning</v>
      </c>
      <c r="M361" s="65"/>
      <c r="N361" s="65"/>
      <c r="O361" s="65"/>
      <c r="P361" s="66"/>
      <c r="Q361" s="35"/>
      <c r="R361" s="66"/>
      <c r="S361" s="73"/>
      <c r="T361" s="78"/>
    </row>
    <row r="362" spans="1:20">
      <c r="A362" s="55">
        <v>45302.6113425926</v>
      </c>
      <c r="B362" s="56">
        <v>45302.618599537</v>
      </c>
      <c r="C362" s="35">
        <v>277</v>
      </c>
      <c r="D362" s="35" t="s">
        <v>37</v>
      </c>
      <c r="E362" s="35" t="s">
        <v>39</v>
      </c>
      <c r="F362" s="35" t="s">
        <v>40</v>
      </c>
      <c r="G362" s="35" t="s">
        <v>35</v>
      </c>
      <c r="H362" s="35">
        <f t="shared" si="15"/>
        <v>1</v>
      </c>
      <c r="I362" s="35"/>
      <c r="J362" s="35">
        <v>3</v>
      </c>
      <c r="K362" s="35">
        <f t="shared" si="16"/>
        <v>14</v>
      </c>
      <c r="L362" s="35" t="str">
        <f t="shared" si="17"/>
        <v>Morning</v>
      </c>
      <c r="M362" s="65"/>
      <c r="N362" s="65"/>
      <c r="O362" s="65"/>
      <c r="P362" s="66"/>
      <c r="Q362" s="35"/>
      <c r="R362" s="66"/>
      <c r="S362" s="73"/>
      <c r="T362" s="78"/>
    </row>
    <row r="363" spans="1:20">
      <c r="A363" s="55">
        <v>45293.7793981481</v>
      </c>
      <c r="B363" s="56">
        <v>45293.7962268519</v>
      </c>
      <c r="C363" s="35">
        <v>153</v>
      </c>
      <c r="D363" s="35" t="s">
        <v>43</v>
      </c>
      <c r="E363" s="35" t="s">
        <v>32</v>
      </c>
      <c r="F363" s="35" t="s">
        <v>38</v>
      </c>
      <c r="G363" s="35" t="s">
        <v>35</v>
      </c>
      <c r="H363" s="35">
        <f t="shared" si="15"/>
        <v>1</v>
      </c>
      <c r="I363" s="35"/>
      <c r="J363" s="35">
        <v>4</v>
      </c>
      <c r="K363" s="35">
        <f t="shared" si="16"/>
        <v>18</v>
      </c>
      <c r="L363" s="35" t="str">
        <f t="shared" si="17"/>
        <v>Morning</v>
      </c>
      <c r="M363" s="65"/>
      <c r="N363" s="65"/>
      <c r="O363" s="65"/>
      <c r="P363" s="66"/>
      <c r="Q363" s="35"/>
      <c r="R363" s="66"/>
      <c r="S363" s="73"/>
      <c r="T363" s="78"/>
    </row>
    <row r="364" spans="1:20">
      <c r="A364" s="55">
        <v>45304.3178819444</v>
      </c>
      <c r="B364" s="56">
        <v>45304.3321296296</v>
      </c>
      <c r="C364" s="35">
        <v>204</v>
      </c>
      <c r="D364" s="35" t="s">
        <v>37</v>
      </c>
      <c r="E364" s="35" t="s">
        <v>39</v>
      </c>
      <c r="F364" s="35" t="s">
        <v>34</v>
      </c>
      <c r="G364" s="35" t="s">
        <v>35</v>
      </c>
      <c r="H364" s="35">
        <f t="shared" si="15"/>
        <v>1</v>
      </c>
      <c r="I364" s="35"/>
      <c r="J364" s="35">
        <v>4</v>
      </c>
      <c r="K364" s="35">
        <f t="shared" si="16"/>
        <v>7</v>
      </c>
      <c r="L364" s="35" t="str">
        <f t="shared" si="17"/>
        <v>Morning</v>
      </c>
      <c r="M364" s="65"/>
      <c r="N364" s="65"/>
      <c r="O364" s="65"/>
      <c r="P364" s="66"/>
      <c r="Q364" s="35"/>
      <c r="R364" s="66"/>
      <c r="S364" s="73"/>
      <c r="T364" s="78"/>
    </row>
    <row r="365" spans="1:20">
      <c r="A365" s="55">
        <v>45313.730775463</v>
      </c>
      <c r="B365" s="56">
        <v>45313.7515046296</v>
      </c>
      <c r="C365" s="35">
        <v>184</v>
      </c>
      <c r="D365" s="35" t="s">
        <v>39</v>
      </c>
      <c r="E365" s="35" t="s">
        <v>39</v>
      </c>
      <c r="F365" s="35" t="s">
        <v>38</v>
      </c>
      <c r="G365" s="35" t="s">
        <v>36</v>
      </c>
      <c r="H365" s="35">
        <f t="shared" si="15"/>
        <v>0</v>
      </c>
      <c r="I365" s="35"/>
      <c r="J365" s="35">
        <v>1</v>
      </c>
      <c r="K365" s="35">
        <f t="shared" si="16"/>
        <v>17</v>
      </c>
      <c r="L365" s="35" t="str">
        <f t="shared" si="17"/>
        <v>Morning</v>
      </c>
      <c r="M365" s="65"/>
      <c r="N365" s="65"/>
      <c r="O365" s="65"/>
      <c r="P365" s="66"/>
      <c r="Q365" s="35"/>
      <c r="R365" s="66"/>
      <c r="S365" s="73"/>
      <c r="T365" s="78"/>
    </row>
    <row r="366" spans="1:20">
      <c r="A366" s="55">
        <v>45317.4888541667</v>
      </c>
      <c r="B366" s="56">
        <v>45317.4975</v>
      </c>
      <c r="C366" s="35">
        <v>101</v>
      </c>
      <c r="D366" s="35" t="s">
        <v>32</v>
      </c>
      <c r="E366" s="35" t="s">
        <v>41</v>
      </c>
      <c r="F366" s="35" t="s">
        <v>40</v>
      </c>
      <c r="G366" s="35" t="s">
        <v>35</v>
      </c>
      <c r="H366" s="35">
        <f t="shared" si="15"/>
        <v>1</v>
      </c>
      <c r="I366" s="35"/>
      <c r="J366" s="35">
        <v>4</v>
      </c>
      <c r="K366" s="35">
        <f t="shared" si="16"/>
        <v>11</v>
      </c>
      <c r="L366" s="35" t="str">
        <f t="shared" si="17"/>
        <v>Morning</v>
      </c>
      <c r="M366" s="65"/>
      <c r="N366" s="65"/>
      <c r="O366" s="65"/>
      <c r="P366" s="66"/>
      <c r="Q366" s="35"/>
      <c r="R366" s="66"/>
      <c r="S366" s="73"/>
      <c r="T366" s="78"/>
    </row>
    <row r="367" spans="1:20">
      <c r="A367" s="55">
        <v>45317.6828240741</v>
      </c>
      <c r="B367" s="56">
        <v>45317.6973958333</v>
      </c>
      <c r="C367" s="35">
        <v>311</v>
      </c>
      <c r="D367" s="35" t="s">
        <v>42</v>
      </c>
      <c r="E367" s="35" t="s">
        <v>33</v>
      </c>
      <c r="F367" s="35" t="s">
        <v>38</v>
      </c>
      <c r="G367" s="35" t="s">
        <v>36</v>
      </c>
      <c r="H367" s="35">
        <f t="shared" si="15"/>
        <v>0</v>
      </c>
      <c r="I367" s="35"/>
      <c r="J367" s="35">
        <v>3</v>
      </c>
      <c r="K367" s="35">
        <f t="shared" si="16"/>
        <v>16</v>
      </c>
      <c r="L367" s="35" t="str">
        <f t="shared" si="17"/>
        <v>Morning</v>
      </c>
      <c r="M367" s="65"/>
      <c r="N367" s="65"/>
      <c r="O367" s="65"/>
      <c r="P367" s="66"/>
      <c r="Q367" s="35"/>
      <c r="R367" s="66"/>
      <c r="S367" s="73"/>
      <c r="T367" s="78"/>
    </row>
    <row r="368" spans="1:20">
      <c r="A368" s="55">
        <v>45294.9140277778</v>
      </c>
      <c r="B368" s="56">
        <v>45294.9265740741</v>
      </c>
      <c r="C368" s="35">
        <v>132</v>
      </c>
      <c r="D368" s="35" t="s">
        <v>42</v>
      </c>
      <c r="E368" s="35" t="s">
        <v>41</v>
      </c>
      <c r="F368" s="35" t="s">
        <v>38</v>
      </c>
      <c r="G368" s="35" t="s">
        <v>36</v>
      </c>
      <c r="H368" s="35">
        <f t="shared" si="15"/>
        <v>0</v>
      </c>
      <c r="I368" s="35"/>
      <c r="J368" s="35">
        <v>1</v>
      </c>
      <c r="K368" s="35">
        <f t="shared" si="16"/>
        <v>21</v>
      </c>
      <c r="L368" s="35" t="str">
        <f t="shared" si="17"/>
        <v>Evening</v>
      </c>
      <c r="M368" s="65"/>
      <c r="N368" s="65"/>
      <c r="O368" s="65"/>
      <c r="P368" s="66"/>
      <c r="Q368" s="35"/>
      <c r="R368" s="66"/>
      <c r="S368" s="73"/>
      <c r="T368" s="78"/>
    </row>
    <row r="369" spans="1:20">
      <c r="A369" s="55">
        <v>45302.8173263889</v>
      </c>
      <c r="B369" s="56">
        <v>45302.8288657407</v>
      </c>
      <c r="C369" s="35">
        <v>156</v>
      </c>
      <c r="D369" s="35" t="s">
        <v>37</v>
      </c>
      <c r="E369" s="35" t="s">
        <v>39</v>
      </c>
      <c r="F369" s="35" t="s">
        <v>40</v>
      </c>
      <c r="G369" s="35" t="s">
        <v>35</v>
      </c>
      <c r="H369" s="35">
        <f t="shared" si="15"/>
        <v>1</v>
      </c>
      <c r="I369" s="35"/>
      <c r="J369" s="35">
        <v>5</v>
      </c>
      <c r="K369" s="35">
        <f t="shared" si="16"/>
        <v>19</v>
      </c>
      <c r="L369" s="35" t="str">
        <f t="shared" si="17"/>
        <v>Evening</v>
      </c>
      <c r="M369" s="65"/>
      <c r="N369" s="65"/>
      <c r="O369" s="65"/>
      <c r="P369" s="66"/>
      <c r="Q369" s="35"/>
      <c r="R369" s="66"/>
      <c r="S369" s="73"/>
      <c r="T369" s="78"/>
    </row>
    <row r="370" spans="1:20">
      <c r="A370" s="55">
        <v>45302.2919907407</v>
      </c>
      <c r="B370" s="56">
        <v>45302.2991666667</v>
      </c>
      <c r="C370" s="35">
        <v>224</v>
      </c>
      <c r="D370" s="35" t="s">
        <v>32</v>
      </c>
      <c r="E370" s="35" t="s">
        <v>39</v>
      </c>
      <c r="F370" s="35" t="s">
        <v>38</v>
      </c>
      <c r="G370" s="35" t="s">
        <v>35</v>
      </c>
      <c r="H370" s="35">
        <f t="shared" si="15"/>
        <v>1</v>
      </c>
      <c r="I370" s="35"/>
      <c r="J370" s="35">
        <v>3</v>
      </c>
      <c r="K370" s="35">
        <f t="shared" si="16"/>
        <v>7</v>
      </c>
      <c r="L370" s="35" t="str">
        <f t="shared" si="17"/>
        <v>Morning</v>
      </c>
      <c r="M370" s="65"/>
      <c r="N370" s="65"/>
      <c r="O370" s="65"/>
      <c r="P370" s="66"/>
      <c r="Q370" s="35"/>
      <c r="R370" s="66"/>
      <c r="S370" s="73"/>
      <c r="T370" s="78"/>
    </row>
    <row r="371" spans="1:20">
      <c r="A371" s="55">
        <v>45311.8197569444</v>
      </c>
      <c r="B371" s="56">
        <v>45311.8300115741</v>
      </c>
      <c r="C371" s="35">
        <v>449</v>
      </c>
      <c r="D371" s="35" t="s">
        <v>42</v>
      </c>
      <c r="E371" s="35" t="s">
        <v>32</v>
      </c>
      <c r="F371" s="35" t="s">
        <v>40</v>
      </c>
      <c r="G371" s="35" t="s">
        <v>36</v>
      </c>
      <c r="H371" s="35">
        <f t="shared" si="15"/>
        <v>0</v>
      </c>
      <c r="I371" s="35"/>
      <c r="J371" s="35">
        <v>1</v>
      </c>
      <c r="K371" s="35">
        <f t="shared" si="16"/>
        <v>19</v>
      </c>
      <c r="L371" s="35" t="str">
        <f t="shared" si="17"/>
        <v>Evening</v>
      </c>
      <c r="M371" s="65"/>
      <c r="N371" s="65"/>
      <c r="O371" s="65"/>
      <c r="P371" s="66"/>
      <c r="Q371" s="35"/>
      <c r="R371" s="66"/>
      <c r="S371" s="73"/>
      <c r="T371" s="78"/>
    </row>
    <row r="372" spans="1:20">
      <c r="A372" s="55">
        <v>45302.9250115741</v>
      </c>
      <c r="B372" s="56">
        <v>45302.9417361111</v>
      </c>
      <c r="C372" s="35">
        <v>14</v>
      </c>
      <c r="D372" s="35" t="s">
        <v>32</v>
      </c>
      <c r="E372" s="35" t="s">
        <v>39</v>
      </c>
      <c r="F372" s="35" t="s">
        <v>34</v>
      </c>
      <c r="G372" s="35" t="s">
        <v>35</v>
      </c>
      <c r="H372" s="35">
        <f t="shared" si="15"/>
        <v>1</v>
      </c>
      <c r="I372" s="35"/>
      <c r="J372" s="35">
        <v>4</v>
      </c>
      <c r="K372" s="35">
        <f t="shared" si="16"/>
        <v>22</v>
      </c>
      <c r="L372" s="35" t="str">
        <f t="shared" si="17"/>
        <v>Evening</v>
      </c>
      <c r="M372" s="65"/>
      <c r="N372" s="65"/>
      <c r="O372" s="65"/>
      <c r="P372" s="66"/>
      <c r="Q372" s="35"/>
      <c r="R372" s="66"/>
      <c r="S372" s="73"/>
      <c r="T372" s="78"/>
    </row>
    <row r="373" spans="1:20">
      <c r="A373" s="55">
        <v>45295.772650463</v>
      </c>
      <c r="B373" s="56">
        <v>45295.7805902778</v>
      </c>
      <c r="C373" s="35">
        <v>181</v>
      </c>
      <c r="D373" s="35" t="s">
        <v>43</v>
      </c>
      <c r="E373" s="35" t="s">
        <v>33</v>
      </c>
      <c r="F373" s="35" t="s">
        <v>38</v>
      </c>
      <c r="G373" s="35" t="s">
        <v>35</v>
      </c>
      <c r="H373" s="35">
        <f t="shared" si="15"/>
        <v>1</v>
      </c>
      <c r="I373" s="35"/>
      <c r="J373" s="35">
        <v>4</v>
      </c>
      <c r="K373" s="35">
        <f t="shared" si="16"/>
        <v>18</v>
      </c>
      <c r="L373" s="35" t="str">
        <f t="shared" si="17"/>
        <v>Morning</v>
      </c>
      <c r="M373" s="65"/>
      <c r="N373" s="65"/>
      <c r="O373" s="65"/>
      <c r="P373" s="66"/>
      <c r="Q373" s="35"/>
      <c r="R373" s="66"/>
      <c r="S373" s="73"/>
      <c r="T373" s="78"/>
    </row>
    <row r="374" spans="1:20">
      <c r="A374" s="55">
        <v>45308.9315625</v>
      </c>
      <c r="B374" s="56">
        <v>45308.9485300926</v>
      </c>
      <c r="C374" s="35">
        <v>147</v>
      </c>
      <c r="D374" s="35" t="s">
        <v>37</v>
      </c>
      <c r="E374" s="35" t="s">
        <v>32</v>
      </c>
      <c r="F374" s="35" t="s">
        <v>38</v>
      </c>
      <c r="G374" s="35" t="s">
        <v>35</v>
      </c>
      <c r="H374" s="35">
        <f t="shared" si="15"/>
        <v>1</v>
      </c>
      <c r="I374" s="35"/>
      <c r="J374" s="35">
        <v>3</v>
      </c>
      <c r="K374" s="35">
        <f t="shared" si="16"/>
        <v>22</v>
      </c>
      <c r="L374" s="35" t="str">
        <f t="shared" si="17"/>
        <v>Evening</v>
      </c>
      <c r="M374" s="65"/>
      <c r="N374" s="65"/>
      <c r="O374" s="65"/>
      <c r="P374" s="66"/>
      <c r="Q374" s="35"/>
      <c r="R374" s="66"/>
      <c r="S374" s="73"/>
      <c r="T374" s="78"/>
    </row>
    <row r="375" spans="1:20">
      <c r="A375" s="55">
        <v>45317.7508564815</v>
      </c>
      <c r="B375" s="56">
        <v>45317.7568634259</v>
      </c>
      <c r="C375" s="35">
        <v>144</v>
      </c>
      <c r="D375" s="35" t="s">
        <v>32</v>
      </c>
      <c r="E375" s="35" t="s">
        <v>33</v>
      </c>
      <c r="F375" s="35" t="s">
        <v>34</v>
      </c>
      <c r="G375" s="35" t="s">
        <v>35</v>
      </c>
      <c r="H375" s="35">
        <f t="shared" si="15"/>
        <v>1</v>
      </c>
      <c r="I375" s="35"/>
      <c r="J375" s="35">
        <v>3</v>
      </c>
      <c r="K375" s="35">
        <f t="shared" si="16"/>
        <v>18</v>
      </c>
      <c r="L375" s="35" t="str">
        <f t="shared" si="17"/>
        <v>Morning</v>
      </c>
      <c r="M375" s="65"/>
      <c r="N375" s="65"/>
      <c r="O375" s="65"/>
      <c r="P375" s="66"/>
      <c r="Q375" s="35"/>
      <c r="R375" s="66"/>
      <c r="S375" s="73"/>
      <c r="T375" s="78"/>
    </row>
    <row r="376" spans="1:20">
      <c r="A376" s="55">
        <v>45314.3089814815</v>
      </c>
      <c r="B376" s="56">
        <v>45314.324849537</v>
      </c>
      <c r="C376" s="35">
        <v>271</v>
      </c>
      <c r="D376" s="35" t="s">
        <v>39</v>
      </c>
      <c r="E376" s="35" t="s">
        <v>33</v>
      </c>
      <c r="F376" s="35" t="s">
        <v>34</v>
      </c>
      <c r="G376" s="35" t="s">
        <v>35</v>
      </c>
      <c r="H376" s="35">
        <f t="shared" si="15"/>
        <v>1</v>
      </c>
      <c r="I376" s="35"/>
      <c r="J376" s="35">
        <v>5</v>
      </c>
      <c r="K376" s="35">
        <f t="shared" si="16"/>
        <v>7</v>
      </c>
      <c r="L376" s="35" t="str">
        <f t="shared" si="17"/>
        <v>Morning</v>
      </c>
      <c r="M376" s="65"/>
      <c r="N376" s="65"/>
      <c r="O376" s="65"/>
      <c r="P376" s="66"/>
      <c r="Q376" s="35"/>
      <c r="R376" s="66"/>
      <c r="S376" s="73"/>
      <c r="T376" s="78"/>
    </row>
    <row r="377" spans="1:20">
      <c r="A377" s="55">
        <v>45312.2525925926</v>
      </c>
      <c r="B377" s="56">
        <v>45312.2560300926</v>
      </c>
      <c r="C377" s="35">
        <v>436</v>
      </c>
      <c r="D377" s="35" t="s">
        <v>42</v>
      </c>
      <c r="E377" s="35" t="s">
        <v>32</v>
      </c>
      <c r="F377" s="35" t="s">
        <v>40</v>
      </c>
      <c r="G377" s="35" t="s">
        <v>35</v>
      </c>
      <c r="H377" s="35">
        <f t="shared" si="15"/>
        <v>1</v>
      </c>
      <c r="I377" s="35"/>
      <c r="J377" s="35">
        <v>4</v>
      </c>
      <c r="K377" s="35">
        <f t="shared" si="16"/>
        <v>6</v>
      </c>
      <c r="L377" s="35" t="str">
        <f t="shared" si="17"/>
        <v>Morning</v>
      </c>
      <c r="M377" s="65"/>
      <c r="N377" s="65"/>
      <c r="O377" s="65"/>
      <c r="P377" s="66"/>
      <c r="Q377" s="35"/>
      <c r="R377" s="66"/>
      <c r="S377" s="73"/>
      <c r="T377" s="78"/>
    </row>
    <row r="378" spans="1:20">
      <c r="A378" s="55">
        <v>45296.5310532407</v>
      </c>
      <c r="B378" s="56">
        <v>45296.5466782407</v>
      </c>
      <c r="C378" s="35">
        <v>19</v>
      </c>
      <c r="D378" s="35" t="s">
        <v>37</v>
      </c>
      <c r="E378" s="35" t="s">
        <v>32</v>
      </c>
      <c r="F378" s="35" t="s">
        <v>34</v>
      </c>
      <c r="G378" s="35" t="s">
        <v>36</v>
      </c>
      <c r="H378" s="35">
        <f t="shared" si="15"/>
        <v>0</v>
      </c>
      <c r="I378" s="35"/>
      <c r="J378" s="35">
        <v>3</v>
      </c>
      <c r="K378" s="35">
        <f t="shared" si="16"/>
        <v>12</v>
      </c>
      <c r="L378" s="35" t="str">
        <f t="shared" si="17"/>
        <v>Morning</v>
      </c>
      <c r="M378" s="65"/>
      <c r="N378" s="65"/>
      <c r="O378" s="65"/>
      <c r="P378" s="66"/>
      <c r="Q378" s="35"/>
      <c r="R378" s="66"/>
      <c r="S378" s="73"/>
      <c r="T378" s="78"/>
    </row>
    <row r="379" spans="1:20">
      <c r="A379" s="55">
        <v>45314.4353356482</v>
      </c>
      <c r="B379" s="56">
        <v>45314.4385069444</v>
      </c>
      <c r="C379" s="35">
        <v>533</v>
      </c>
      <c r="D379" s="35" t="s">
        <v>39</v>
      </c>
      <c r="E379" s="35" t="s">
        <v>33</v>
      </c>
      <c r="F379" s="35" t="s">
        <v>38</v>
      </c>
      <c r="G379" s="35" t="s">
        <v>36</v>
      </c>
      <c r="H379" s="35">
        <f t="shared" si="15"/>
        <v>0</v>
      </c>
      <c r="I379" s="35"/>
      <c r="J379" s="35">
        <v>1</v>
      </c>
      <c r="K379" s="35">
        <f t="shared" si="16"/>
        <v>10</v>
      </c>
      <c r="L379" s="35" t="str">
        <f t="shared" si="17"/>
        <v>Morning</v>
      </c>
      <c r="M379" s="65"/>
      <c r="N379" s="65"/>
      <c r="O379" s="65"/>
      <c r="P379" s="66"/>
      <c r="Q379" s="35"/>
      <c r="R379" s="66"/>
      <c r="S379" s="73"/>
      <c r="T379" s="78"/>
    </row>
    <row r="380" spans="1:20">
      <c r="A380" s="55">
        <v>45298.6205208333</v>
      </c>
      <c r="B380" s="56">
        <v>45298.6259953704</v>
      </c>
      <c r="C380" s="35">
        <v>376</v>
      </c>
      <c r="D380" s="35" t="s">
        <v>42</v>
      </c>
      <c r="E380" s="35" t="s">
        <v>41</v>
      </c>
      <c r="F380" s="35" t="s">
        <v>40</v>
      </c>
      <c r="G380" s="35" t="s">
        <v>36</v>
      </c>
      <c r="H380" s="35">
        <f t="shared" si="15"/>
        <v>0</v>
      </c>
      <c r="I380" s="35"/>
      <c r="J380" s="35">
        <v>2</v>
      </c>
      <c r="K380" s="35">
        <f t="shared" si="16"/>
        <v>14</v>
      </c>
      <c r="L380" s="35" t="str">
        <f t="shared" si="17"/>
        <v>Morning</v>
      </c>
      <c r="M380" s="65"/>
      <c r="N380" s="65"/>
      <c r="O380" s="65"/>
      <c r="P380" s="66"/>
      <c r="Q380" s="35"/>
      <c r="R380" s="66"/>
      <c r="S380" s="73"/>
      <c r="T380" s="78"/>
    </row>
    <row r="381" spans="1:20">
      <c r="A381" s="55">
        <v>45307.6770833333</v>
      </c>
      <c r="B381" s="56">
        <v>45307.6780787037</v>
      </c>
      <c r="C381" s="35">
        <v>101</v>
      </c>
      <c r="D381" s="35" t="s">
        <v>43</v>
      </c>
      <c r="E381" s="35" t="s">
        <v>32</v>
      </c>
      <c r="F381" s="35" t="s">
        <v>40</v>
      </c>
      <c r="G381" s="35" t="s">
        <v>35</v>
      </c>
      <c r="H381" s="35">
        <f t="shared" si="15"/>
        <v>1</v>
      </c>
      <c r="I381" s="35"/>
      <c r="J381" s="35">
        <v>5</v>
      </c>
      <c r="K381" s="35">
        <f t="shared" si="16"/>
        <v>16</v>
      </c>
      <c r="L381" s="35" t="str">
        <f t="shared" si="17"/>
        <v>Morning</v>
      </c>
      <c r="M381" s="65"/>
      <c r="N381" s="65"/>
      <c r="O381" s="65"/>
      <c r="P381" s="66"/>
      <c r="Q381" s="35"/>
      <c r="R381" s="66"/>
      <c r="S381" s="73"/>
      <c r="T381" s="78"/>
    </row>
    <row r="382" spans="1:20">
      <c r="A382" s="55">
        <v>45315.4147685185</v>
      </c>
      <c r="B382" s="56">
        <v>45315.4307291667</v>
      </c>
      <c r="C382" s="35">
        <v>246</v>
      </c>
      <c r="D382" s="35" t="s">
        <v>42</v>
      </c>
      <c r="E382" s="35" t="s">
        <v>41</v>
      </c>
      <c r="F382" s="35" t="s">
        <v>38</v>
      </c>
      <c r="G382" s="35" t="s">
        <v>35</v>
      </c>
      <c r="H382" s="35">
        <f t="shared" si="15"/>
        <v>1</v>
      </c>
      <c r="I382" s="35"/>
      <c r="J382" s="35">
        <v>3</v>
      </c>
      <c r="K382" s="35">
        <f t="shared" si="16"/>
        <v>9</v>
      </c>
      <c r="L382" s="35" t="str">
        <f t="shared" si="17"/>
        <v>Morning</v>
      </c>
      <c r="M382" s="65"/>
      <c r="N382" s="65"/>
      <c r="O382" s="65"/>
      <c r="P382" s="66"/>
      <c r="Q382" s="35"/>
      <c r="R382" s="66"/>
      <c r="S382" s="73"/>
      <c r="T382" s="78"/>
    </row>
    <row r="383" spans="1:20">
      <c r="A383" s="55">
        <v>45297.329375</v>
      </c>
      <c r="B383" s="56">
        <v>45297.338599537</v>
      </c>
      <c r="C383" s="35">
        <v>330</v>
      </c>
      <c r="D383" s="35" t="s">
        <v>42</v>
      </c>
      <c r="E383" s="35" t="s">
        <v>33</v>
      </c>
      <c r="F383" s="35" t="s">
        <v>40</v>
      </c>
      <c r="G383" s="35" t="s">
        <v>35</v>
      </c>
      <c r="H383" s="35">
        <f t="shared" si="15"/>
        <v>1</v>
      </c>
      <c r="I383" s="35"/>
      <c r="J383" s="35">
        <v>3</v>
      </c>
      <c r="K383" s="35">
        <f t="shared" si="16"/>
        <v>7</v>
      </c>
      <c r="L383" s="35" t="str">
        <f t="shared" si="17"/>
        <v>Morning</v>
      </c>
      <c r="M383" s="65"/>
      <c r="N383" s="65"/>
      <c r="O383" s="65"/>
      <c r="P383" s="66"/>
      <c r="Q383" s="35"/>
      <c r="R383" s="66"/>
      <c r="S383" s="73"/>
      <c r="T383" s="78"/>
    </row>
    <row r="384" spans="1:20">
      <c r="A384" s="55">
        <v>45319.4463078704</v>
      </c>
      <c r="B384" s="56">
        <v>45319.4510416667</v>
      </c>
      <c r="C384" s="35">
        <v>346</v>
      </c>
      <c r="D384" s="35" t="s">
        <v>37</v>
      </c>
      <c r="E384" s="35" t="s">
        <v>32</v>
      </c>
      <c r="F384" s="35" t="s">
        <v>34</v>
      </c>
      <c r="G384" s="35" t="s">
        <v>35</v>
      </c>
      <c r="H384" s="35">
        <f t="shared" si="15"/>
        <v>1</v>
      </c>
      <c r="I384" s="35"/>
      <c r="J384" s="35">
        <v>5</v>
      </c>
      <c r="K384" s="35">
        <f t="shared" si="16"/>
        <v>10</v>
      </c>
      <c r="L384" s="35" t="str">
        <f t="shared" si="17"/>
        <v>Morning</v>
      </c>
      <c r="M384" s="65"/>
      <c r="N384" s="65"/>
      <c r="O384" s="65"/>
      <c r="P384" s="66"/>
      <c r="Q384" s="35"/>
      <c r="R384" s="66"/>
      <c r="S384" s="73"/>
      <c r="T384" s="78"/>
    </row>
    <row r="385" spans="1:20">
      <c r="A385" s="55">
        <v>45303.6743865741</v>
      </c>
      <c r="B385" s="56">
        <v>45303.6845717593</v>
      </c>
      <c r="C385" s="35">
        <v>419</v>
      </c>
      <c r="D385" s="35" t="s">
        <v>42</v>
      </c>
      <c r="E385" s="35" t="s">
        <v>41</v>
      </c>
      <c r="F385" s="35" t="s">
        <v>38</v>
      </c>
      <c r="G385" s="35" t="s">
        <v>35</v>
      </c>
      <c r="H385" s="35">
        <f t="shared" si="15"/>
        <v>1</v>
      </c>
      <c r="I385" s="35"/>
      <c r="J385" s="35">
        <v>4</v>
      </c>
      <c r="K385" s="35">
        <f t="shared" si="16"/>
        <v>16</v>
      </c>
      <c r="L385" s="35" t="str">
        <f t="shared" si="17"/>
        <v>Morning</v>
      </c>
      <c r="M385" s="65"/>
      <c r="N385" s="65"/>
      <c r="O385" s="65"/>
      <c r="P385" s="66"/>
      <c r="Q385" s="35"/>
      <c r="R385" s="66"/>
      <c r="S385" s="73"/>
      <c r="T385" s="78"/>
    </row>
    <row r="386" spans="1:20">
      <c r="A386" s="55">
        <v>45305.463287037</v>
      </c>
      <c r="B386" s="56">
        <v>45305.480474537</v>
      </c>
      <c r="C386" s="35">
        <v>70</v>
      </c>
      <c r="D386" s="35" t="s">
        <v>32</v>
      </c>
      <c r="E386" s="35" t="s">
        <v>33</v>
      </c>
      <c r="F386" s="35" t="s">
        <v>38</v>
      </c>
      <c r="G386" s="35" t="s">
        <v>35</v>
      </c>
      <c r="H386" s="35">
        <f t="shared" si="15"/>
        <v>1</v>
      </c>
      <c r="I386" s="35"/>
      <c r="J386" s="35">
        <v>4</v>
      </c>
      <c r="K386" s="35">
        <f t="shared" si="16"/>
        <v>11</v>
      </c>
      <c r="L386" s="35" t="str">
        <f t="shared" si="17"/>
        <v>Morning</v>
      </c>
      <c r="M386" s="65"/>
      <c r="N386" s="65"/>
      <c r="O386" s="65"/>
      <c r="P386" s="66"/>
      <c r="Q386" s="35"/>
      <c r="R386" s="66"/>
      <c r="S386" s="73"/>
      <c r="T386" s="78"/>
    </row>
    <row r="387" spans="1:20">
      <c r="A387" s="55">
        <v>45310.8414236111</v>
      </c>
      <c r="B387" s="56">
        <v>45310.8511111111</v>
      </c>
      <c r="C387" s="35">
        <v>377</v>
      </c>
      <c r="D387" s="35" t="s">
        <v>39</v>
      </c>
      <c r="E387" s="35" t="s">
        <v>33</v>
      </c>
      <c r="F387" s="35" t="s">
        <v>34</v>
      </c>
      <c r="G387" s="35" t="s">
        <v>35</v>
      </c>
      <c r="H387" s="35">
        <f t="shared" ref="H387:H450" si="18">IF(G387="Y",1,0)</f>
        <v>1</v>
      </c>
      <c r="I387" s="35"/>
      <c r="J387" s="35">
        <v>5</v>
      </c>
      <c r="K387" s="35">
        <f t="shared" ref="K387:K450" si="19">HOUR(A387:A886)</f>
        <v>20</v>
      </c>
      <c r="L387" s="35" t="str">
        <f t="shared" ref="L387:L450" si="20">IF(AND(K387&gt;=6,K387&lt;=18),"Morning","Evening")</f>
        <v>Evening</v>
      </c>
      <c r="M387" s="65"/>
      <c r="N387" s="65"/>
      <c r="O387" s="65"/>
      <c r="P387" s="66"/>
      <c r="Q387" s="35"/>
      <c r="R387" s="66"/>
      <c r="S387" s="73"/>
      <c r="T387" s="78"/>
    </row>
    <row r="388" spans="1:20">
      <c r="A388" s="55">
        <v>45296.9156365741</v>
      </c>
      <c r="B388" s="56">
        <v>45296.9190046296</v>
      </c>
      <c r="C388" s="35">
        <v>431</v>
      </c>
      <c r="D388" s="35" t="s">
        <v>42</v>
      </c>
      <c r="E388" s="35" t="s">
        <v>33</v>
      </c>
      <c r="F388" s="35" t="s">
        <v>40</v>
      </c>
      <c r="G388" s="35" t="s">
        <v>35</v>
      </c>
      <c r="H388" s="35">
        <f t="shared" si="18"/>
        <v>1</v>
      </c>
      <c r="I388" s="35"/>
      <c r="J388" s="35">
        <v>4</v>
      </c>
      <c r="K388" s="35">
        <f t="shared" si="19"/>
        <v>21</v>
      </c>
      <c r="L388" s="35" t="str">
        <f t="shared" si="20"/>
        <v>Evening</v>
      </c>
      <c r="M388" s="65"/>
      <c r="N388" s="65"/>
      <c r="O388" s="65"/>
      <c r="P388" s="66"/>
      <c r="Q388" s="35"/>
      <c r="R388" s="66"/>
      <c r="S388" s="73"/>
      <c r="T388" s="78"/>
    </row>
    <row r="389" spans="1:20">
      <c r="A389" s="55">
        <v>45314.9512384259</v>
      </c>
      <c r="B389" s="56">
        <v>45314.9655902778</v>
      </c>
      <c r="C389" s="35">
        <v>588</v>
      </c>
      <c r="D389" s="35" t="s">
        <v>32</v>
      </c>
      <c r="E389" s="35" t="s">
        <v>41</v>
      </c>
      <c r="F389" s="35" t="s">
        <v>34</v>
      </c>
      <c r="G389" s="35" t="s">
        <v>35</v>
      </c>
      <c r="H389" s="35">
        <f t="shared" si="18"/>
        <v>1</v>
      </c>
      <c r="I389" s="35"/>
      <c r="J389" s="35">
        <v>5</v>
      </c>
      <c r="K389" s="35">
        <f t="shared" si="19"/>
        <v>22</v>
      </c>
      <c r="L389" s="35" t="str">
        <f t="shared" si="20"/>
        <v>Evening</v>
      </c>
      <c r="M389" s="65"/>
      <c r="N389" s="65"/>
      <c r="O389" s="65"/>
      <c r="P389" s="66"/>
      <c r="Q389" s="35"/>
      <c r="R389" s="66"/>
      <c r="S389" s="73"/>
      <c r="T389" s="78"/>
    </row>
    <row r="390" spans="1:20">
      <c r="A390" s="55">
        <v>45295.8213657407</v>
      </c>
      <c r="B390" s="56">
        <v>45295.8279513889</v>
      </c>
      <c r="C390" s="35">
        <v>503</v>
      </c>
      <c r="D390" s="35" t="s">
        <v>37</v>
      </c>
      <c r="E390" s="35" t="s">
        <v>32</v>
      </c>
      <c r="F390" s="35" t="s">
        <v>40</v>
      </c>
      <c r="G390" s="35" t="s">
        <v>35</v>
      </c>
      <c r="H390" s="35">
        <f t="shared" si="18"/>
        <v>1</v>
      </c>
      <c r="I390" s="35"/>
      <c r="J390" s="35">
        <v>5</v>
      </c>
      <c r="K390" s="35">
        <f t="shared" si="19"/>
        <v>19</v>
      </c>
      <c r="L390" s="35" t="str">
        <f t="shared" si="20"/>
        <v>Evening</v>
      </c>
      <c r="M390" s="65"/>
      <c r="N390" s="65"/>
      <c r="O390" s="65"/>
      <c r="P390" s="66"/>
      <c r="Q390" s="35"/>
      <c r="R390" s="66"/>
      <c r="S390" s="73"/>
      <c r="T390" s="78"/>
    </row>
    <row r="391" spans="1:20">
      <c r="A391" s="55">
        <v>45311.2921412037</v>
      </c>
      <c r="B391" s="56">
        <v>45311.2965509259</v>
      </c>
      <c r="C391" s="35">
        <v>527</v>
      </c>
      <c r="D391" s="35" t="s">
        <v>42</v>
      </c>
      <c r="E391" s="35" t="s">
        <v>32</v>
      </c>
      <c r="F391" s="35" t="s">
        <v>40</v>
      </c>
      <c r="G391" s="35" t="s">
        <v>36</v>
      </c>
      <c r="H391" s="35">
        <f t="shared" si="18"/>
        <v>0</v>
      </c>
      <c r="I391" s="35"/>
      <c r="J391" s="35">
        <v>2</v>
      </c>
      <c r="K391" s="35">
        <f t="shared" si="19"/>
        <v>7</v>
      </c>
      <c r="L391" s="35" t="str">
        <f t="shared" si="20"/>
        <v>Morning</v>
      </c>
      <c r="M391" s="65"/>
      <c r="N391" s="65"/>
      <c r="O391" s="65"/>
      <c r="P391" s="66"/>
      <c r="Q391" s="35"/>
      <c r="R391" s="66"/>
      <c r="S391" s="73"/>
      <c r="T391" s="78"/>
    </row>
    <row r="392" spans="1:20">
      <c r="A392" s="55">
        <v>45300.3140509259</v>
      </c>
      <c r="B392" s="56">
        <v>45300.3277893519</v>
      </c>
      <c r="C392" s="35">
        <v>397</v>
      </c>
      <c r="D392" s="35" t="s">
        <v>42</v>
      </c>
      <c r="E392" s="35" t="s">
        <v>39</v>
      </c>
      <c r="F392" s="35" t="s">
        <v>40</v>
      </c>
      <c r="G392" s="35" t="s">
        <v>35</v>
      </c>
      <c r="H392" s="35">
        <f t="shared" si="18"/>
        <v>1</v>
      </c>
      <c r="I392" s="35"/>
      <c r="J392" s="35">
        <v>5</v>
      </c>
      <c r="K392" s="35">
        <f t="shared" si="19"/>
        <v>7</v>
      </c>
      <c r="L392" s="35" t="str">
        <f t="shared" si="20"/>
        <v>Morning</v>
      </c>
      <c r="M392" s="65"/>
      <c r="N392" s="65"/>
      <c r="O392" s="65"/>
      <c r="P392" s="66"/>
      <c r="Q392" s="35"/>
      <c r="R392" s="66"/>
      <c r="S392" s="73"/>
      <c r="T392" s="78"/>
    </row>
    <row r="393" spans="1:20">
      <c r="A393" s="55">
        <v>45294.8946759259</v>
      </c>
      <c r="B393" s="56">
        <v>45294.8981828704</v>
      </c>
      <c r="C393" s="35">
        <v>519</v>
      </c>
      <c r="D393" s="35" t="s">
        <v>43</v>
      </c>
      <c r="E393" s="35" t="s">
        <v>33</v>
      </c>
      <c r="F393" s="35" t="s">
        <v>38</v>
      </c>
      <c r="G393" s="35" t="s">
        <v>35</v>
      </c>
      <c r="H393" s="35">
        <f t="shared" si="18"/>
        <v>1</v>
      </c>
      <c r="I393" s="35"/>
      <c r="J393" s="35">
        <v>5</v>
      </c>
      <c r="K393" s="35">
        <f t="shared" si="19"/>
        <v>21</v>
      </c>
      <c r="L393" s="35" t="str">
        <f t="shared" si="20"/>
        <v>Evening</v>
      </c>
      <c r="M393" s="65"/>
      <c r="N393" s="65"/>
      <c r="O393" s="65"/>
      <c r="P393" s="66"/>
      <c r="Q393" s="35"/>
      <c r="R393" s="66"/>
      <c r="S393" s="73"/>
      <c r="T393" s="78"/>
    </row>
    <row r="394" spans="1:20">
      <c r="A394" s="55">
        <v>45292.3684953704</v>
      </c>
      <c r="B394" s="56">
        <v>45292.3838541667</v>
      </c>
      <c r="C394" s="35">
        <v>321</v>
      </c>
      <c r="D394" s="35" t="s">
        <v>39</v>
      </c>
      <c r="E394" s="35" t="s">
        <v>39</v>
      </c>
      <c r="F394" s="35" t="s">
        <v>34</v>
      </c>
      <c r="G394" s="35" t="s">
        <v>35</v>
      </c>
      <c r="H394" s="35">
        <f t="shared" si="18"/>
        <v>1</v>
      </c>
      <c r="I394" s="35"/>
      <c r="J394" s="35">
        <v>4</v>
      </c>
      <c r="K394" s="35">
        <f t="shared" si="19"/>
        <v>8</v>
      </c>
      <c r="L394" s="35" t="str">
        <f t="shared" si="20"/>
        <v>Morning</v>
      </c>
      <c r="M394" s="65"/>
      <c r="N394" s="65"/>
      <c r="O394" s="65"/>
      <c r="P394" s="66"/>
      <c r="Q394" s="35"/>
      <c r="R394" s="66"/>
      <c r="S394" s="73"/>
      <c r="T394" s="78"/>
    </row>
    <row r="395" spans="1:20">
      <c r="A395" s="55">
        <v>45318.3279398148</v>
      </c>
      <c r="B395" s="56">
        <v>45318.3486458333</v>
      </c>
      <c r="C395" s="35">
        <v>475</v>
      </c>
      <c r="D395" s="35" t="s">
        <v>37</v>
      </c>
      <c r="E395" s="35" t="s">
        <v>32</v>
      </c>
      <c r="F395" s="35" t="s">
        <v>34</v>
      </c>
      <c r="G395" s="35" t="s">
        <v>35</v>
      </c>
      <c r="H395" s="35">
        <f t="shared" si="18"/>
        <v>1</v>
      </c>
      <c r="I395" s="35"/>
      <c r="J395" s="35">
        <v>5</v>
      </c>
      <c r="K395" s="35">
        <f t="shared" si="19"/>
        <v>7</v>
      </c>
      <c r="L395" s="35" t="str">
        <f t="shared" si="20"/>
        <v>Morning</v>
      </c>
      <c r="M395" s="65"/>
      <c r="N395" s="65"/>
      <c r="O395" s="65"/>
      <c r="P395" s="66"/>
      <c r="Q395" s="35"/>
      <c r="R395" s="66"/>
      <c r="S395" s="73"/>
      <c r="T395" s="78"/>
    </row>
    <row r="396" spans="1:20">
      <c r="A396" s="55">
        <v>45295.4088194444</v>
      </c>
      <c r="B396" s="56">
        <v>45295.4147685185</v>
      </c>
      <c r="C396" s="35">
        <v>12</v>
      </c>
      <c r="D396" s="35" t="s">
        <v>37</v>
      </c>
      <c r="E396" s="35" t="s">
        <v>41</v>
      </c>
      <c r="F396" s="35" t="s">
        <v>34</v>
      </c>
      <c r="G396" s="35" t="s">
        <v>35</v>
      </c>
      <c r="H396" s="35">
        <f t="shared" si="18"/>
        <v>1</v>
      </c>
      <c r="I396" s="35"/>
      <c r="J396" s="35">
        <v>4</v>
      </c>
      <c r="K396" s="35">
        <f t="shared" si="19"/>
        <v>9</v>
      </c>
      <c r="L396" s="35" t="str">
        <f t="shared" si="20"/>
        <v>Morning</v>
      </c>
      <c r="M396" s="65"/>
      <c r="N396" s="65"/>
      <c r="O396" s="65"/>
      <c r="P396" s="66"/>
      <c r="Q396" s="35"/>
      <c r="R396" s="66"/>
      <c r="S396" s="73"/>
      <c r="T396" s="78"/>
    </row>
    <row r="397" spans="1:20">
      <c r="A397" s="55">
        <v>45308.7389583333</v>
      </c>
      <c r="B397" s="56">
        <v>45308.7407291667</v>
      </c>
      <c r="C397" s="35">
        <v>178</v>
      </c>
      <c r="D397" s="35" t="s">
        <v>42</v>
      </c>
      <c r="E397" s="35" t="s">
        <v>39</v>
      </c>
      <c r="F397" s="35" t="s">
        <v>34</v>
      </c>
      <c r="G397" s="35" t="s">
        <v>35</v>
      </c>
      <c r="H397" s="35">
        <f t="shared" si="18"/>
        <v>1</v>
      </c>
      <c r="I397" s="35"/>
      <c r="J397" s="35">
        <v>4</v>
      </c>
      <c r="K397" s="35">
        <f t="shared" si="19"/>
        <v>17</v>
      </c>
      <c r="L397" s="35" t="str">
        <f t="shared" si="20"/>
        <v>Morning</v>
      </c>
      <c r="M397" s="65"/>
      <c r="N397" s="65"/>
      <c r="O397" s="65"/>
      <c r="P397" s="66"/>
      <c r="Q397" s="35"/>
      <c r="R397" s="66"/>
      <c r="S397" s="73"/>
      <c r="T397" s="78"/>
    </row>
    <row r="398" spans="1:20">
      <c r="A398" s="55">
        <v>45300.5084143519</v>
      </c>
      <c r="B398" s="56">
        <v>45300.5184143518</v>
      </c>
      <c r="C398" s="35">
        <v>230</v>
      </c>
      <c r="D398" s="35" t="s">
        <v>42</v>
      </c>
      <c r="E398" s="35" t="s">
        <v>39</v>
      </c>
      <c r="F398" s="35" t="s">
        <v>34</v>
      </c>
      <c r="G398" s="35" t="s">
        <v>35</v>
      </c>
      <c r="H398" s="35">
        <f t="shared" si="18"/>
        <v>1</v>
      </c>
      <c r="I398" s="35"/>
      <c r="J398" s="35">
        <v>4</v>
      </c>
      <c r="K398" s="35">
        <f t="shared" si="19"/>
        <v>12</v>
      </c>
      <c r="L398" s="35" t="str">
        <f t="shared" si="20"/>
        <v>Morning</v>
      </c>
      <c r="M398" s="65"/>
      <c r="N398" s="65"/>
      <c r="O398" s="65"/>
      <c r="P398" s="66"/>
      <c r="Q398" s="35"/>
      <c r="R398" s="66"/>
      <c r="S398" s="73"/>
      <c r="T398" s="78"/>
    </row>
    <row r="399" spans="1:20">
      <c r="A399" s="55">
        <v>45312.4096875</v>
      </c>
      <c r="B399" s="56">
        <v>45312.4210532407</v>
      </c>
      <c r="C399" s="35">
        <v>478</v>
      </c>
      <c r="D399" s="35" t="s">
        <v>39</v>
      </c>
      <c r="E399" s="35" t="s">
        <v>39</v>
      </c>
      <c r="F399" s="35" t="s">
        <v>38</v>
      </c>
      <c r="G399" s="35" t="s">
        <v>36</v>
      </c>
      <c r="H399" s="35">
        <f t="shared" si="18"/>
        <v>0</v>
      </c>
      <c r="I399" s="35"/>
      <c r="J399" s="35">
        <v>3</v>
      </c>
      <c r="K399" s="35">
        <f t="shared" si="19"/>
        <v>9</v>
      </c>
      <c r="L399" s="35" t="str">
        <f t="shared" si="20"/>
        <v>Morning</v>
      </c>
      <c r="M399" s="65"/>
      <c r="N399" s="65"/>
      <c r="O399" s="65"/>
      <c r="P399" s="66"/>
      <c r="Q399" s="35"/>
      <c r="R399" s="66"/>
      <c r="S399" s="73"/>
      <c r="T399" s="78"/>
    </row>
    <row r="400" spans="1:20">
      <c r="A400" s="55">
        <v>45305.9163425926</v>
      </c>
      <c r="B400" s="56">
        <v>45305.9355439815</v>
      </c>
      <c r="C400" s="35">
        <v>191</v>
      </c>
      <c r="D400" s="35" t="s">
        <v>39</v>
      </c>
      <c r="E400" s="35" t="s">
        <v>39</v>
      </c>
      <c r="F400" s="35" t="s">
        <v>34</v>
      </c>
      <c r="G400" s="35" t="s">
        <v>35</v>
      </c>
      <c r="H400" s="35">
        <f t="shared" si="18"/>
        <v>1</v>
      </c>
      <c r="I400" s="35"/>
      <c r="J400" s="35">
        <v>3</v>
      </c>
      <c r="K400" s="35">
        <f t="shared" si="19"/>
        <v>21</v>
      </c>
      <c r="L400" s="35" t="str">
        <f t="shared" si="20"/>
        <v>Evening</v>
      </c>
      <c r="M400" s="65"/>
      <c r="N400" s="65"/>
      <c r="O400" s="65"/>
      <c r="P400" s="66"/>
      <c r="Q400" s="35"/>
      <c r="R400" s="66"/>
      <c r="S400" s="73"/>
      <c r="T400" s="78"/>
    </row>
    <row r="401" spans="1:20">
      <c r="A401" s="55">
        <v>45313.689537037</v>
      </c>
      <c r="B401" s="56">
        <v>45313.6993402778</v>
      </c>
      <c r="C401" s="35">
        <v>438</v>
      </c>
      <c r="D401" s="35" t="s">
        <v>39</v>
      </c>
      <c r="E401" s="35" t="s">
        <v>39</v>
      </c>
      <c r="F401" s="35" t="s">
        <v>38</v>
      </c>
      <c r="G401" s="35" t="s">
        <v>35</v>
      </c>
      <c r="H401" s="35">
        <f t="shared" si="18"/>
        <v>1</v>
      </c>
      <c r="I401" s="35"/>
      <c r="J401" s="35">
        <v>4</v>
      </c>
      <c r="K401" s="35">
        <f t="shared" si="19"/>
        <v>16</v>
      </c>
      <c r="L401" s="35" t="str">
        <f t="shared" si="20"/>
        <v>Morning</v>
      </c>
      <c r="M401" s="65"/>
      <c r="N401" s="65"/>
      <c r="O401" s="65"/>
      <c r="P401" s="66"/>
      <c r="Q401" s="35"/>
      <c r="R401" s="66"/>
      <c r="S401" s="73"/>
      <c r="T401" s="78"/>
    </row>
    <row r="402" spans="1:20">
      <c r="A402" s="55">
        <v>45306.4225231481</v>
      </c>
      <c r="B402" s="56">
        <v>45306.4374884259</v>
      </c>
      <c r="C402" s="35">
        <v>534</v>
      </c>
      <c r="D402" s="35" t="s">
        <v>37</v>
      </c>
      <c r="E402" s="35" t="s">
        <v>41</v>
      </c>
      <c r="F402" s="35" t="s">
        <v>34</v>
      </c>
      <c r="G402" s="35" t="s">
        <v>35</v>
      </c>
      <c r="H402" s="35">
        <f t="shared" si="18"/>
        <v>1</v>
      </c>
      <c r="I402" s="35"/>
      <c r="J402" s="35">
        <v>5</v>
      </c>
      <c r="K402" s="35">
        <f t="shared" si="19"/>
        <v>10</v>
      </c>
      <c r="L402" s="35" t="str">
        <f t="shared" si="20"/>
        <v>Morning</v>
      </c>
      <c r="M402" s="65"/>
      <c r="N402" s="65"/>
      <c r="O402" s="65"/>
      <c r="P402" s="66"/>
      <c r="Q402" s="35"/>
      <c r="R402" s="66"/>
      <c r="S402" s="73"/>
      <c r="T402" s="78"/>
    </row>
    <row r="403" spans="1:20">
      <c r="A403" s="55">
        <v>45298.5094791667</v>
      </c>
      <c r="B403" s="56">
        <v>45298.5271064815</v>
      </c>
      <c r="C403" s="35">
        <v>307</v>
      </c>
      <c r="D403" s="35" t="s">
        <v>37</v>
      </c>
      <c r="E403" s="35" t="s">
        <v>39</v>
      </c>
      <c r="F403" s="35" t="s">
        <v>34</v>
      </c>
      <c r="G403" s="35" t="s">
        <v>35</v>
      </c>
      <c r="H403" s="35">
        <f t="shared" si="18"/>
        <v>1</v>
      </c>
      <c r="I403" s="35"/>
      <c r="J403" s="35">
        <v>3</v>
      </c>
      <c r="K403" s="35">
        <f t="shared" si="19"/>
        <v>12</v>
      </c>
      <c r="L403" s="35" t="str">
        <f t="shared" si="20"/>
        <v>Morning</v>
      </c>
      <c r="M403" s="65"/>
      <c r="N403" s="65"/>
      <c r="O403" s="65"/>
      <c r="P403" s="66"/>
      <c r="Q403" s="35"/>
      <c r="R403" s="66"/>
      <c r="S403" s="73"/>
      <c r="T403" s="78"/>
    </row>
    <row r="404" spans="1:20">
      <c r="A404" s="55">
        <v>45309.6979976852</v>
      </c>
      <c r="B404" s="56">
        <v>45309.716724537</v>
      </c>
      <c r="C404" s="35">
        <v>370</v>
      </c>
      <c r="D404" s="35" t="s">
        <v>39</v>
      </c>
      <c r="E404" s="35" t="s">
        <v>32</v>
      </c>
      <c r="F404" s="35" t="s">
        <v>34</v>
      </c>
      <c r="G404" s="35" t="s">
        <v>35</v>
      </c>
      <c r="H404" s="35">
        <f t="shared" si="18"/>
        <v>1</v>
      </c>
      <c r="I404" s="35"/>
      <c r="J404" s="35">
        <v>5</v>
      </c>
      <c r="K404" s="35">
        <f t="shared" si="19"/>
        <v>16</v>
      </c>
      <c r="L404" s="35" t="str">
        <f t="shared" si="20"/>
        <v>Morning</v>
      </c>
      <c r="M404" s="65"/>
      <c r="N404" s="65"/>
      <c r="O404" s="65"/>
      <c r="P404" s="66"/>
      <c r="Q404" s="35"/>
      <c r="R404" s="66"/>
      <c r="S404" s="73"/>
      <c r="T404" s="78"/>
    </row>
    <row r="405" spans="1:20">
      <c r="A405" s="55">
        <v>45305.6645138889</v>
      </c>
      <c r="B405" s="56">
        <v>45305.6752199074</v>
      </c>
      <c r="C405" s="35">
        <v>23</v>
      </c>
      <c r="D405" s="35" t="s">
        <v>39</v>
      </c>
      <c r="E405" s="35" t="s">
        <v>33</v>
      </c>
      <c r="F405" s="35" t="s">
        <v>40</v>
      </c>
      <c r="G405" s="35" t="s">
        <v>35</v>
      </c>
      <c r="H405" s="35">
        <f t="shared" si="18"/>
        <v>1</v>
      </c>
      <c r="I405" s="35"/>
      <c r="J405" s="35">
        <v>3</v>
      </c>
      <c r="K405" s="35">
        <f t="shared" si="19"/>
        <v>15</v>
      </c>
      <c r="L405" s="35" t="str">
        <f t="shared" si="20"/>
        <v>Morning</v>
      </c>
      <c r="M405" s="65"/>
      <c r="N405" s="65"/>
      <c r="O405" s="65"/>
      <c r="P405" s="66"/>
      <c r="Q405" s="35"/>
      <c r="R405" s="66"/>
      <c r="S405" s="73"/>
      <c r="T405" s="78"/>
    </row>
    <row r="406" spans="1:20">
      <c r="A406" s="55">
        <v>45293.5123611111</v>
      </c>
      <c r="B406" s="56">
        <v>45293.5316666667</v>
      </c>
      <c r="C406" s="35">
        <v>174</v>
      </c>
      <c r="D406" s="35" t="s">
        <v>37</v>
      </c>
      <c r="E406" s="35" t="s">
        <v>41</v>
      </c>
      <c r="F406" s="35" t="s">
        <v>40</v>
      </c>
      <c r="G406" s="35" t="s">
        <v>35</v>
      </c>
      <c r="H406" s="35">
        <f t="shared" si="18"/>
        <v>1</v>
      </c>
      <c r="I406" s="35"/>
      <c r="J406" s="35">
        <v>5</v>
      </c>
      <c r="K406" s="35">
        <f t="shared" si="19"/>
        <v>12</v>
      </c>
      <c r="L406" s="35" t="str">
        <f t="shared" si="20"/>
        <v>Morning</v>
      </c>
      <c r="M406" s="65"/>
      <c r="N406" s="65"/>
      <c r="O406" s="65"/>
      <c r="P406" s="66"/>
      <c r="Q406" s="35"/>
      <c r="R406" s="66"/>
      <c r="S406" s="73"/>
      <c r="T406" s="78"/>
    </row>
    <row r="407" spans="1:20">
      <c r="A407" s="55">
        <v>45301.5337268518</v>
      </c>
      <c r="B407" s="56">
        <v>45301.5351851852</v>
      </c>
      <c r="C407" s="35">
        <v>377</v>
      </c>
      <c r="D407" s="35" t="s">
        <v>42</v>
      </c>
      <c r="E407" s="35" t="s">
        <v>33</v>
      </c>
      <c r="F407" s="35" t="s">
        <v>34</v>
      </c>
      <c r="G407" s="35" t="s">
        <v>35</v>
      </c>
      <c r="H407" s="35">
        <f t="shared" si="18"/>
        <v>1</v>
      </c>
      <c r="I407" s="35"/>
      <c r="J407" s="35">
        <v>5</v>
      </c>
      <c r="K407" s="35">
        <f t="shared" si="19"/>
        <v>12</v>
      </c>
      <c r="L407" s="35" t="str">
        <f t="shared" si="20"/>
        <v>Morning</v>
      </c>
      <c r="M407" s="65"/>
      <c r="N407" s="65"/>
      <c r="O407" s="65"/>
      <c r="P407" s="66"/>
      <c r="Q407" s="35"/>
      <c r="R407" s="66"/>
      <c r="S407" s="73"/>
      <c r="T407" s="78"/>
    </row>
    <row r="408" spans="1:20">
      <c r="A408" s="55">
        <v>45319.5747800926</v>
      </c>
      <c r="B408" s="56">
        <v>45319.5887731481</v>
      </c>
      <c r="C408" s="35">
        <v>408</v>
      </c>
      <c r="D408" s="35" t="s">
        <v>32</v>
      </c>
      <c r="E408" s="35" t="s">
        <v>41</v>
      </c>
      <c r="F408" s="35" t="s">
        <v>34</v>
      </c>
      <c r="G408" s="35" t="s">
        <v>35</v>
      </c>
      <c r="H408" s="35">
        <f t="shared" si="18"/>
        <v>1</v>
      </c>
      <c r="I408" s="35"/>
      <c r="J408" s="35">
        <v>4</v>
      </c>
      <c r="K408" s="35">
        <f t="shared" si="19"/>
        <v>13</v>
      </c>
      <c r="L408" s="35" t="str">
        <f t="shared" si="20"/>
        <v>Morning</v>
      </c>
      <c r="M408" s="65"/>
      <c r="N408" s="65"/>
      <c r="O408" s="65"/>
      <c r="P408" s="66"/>
      <c r="Q408" s="35"/>
      <c r="R408" s="66"/>
      <c r="S408" s="73"/>
      <c r="T408" s="78"/>
    </row>
    <row r="409" spans="1:20">
      <c r="A409" s="55">
        <v>45305.6910069444</v>
      </c>
      <c r="B409" s="56">
        <v>45305.6920023148</v>
      </c>
      <c r="C409" s="35">
        <v>267</v>
      </c>
      <c r="D409" s="35" t="s">
        <v>32</v>
      </c>
      <c r="E409" s="35" t="s">
        <v>32</v>
      </c>
      <c r="F409" s="35" t="s">
        <v>40</v>
      </c>
      <c r="G409" s="35" t="s">
        <v>35</v>
      </c>
      <c r="H409" s="35">
        <f t="shared" si="18"/>
        <v>1</v>
      </c>
      <c r="I409" s="35"/>
      <c r="J409" s="35">
        <v>5</v>
      </c>
      <c r="K409" s="35">
        <f t="shared" si="19"/>
        <v>16</v>
      </c>
      <c r="L409" s="35" t="str">
        <f t="shared" si="20"/>
        <v>Morning</v>
      </c>
      <c r="M409" s="65"/>
      <c r="N409" s="65"/>
      <c r="O409" s="65"/>
      <c r="P409" s="66"/>
      <c r="Q409" s="35"/>
      <c r="R409" s="66"/>
      <c r="S409" s="73"/>
      <c r="T409" s="78"/>
    </row>
    <row r="410" spans="1:20">
      <c r="A410" s="55">
        <v>45312.7420949074</v>
      </c>
      <c r="B410" s="56">
        <v>45312.7557407407</v>
      </c>
      <c r="C410" s="35">
        <v>211</v>
      </c>
      <c r="D410" s="35" t="s">
        <v>32</v>
      </c>
      <c r="E410" s="35" t="s">
        <v>41</v>
      </c>
      <c r="F410" s="35" t="s">
        <v>38</v>
      </c>
      <c r="G410" s="35" t="s">
        <v>36</v>
      </c>
      <c r="H410" s="35">
        <f t="shared" si="18"/>
        <v>0</v>
      </c>
      <c r="I410" s="35"/>
      <c r="J410" s="35">
        <v>3</v>
      </c>
      <c r="K410" s="35">
        <f t="shared" si="19"/>
        <v>17</v>
      </c>
      <c r="L410" s="35" t="str">
        <f t="shared" si="20"/>
        <v>Morning</v>
      </c>
      <c r="M410" s="65"/>
      <c r="N410" s="65"/>
      <c r="O410" s="65"/>
      <c r="P410" s="66"/>
      <c r="Q410" s="35"/>
      <c r="R410" s="66"/>
      <c r="S410" s="73"/>
      <c r="T410" s="78"/>
    </row>
    <row r="411" spans="1:20">
      <c r="A411" s="55">
        <v>45315.9218055556</v>
      </c>
      <c r="B411" s="56">
        <v>45315.9234606481</v>
      </c>
      <c r="C411" s="35">
        <v>448</v>
      </c>
      <c r="D411" s="35" t="s">
        <v>37</v>
      </c>
      <c r="E411" s="35" t="s">
        <v>41</v>
      </c>
      <c r="F411" s="35" t="s">
        <v>40</v>
      </c>
      <c r="G411" s="35" t="s">
        <v>36</v>
      </c>
      <c r="H411" s="35">
        <f t="shared" si="18"/>
        <v>0</v>
      </c>
      <c r="I411" s="35"/>
      <c r="J411" s="35">
        <v>2</v>
      </c>
      <c r="K411" s="35">
        <f t="shared" si="19"/>
        <v>22</v>
      </c>
      <c r="L411" s="35" t="str">
        <f t="shared" si="20"/>
        <v>Evening</v>
      </c>
      <c r="M411" s="65"/>
      <c r="N411" s="65"/>
      <c r="O411" s="65"/>
      <c r="P411" s="66"/>
      <c r="Q411" s="35"/>
      <c r="R411" s="66"/>
      <c r="S411" s="73"/>
      <c r="T411" s="78"/>
    </row>
    <row r="412" spans="1:20">
      <c r="A412" s="55">
        <v>45314.4181597222</v>
      </c>
      <c r="B412" s="56">
        <v>45314.4264930556</v>
      </c>
      <c r="C412" s="35">
        <v>62</v>
      </c>
      <c r="D412" s="35" t="s">
        <v>39</v>
      </c>
      <c r="E412" s="35" t="s">
        <v>41</v>
      </c>
      <c r="F412" s="35" t="s">
        <v>38</v>
      </c>
      <c r="G412" s="35" t="s">
        <v>35</v>
      </c>
      <c r="H412" s="35">
        <f t="shared" si="18"/>
        <v>1</v>
      </c>
      <c r="I412" s="35"/>
      <c r="J412" s="35">
        <v>5</v>
      </c>
      <c r="K412" s="35">
        <f t="shared" si="19"/>
        <v>10</v>
      </c>
      <c r="L412" s="35" t="str">
        <f t="shared" si="20"/>
        <v>Morning</v>
      </c>
      <c r="M412" s="65"/>
      <c r="N412" s="65"/>
      <c r="O412" s="65"/>
      <c r="P412" s="66"/>
      <c r="Q412" s="35"/>
      <c r="R412" s="66"/>
      <c r="S412" s="73"/>
      <c r="T412" s="78"/>
    </row>
    <row r="413" spans="1:20">
      <c r="A413" s="55">
        <v>45294.6897453704</v>
      </c>
      <c r="B413" s="56">
        <v>45294.6947916667</v>
      </c>
      <c r="C413" s="35">
        <v>543</v>
      </c>
      <c r="D413" s="35" t="s">
        <v>43</v>
      </c>
      <c r="E413" s="35" t="s">
        <v>39</v>
      </c>
      <c r="F413" s="35" t="s">
        <v>38</v>
      </c>
      <c r="G413" s="35" t="s">
        <v>35</v>
      </c>
      <c r="H413" s="35">
        <f t="shared" si="18"/>
        <v>1</v>
      </c>
      <c r="I413" s="35"/>
      <c r="J413" s="35">
        <v>4</v>
      </c>
      <c r="K413" s="35">
        <f t="shared" si="19"/>
        <v>16</v>
      </c>
      <c r="L413" s="35" t="str">
        <f t="shared" si="20"/>
        <v>Morning</v>
      </c>
      <c r="M413" s="65"/>
      <c r="N413" s="65"/>
      <c r="O413" s="65"/>
      <c r="P413" s="66"/>
      <c r="Q413" s="35"/>
      <c r="R413" s="66"/>
      <c r="S413" s="73"/>
      <c r="T413" s="78"/>
    </row>
    <row r="414" spans="1:20">
      <c r="A414" s="55">
        <v>45303.5807060185</v>
      </c>
      <c r="B414" s="56">
        <v>45303.5971180556</v>
      </c>
      <c r="C414" s="35">
        <v>349</v>
      </c>
      <c r="D414" s="35" t="s">
        <v>37</v>
      </c>
      <c r="E414" s="35" t="s">
        <v>41</v>
      </c>
      <c r="F414" s="35" t="s">
        <v>38</v>
      </c>
      <c r="G414" s="35" t="s">
        <v>36</v>
      </c>
      <c r="H414" s="35">
        <f t="shared" si="18"/>
        <v>0</v>
      </c>
      <c r="I414" s="35"/>
      <c r="J414" s="35">
        <v>3</v>
      </c>
      <c r="K414" s="35">
        <f t="shared" si="19"/>
        <v>13</v>
      </c>
      <c r="L414" s="35" t="str">
        <f t="shared" si="20"/>
        <v>Morning</v>
      </c>
      <c r="M414" s="65"/>
      <c r="N414" s="65"/>
      <c r="O414" s="65"/>
      <c r="P414" s="66"/>
      <c r="Q414" s="35"/>
      <c r="R414" s="66"/>
      <c r="S414" s="73"/>
      <c r="T414" s="78"/>
    </row>
    <row r="415" spans="1:20">
      <c r="A415" s="55">
        <v>45318.2553472222</v>
      </c>
      <c r="B415" s="56">
        <v>45318.2642361111</v>
      </c>
      <c r="C415" s="35">
        <v>466</v>
      </c>
      <c r="D415" s="35" t="s">
        <v>32</v>
      </c>
      <c r="E415" s="35" t="s">
        <v>39</v>
      </c>
      <c r="F415" s="35" t="s">
        <v>40</v>
      </c>
      <c r="G415" s="35" t="s">
        <v>35</v>
      </c>
      <c r="H415" s="35">
        <f t="shared" si="18"/>
        <v>1</v>
      </c>
      <c r="I415" s="35"/>
      <c r="J415" s="35">
        <v>4</v>
      </c>
      <c r="K415" s="35">
        <f t="shared" si="19"/>
        <v>6</v>
      </c>
      <c r="L415" s="35" t="str">
        <f t="shared" si="20"/>
        <v>Morning</v>
      </c>
      <c r="M415" s="65"/>
      <c r="N415" s="65"/>
      <c r="O415" s="65"/>
      <c r="P415" s="66"/>
      <c r="Q415" s="35"/>
      <c r="R415" s="66"/>
      <c r="S415" s="73"/>
      <c r="T415" s="78"/>
    </row>
    <row r="416" spans="1:20">
      <c r="A416" s="55">
        <v>45317.3918518519</v>
      </c>
      <c r="B416" s="56">
        <v>45317.4053472222</v>
      </c>
      <c r="C416" s="35">
        <v>299</v>
      </c>
      <c r="D416" s="35" t="s">
        <v>43</v>
      </c>
      <c r="E416" s="35" t="s">
        <v>41</v>
      </c>
      <c r="F416" s="35" t="s">
        <v>34</v>
      </c>
      <c r="G416" s="35" t="s">
        <v>35</v>
      </c>
      <c r="H416" s="35">
        <f t="shared" si="18"/>
        <v>1</v>
      </c>
      <c r="I416" s="35"/>
      <c r="J416" s="35">
        <v>4</v>
      </c>
      <c r="K416" s="35">
        <f t="shared" si="19"/>
        <v>9</v>
      </c>
      <c r="L416" s="35" t="str">
        <f t="shared" si="20"/>
        <v>Morning</v>
      </c>
      <c r="M416" s="65"/>
      <c r="N416" s="65"/>
      <c r="O416" s="65"/>
      <c r="P416" s="66"/>
      <c r="Q416" s="35"/>
      <c r="R416" s="66"/>
      <c r="S416" s="73"/>
      <c r="T416" s="78"/>
    </row>
    <row r="417" spans="1:20">
      <c r="A417" s="55">
        <v>45293.6650578704</v>
      </c>
      <c r="B417" s="56">
        <v>45293.6703125</v>
      </c>
      <c r="C417" s="35">
        <v>338</v>
      </c>
      <c r="D417" s="35" t="s">
        <v>39</v>
      </c>
      <c r="E417" s="35" t="s">
        <v>33</v>
      </c>
      <c r="F417" s="35" t="s">
        <v>40</v>
      </c>
      <c r="G417" s="35" t="s">
        <v>36</v>
      </c>
      <c r="H417" s="35">
        <f t="shared" si="18"/>
        <v>0</v>
      </c>
      <c r="I417" s="35"/>
      <c r="J417" s="35">
        <v>3</v>
      </c>
      <c r="K417" s="35">
        <f t="shared" si="19"/>
        <v>15</v>
      </c>
      <c r="L417" s="35" t="str">
        <f t="shared" si="20"/>
        <v>Morning</v>
      </c>
      <c r="M417" s="65"/>
      <c r="N417" s="65"/>
      <c r="O417" s="65"/>
      <c r="P417" s="66"/>
      <c r="Q417" s="35"/>
      <c r="R417" s="66"/>
      <c r="S417" s="73"/>
      <c r="T417" s="78"/>
    </row>
    <row r="418" spans="1:20">
      <c r="A418" s="55">
        <v>45294.5296296296</v>
      </c>
      <c r="B418" s="56">
        <v>45294.5486574074</v>
      </c>
      <c r="C418" s="35">
        <v>228</v>
      </c>
      <c r="D418" s="35" t="s">
        <v>42</v>
      </c>
      <c r="E418" s="35" t="s">
        <v>33</v>
      </c>
      <c r="F418" s="35" t="s">
        <v>40</v>
      </c>
      <c r="G418" s="35" t="s">
        <v>35</v>
      </c>
      <c r="H418" s="35">
        <f t="shared" si="18"/>
        <v>1</v>
      </c>
      <c r="I418" s="35"/>
      <c r="J418" s="35">
        <v>5</v>
      </c>
      <c r="K418" s="35">
        <f t="shared" si="19"/>
        <v>12</v>
      </c>
      <c r="L418" s="35" t="str">
        <f t="shared" si="20"/>
        <v>Morning</v>
      </c>
      <c r="M418" s="65"/>
      <c r="N418" s="65"/>
      <c r="O418" s="65"/>
      <c r="P418" s="66"/>
      <c r="Q418" s="35"/>
      <c r="R418" s="66"/>
      <c r="S418" s="73"/>
      <c r="T418" s="78"/>
    </row>
    <row r="419" spans="1:20">
      <c r="A419" s="55">
        <v>45315.8207407407</v>
      </c>
      <c r="B419" s="56">
        <v>45315.8231365741</v>
      </c>
      <c r="C419" s="35">
        <v>167</v>
      </c>
      <c r="D419" s="35" t="s">
        <v>43</v>
      </c>
      <c r="E419" s="35" t="s">
        <v>32</v>
      </c>
      <c r="F419" s="35" t="s">
        <v>34</v>
      </c>
      <c r="G419" s="35" t="s">
        <v>35</v>
      </c>
      <c r="H419" s="35">
        <f t="shared" si="18"/>
        <v>1</v>
      </c>
      <c r="I419" s="35"/>
      <c r="J419" s="35">
        <v>3</v>
      </c>
      <c r="K419" s="35">
        <f t="shared" si="19"/>
        <v>19</v>
      </c>
      <c r="L419" s="35" t="str">
        <f t="shared" si="20"/>
        <v>Evening</v>
      </c>
      <c r="M419" s="65"/>
      <c r="N419" s="65"/>
      <c r="O419" s="65"/>
      <c r="P419" s="66"/>
      <c r="Q419" s="35"/>
      <c r="R419" s="66"/>
      <c r="S419" s="73"/>
      <c r="T419" s="78"/>
    </row>
    <row r="420" spans="1:20">
      <c r="A420" s="55">
        <v>45293.4932407407</v>
      </c>
      <c r="B420" s="56">
        <v>45293.5071527778</v>
      </c>
      <c r="C420" s="35">
        <v>82</v>
      </c>
      <c r="D420" s="35" t="s">
        <v>39</v>
      </c>
      <c r="E420" s="35" t="s">
        <v>39</v>
      </c>
      <c r="F420" s="35" t="s">
        <v>38</v>
      </c>
      <c r="G420" s="35" t="s">
        <v>35</v>
      </c>
      <c r="H420" s="35">
        <f t="shared" si="18"/>
        <v>1</v>
      </c>
      <c r="I420" s="35"/>
      <c r="J420" s="35">
        <v>4</v>
      </c>
      <c r="K420" s="35">
        <f t="shared" si="19"/>
        <v>11</v>
      </c>
      <c r="L420" s="35" t="str">
        <f t="shared" si="20"/>
        <v>Morning</v>
      </c>
      <c r="M420" s="65"/>
      <c r="N420" s="65"/>
      <c r="O420" s="65"/>
      <c r="P420" s="66"/>
      <c r="Q420" s="35"/>
      <c r="R420" s="66"/>
      <c r="S420" s="73"/>
      <c r="T420" s="78"/>
    </row>
    <row r="421" spans="1:20">
      <c r="A421" s="55">
        <v>45304.8055671296</v>
      </c>
      <c r="B421" s="56">
        <v>45304.8154861111</v>
      </c>
      <c r="C421" s="35">
        <v>131</v>
      </c>
      <c r="D421" s="35" t="s">
        <v>39</v>
      </c>
      <c r="E421" s="35" t="s">
        <v>33</v>
      </c>
      <c r="F421" s="35" t="s">
        <v>34</v>
      </c>
      <c r="G421" s="35" t="s">
        <v>35</v>
      </c>
      <c r="H421" s="35">
        <f t="shared" si="18"/>
        <v>1</v>
      </c>
      <c r="I421" s="35"/>
      <c r="J421" s="35">
        <v>3</v>
      </c>
      <c r="K421" s="35">
        <f t="shared" si="19"/>
        <v>19</v>
      </c>
      <c r="L421" s="35" t="str">
        <f t="shared" si="20"/>
        <v>Evening</v>
      </c>
      <c r="M421" s="65"/>
      <c r="N421" s="65"/>
      <c r="O421" s="65"/>
      <c r="P421" s="66"/>
      <c r="Q421" s="35"/>
      <c r="R421" s="66"/>
      <c r="S421" s="73"/>
      <c r="T421" s="78"/>
    </row>
    <row r="422" spans="1:20">
      <c r="A422" s="55">
        <v>45315.3228472222</v>
      </c>
      <c r="B422" s="56">
        <v>45315.3252546296</v>
      </c>
      <c r="C422" s="35">
        <v>376</v>
      </c>
      <c r="D422" s="35" t="s">
        <v>39</v>
      </c>
      <c r="E422" s="35" t="s">
        <v>33</v>
      </c>
      <c r="F422" s="35" t="s">
        <v>38</v>
      </c>
      <c r="G422" s="35" t="s">
        <v>35</v>
      </c>
      <c r="H422" s="35">
        <f t="shared" si="18"/>
        <v>1</v>
      </c>
      <c r="I422" s="35"/>
      <c r="J422" s="35">
        <v>4</v>
      </c>
      <c r="K422" s="35">
        <f t="shared" si="19"/>
        <v>7</v>
      </c>
      <c r="L422" s="35" t="str">
        <f t="shared" si="20"/>
        <v>Morning</v>
      </c>
      <c r="M422" s="65"/>
      <c r="N422" s="65"/>
      <c r="O422" s="65"/>
      <c r="P422" s="66"/>
      <c r="Q422" s="35"/>
      <c r="R422" s="66"/>
      <c r="S422" s="73"/>
      <c r="T422" s="78"/>
    </row>
    <row r="423" spans="1:20">
      <c r="A423" s="55">
        <v>45294.6590162037</v>
      </c>
      <c r="B423" s="56">
        <v>45294.6700810185</v>
      </c>
      <c r="C423" s="35">
        <v>400</v>
      </c>
      <c r="D423" s="35" t="s">
        <v>42</v>
      </c>
      <c r="E423" s="35" t="s">
        <v>33</v>
      </c>
      <c r="F423" s="35" t="s">
        <v>38</v>
      </c>
      <c r="G423" s="35" t="s">
        <v>36</v>
      </c>
      <c r="H423" s="35">
        <f t="shared" si="18"/>
        <v>0</v>
      </c>
      <c r="I423" s="35"/>
      <c r="J423" s="35">
        <v>1</v>
      </c>
      <c r="K423" s="35">
        <f t="shared" si="19"/>
        <v>15</v>
      </c>
      <c r="L423" s="35" t="str">
        <f t="shared" si="20"/>
        <v>Morning</v>
      </c>
      <c r="M423" s="65"/>
      <c r="N423" s="65"/>
      <c r="O423" s="65"/>
      <c r="P423" s="66"/>
      <c r="Q423" s="35"/>
      <c r="R423" s="66"/>
      <c r="S423" s="73"/>
      <c r="T423" s="78"/>
    </row>
    <row r="424" spans="1:20">
      <c r="A424" s="55">
        <v>45317.6528819444</v>
      </c>
      <c r="B424" s="56">
        <v>45317.6606365741</v>
      </c>
      <c r="C424" s="35">
        <v>392</v>
      </c>
      <c r="D424" s="35" t="s">
        <v>43</v>
      </c>
      <c r="E424" s="35" t="s">
        <v>39</v>
      </c>
      <c r="F424" s="35" t="s">
        <v>40</v>
      </c>
      <c r="G424" s="35" t="s">
        <v>36</v>
      </c>
      <c r="H424" s="35">
        <f t="shared" si="18"/>
        <v>0</v>
      </c>
      <c r="I424" s="35"/>
      <c r="J424" s="35">
        <v>3</v>
      </c>
      <c r="K424" s="35">
        <f t="shared" si="19"/>
        <v>15</v>
      </c>
      <c r="L424" s="35" t="str">
        <f t="shared" si="20"/>
        <v>Morning</v>
      </c>
      <c r="M424" s="65"/>
      <c r="N424" s="65"/>
      <c r="O424" s="65"/>
      <c r="P424" s="66"/>
      <c r="Q424" s="35"/>
      <c r="R424" s="66"/>
      <c r="S424" s="73"/>
      <c r="T424" s="78"/>
    </row>
    <row r="425" spans="1:20">
      <c r="A425" s="55">
        <v>45309.3466782407</v>
      </c>
      <c r="B425" s="56">
        <v>45309.3651041667</v>
      </c>
      <c r="C425" s="35">
        <v>362</v>
      </c>
      <c r="D425" s="35" t="s">
        <v>32</v>
      </c>
      <c r="E425" s="35" t="s">
        <v>32</v>
      </c>
      <c r="F425" s="35" t="s">
        <v>34</v>
      </c>
      <c r="G425" s="35" t="s">
        <v>35</v>
      </c>
      <c r="H425" s="35">
        <f t="shared" si="18"/>
        <v>1</v>
      </c>
      <c r="I425" s="35"/>
      <c r="J425" s="35">
        <v>3</v>
      </c>
      <c r="K425" s="35">
        <f t="shared" si="19"/>
        <v>8</v>
      </c>
      <c r="L425" s="35" t="str">
        <f t="shared" si="20"/>
        <v>Morning</v>
      </c>
      <c r="M425" s="65"/>
      <c r="N425" s="65"/>
      <c r="O425" s="65"/>
      <c r="P425" s="66"/>
      <c r="Q425" s="35"/>
      <c r="R425" s="66"/>
      <c r="S425" s="73"/>
      <c r="T425" s="78"/>
    </row>
    <row r="426" spans="1:20">
      <c r="A426" s="55">
        <v>45297.5693634259</v>
      </c>
      <c r="B426" s="56">
        <v>45297.5760416667</v>
      </c>
      <c r="C426" s="35">
        <v>208</v>
      </c>
      <c r="D426" s="35" t="s">
        <v>43</v>
      </c>
      <c r="E426" s="35" t="s">
        <v>39</v>
      </c>
      <c r="F426" s="35" t="s">
        <v>34</v>
      </c>
      <c r="G426" s="35" t="s">
        <v>35</v>
      </c>
      <c r="H426" s="35">
        <f t="shared" si="18"/>
        <v>1</v>
      </c>
      <c r="I426" s="35"/>
      <c r="J426" s="35">
        <v>3</v>
      </c>
      <c r="K426" s="35">
        <f t="shared" si="19"/>
        <v>13</v>
      </c>
      <c r="L426" s="35" t="str">
        <f t="shared" si="20"/>
        <v>Morning</v>
      </c>
      <c r="M426" s="65"/>
      <c r="N426" s="65"/>
      <c r="O426" s="65"/>
      <c r="P426" s="66"/>
      <c r="Q426" s="35"/>
      <c r="R426" s="66"/>
      <c r="S426" s="73"/>
      <c r="T426" s="78"/>
    </row>
    <row r="427" spans="1:20">
      <c r="A427" s="55">
        <v>45316.8622106481</v>
      </c>
      <c r="B427" s="56">
        <v>45316.8646296296</v>
      </c>
      <c r="C427" s="35">
        <v>307</v>
      </c>
      <c r="D427" s="35" t="s">
        <v>43</v>
      </c>
      <c r="E427" s="35" t="s">
        <v>41</v>
      </c>
      <c r="F427" s="35" t="s">
        <v>40</v>
      </c>
      <c r="G427" s="35" t="s">
        <v>36</v>
      </c>
      <c r="H427" s="35">
        <f t="shared" si="18"/>
        <v>0</v>
      </c>
      <c r="I427" s="35"/>
      <c r="J427" s="35">
        <v>3</v>
      </c>
      <c r="K427" s="35">
        <f t="shared" si="19"/>
        <v>20</v>
      </c>
      <c r="L427" s="35" t="str">
        <f t="shared" si="20"/>
        <v>Evening</v>
      </c>
      <c r="M427" s="65"/>
      <c r="N427" s="65"/>
      <c r="O427" s="65"/>
      <c r="P427" s="66"/>
      <c r="Q427" s="35"/>
      <c r="R427" s="66"/>
      <c r="S427" s="73"/>
      <c r="T427" s="78"/>
    </row>
    <row r="428" spans="1:20">
      <c r="A428" s="55">
        <v>45303.4463078704</v>
      </c>
      <c r="B428" s="56">
        <v>45303.4525578704</v>
      </c>
      <c r="C428" s="35">
        <v>112</v>
      </c>
      <c r="D428" s="35" t="s">
        <v>37</v>
      </c>
      <c r="E428" s="35" t="s">
        <v>33</v>
      </c>
      <c r="F428" s="35" t="s">
        <v>40</v>
      </c>
      <c r="G428" s="35" t="s">
        <v>35</v>
      </c>
      <c r="H428" s="35">
        <f t="shared" si="18"/>
        <v>1</v>
      </c>
      <c r="I428" s="35"/>
      <c r="J428" s="35">
        <v>4</v>
      </c>
      <c r="K428" s="35">
        <f t="shared" si="19"/>
        <v>10</v>
      </c>
      <c r="L428" s="35" t="str">
        <f t="shared" si="20"/>
        <v>Morning</v>
      </c>
      <c r="M428" s="65"/>
      <c r="N428" s="65"/>
      <c r="O428" s="65"/>
      <c r="P428" s="66"/>
      <c r="Q428" s="35"/>
      <c r="R428" s="66"/>
      <c r="S428" s="73"/>
      <c r="T428" s="78"/>
    </row>
    <row r="429" spans="1:20">
      <c r="A429" s="55">
        <v>45311.6559837963</v>
      </c>
      <c r="B429" s="56">
        <v>45311.6602893519</v>
      </c>
      <c r="C429" s="35">
        <v>589</v>
      </c>
      <c r="D429" s="35" t="s">
        <v>39</v>
      </c>
      <c r="E429" s="35" t="s">
        <v>41</v>
      </c>
      <c r="F429" s="35" t="s">
        <v>38</v>
      </c>
      <c r="G429" s="35" t="s">
        <v>35</v>
      </c>
      <c r="H429" s="35">
        <f t="shared" si="18"/>
        <v>1</v>
      </c>
      <c r="I429" s="35"/>
      <c r="J429" s="35">
        <v>3</v>
      </c>
      <c r="K429" s="35">
        <f t="shared" si="19"/>
        <v>15</v>
      </c>
      <c r="L429" s="35" t="str">
        <f t="shared" si="20"/>
        <v>Morning</v>
      </c>
      <c r="M429" s="65"/>
      <c r="N429" s="65"/>
      <c r="O429" s="65"/>
      <c r="P429" s="66"/>
      <c r="Q429" s="35"/>
      <c r="R429" s="66"/>
      <c r="S429" s="73"/>
      <c r="T429" s="78"/>
    </row>
    <row r="430" spans="1:20">
      <c r="A430" s="55">
        <v>45302.5765509259</v>
      </c>
      <c r="B430" s="56">
        <v>45302.5941203704</v>
      </c>
      <c r="C430" s="35">
        <v>456</v>
      </c>
      <c r="D430" s="35" t="s">
        <v>37</v>
      </c>
      <c r="E430" s="35" t="s">
        <v>41</v>
      </c>
      <c r="F430" s="35" t="s">
        <v>40</v>
      </c>
      <c r="G430" s="35" t="s">
        <v>35</v>
      </c>
      <c r="H430" s="35">
        <f t="shared" si="18"/>
        <v>1</v>
      </c>
      <c r="I430" s="35"/>
      <c r="J430" s="35">
        <v>4</v>
      </c>
      <c r="K430" s="35">
        <f t="shared" si="19"/>
        <v>13</v>
      </c>
      <c r="L430" s="35" t="str">
        <f t="shared" si="20"/>
        <v>Morning</v>
      </c>
      <c r="M430" s="65"/>
      <c r="N430" s="65"/>
      <c r="O430" s="65"/>
      <c r="P430" s="66"/>
      <c r="Q430" s="35"/>
      <c r="R430" s="66"/>
      <c r="S430" s="73"/>
      <c r="T430" s="78"/>
    </row>
    <row r="431" spans="1:20">
      <c r="A431" s="55">
        <v>45307.8530324074</v>
      </c>
      <c r="B431" s="56">
        <v>45307.8720833333</v>
      </c>
      <c r="C431" s="35">
        <v>322</v>
      </c>
      <c r="D431" s="35" t="s">
        <v>42</v>
      </c>
      <c r="E431" s="35" t="s">
        <v>33</v>
      </c>
      <c r="F431" s="35" t="s">
        <v>40</v>
      </c>
      <c r="G431" s="35" t="s">
        <v>35</v>
      </c>
      <c r="H431" s="35">
        <f t="shared" si="18"/>
        <v>1</v>
      </c>
      <c r="I431" s="35"/>
      <c r="J431" s="35">
        <v>3</v>
      </c>
      <c r="K431" s="35">
        <f t="shared" si="19"/>
        <v>20</v>
      </c>
      <c r="L431" s="35" t="str">
        <f t="shared" si="20"/>
        <v>Evening</v>
      </c>
      <c r="M431" s="65"/>
      <c r="N431" s="65"/>
      <c r="O431" s="65"/>
      <c r="P431" s="66"/>
      <c r="Q431" s="35"/>
      <c r="R431" s="66"/>
      <c r="S431" s="73"/>
      <c r="T431" s="78"/>
    </row>
    <row r="432" spans="1:20">
      <c r="A432" s="55">
        <v>45300.4566435185</v>
      </c>
      <c r="B432" s="56">
        <v>45300.4619907407</v>
      </c>
      <c r="C432" s="35">
        <v>279</v>
      </c>
      <c r="D432" s="35" t="s">
        <v>43</v>
      </c>
      <c r="E432" s="35" t="s">
        <v>33</v>
      </c>
      <c r="F432" s="35" t="s">
        <v>40</v>
      </c>
      <c r="G432" s="35" t="s">
        <v>35</v>
      </c>
      <c r="H432" s="35">
        <f t="shared" si="18"/>
        <v>1</v>
      </c>
      <c r="I432" s="35"/>
      <c r="J432" s="35">
        <v>5</v>
      </c>
      <c r="K432" s="35">
        <f t="shared" si="19"/>
        <v>10</v>
      </c>
      <c r="L432" s="35" t="str">
        <f t="shared" si="20"/>
        <v>Morning</v>
      </c>
      <c r="M432" s="65"/>
      <c r="N432" s="65"/>
      <c r="O432" s="65"/>
      <c r="P432" s="66"/>
      <c r="Q432" s="35"/>
      <c r="R432" s="66"/>
      <c r="S432" s="73"/>
      <c r="T432" s="78"/>
    </row>
    <row r="433" spans="1:20">
      <c r="A433" s="55">
        <v>45318.7844560185</v>
      </c>
      <c r="B433" s="56">
        <v>45318.7901851852</v>
      </c>
      <c r="C433" s="35">
        <v>47</v>
      </c>
      <c r="D433" s="35" t="s">
        <v>39</v>
      </c>
      <c r="E433" s="35" t="s">
        <v>41</v>
      </c>
      <c r="F433" s="35" t="s">
        <v>34</v>
      </c>
      <c r="G433" s="35" t="s">
        <v>35</v>
      </c>
      <c r="H433" s="35">
        <f t="shared" si="18"/>
        <v>1</v>
      </c>
      <c r="I433" s="35"/>
      <c r="J433" s="35">
        <v>5</v>
      </c>
      <c r="K433" s="35">
        <f t="shared" si="19"/>
        <v>18</v>
      </c>
      <c r="L433" s="35" t="str">
        <f t="shared" si="20"/>
        <v>Morning</v>
      </c>
      <c r="M433" s="65"/>
      <c r="N433" s="65"/>
      <c r="O433" s="65"/>
      <c r="P433" s="66"/>
      <c r="Q433" s="35"/>
      <c r="R433" s="66"/>
      <c r="S433" s="73"/>
      <c r="T433" s="78"/>
    </row>
    <row r="434" spans="1:20">
      <c r="A434" s="55">
        <v>45312.4329282407</v>
      </c>
      <c r="B434" s="56">
        <v>45312.438912037</v>
      </c>
      <c r="C434" s="35">
        <v>307</v>
      </c>
      <c r="D434" s="35" t="s">
        <v>32</v>
      </c>
      <c r="E434" s="35" t="s">
        <v>32</v>
      </c>
      <c r="F434" s="35" t="s">
        <v>34</v>
      </c>
      <c r="G434" s="35" t="s">
        <v>35</v>
      </c>
      <c r="H434" s="35">
        <f t="shared" si="18"/>
        <v>1</v>
      </c>
      <c r="I434" s="35"/>
      <c r="J434" s="35">
        <v>4</v>
      </c>
      <c r="K434" s="35">
        <f t="shared" si="19"/>
        <v>10</v>
      </c>
      <c r="L434" s="35" t="str">
        <f t="shared" si="20"/>
        <v>Morning</v>
      </c>
      <c r="M434" s="65"/>
      <c r="N434" s="65"/>
      <c r="O434" s="65"/>
      <c r="P434" s="66"/>
      <c r="Q434" s="35"/>
      <c r="R434" s="66"/>
      <c r="S434" s="73"/>
      <c r="T434" s="78"/>
    </row>
    <row r="435" spans="1:20">
      <c r="A435" s="55">
        <v>45308.2793402778</v>
      </c>
      <c r="B435" s="56">
        <v>45308.3001273148</v>
      </c>
      <c r="C435" s="35">
        <v>179</v>
      </c>
      <c r="D435" s="35" t="s">
        <v>39</v>
      </c>
      <c r="E435" s="35" t="s">
        <v>39</v>
      </c>
      <c r="F435" s="35" t="s">
        <v>38</v>
      </c>
      <c r="G435" s="35" t="s">
        <v>36</v>
      </c>
      <c r="H435" s="35">
        <f t="shared" si="18"/>
        <v>0</v>
      </c>
      <c r="I435" s="35"/>
      <c r="J435" s="35">
        <v>3</v>
      </c>
      <c r="K435" s="35">
        <f t="shared" si="19"/>
        <v>6</v>
      </c>
      <c r="L435" s="35" t="str">
        <f t="shared" si="20"/>
        <v>Morning</v>
      </c>
      <c r="M435" s="65"/>
      <c r="N435" s="65"/>
      <c r="O435" s="65"/>
      <c r="P435" s="66"/>
      <c r="Q435" s="35"/>
      <c r="R435" s="66"/>
      <c r="S435" s="73"/>
      <c r="T435" s="78"/>
    </row>
    <row r="436" spans="1:20">
      <c r="A436" s="55">
        <v>45319.449837963</v>
      </c>
      <c r="B436" s="56">
        <v>45319.4619907407</v>
      </c>
      <c r="C436" s="35">
        <v>377</v>
      </c>
      <c r="D436" s="35" t="s">
        <v>43</v>
      </c>
      <c r="E436" s="35" t="s">
        <v>39</v>
      </c>
      <c r="F436" s="35" t="s">
        <v>38</v>
      </c>
      <c r="G436" s="35" t="s">
        <v>36</v>
      </c>
      <c r="H436" s="35">
        <f t="shared" si="18"/>
        <v>0</v>
      </c>
      <c r="I436" s="35"/>
      <c r="J436" s="35">
        <v>2</v>
      </c>
      <c r="K436" s="35">
        <f t="shared" si="19"/>
        <v>10</v>
      </c>
      <c r="L436" s="35" t="str">
        <f t="shared" si="20"/>
        <v>Morning</v>
      </c>
      <c r="M436" s="65"/>
      <c r="N436" s="65"/>
      <c r="O436" s="65"/>
      <c r="P436" s="66"/>
      <c r="Q436" s="35"/>
      <c r="R436" s="66"/>
      <c r="S436" s="73"/>
      <c r="T436" s="78"/>
    </row>
    <row r="437" spans="1:20">
      <c r="A437" s="55">
        <v>45313.523587963</v>
      </c>
      <c r="B437" s="56">
        <v>45313.5430324074</v>
      </c>
      <c r="C437" s="35">
        <v>379</v>
      </c>
      <c r="D437" s="35" t="s">
        <v>42</v>
      </c>
      <c r="E437" s="35" t="s">
        <v>32</v>
      </c>
      <c r="F437" s="35" t="s">
        <v>38</v>
      </c>
      <c r="G437" s="35" t="s">
        <v>35</v>
      </c>
      <c r="H437" s="35">
        <f t="shared" si="18"/>
        <v>1</v>
      </c>
      <c r="I437" s="35"/>
      <c r="J437" s="35">
        <v>3</v>
      </c>
      <c r="K437" s="35">
        <f t="shared" si="19"/>
        <v>12</v>
      </c>
      <c r="L437" s="35" t="str">
        <f t="shared" si="20"/>
        <v>Morning</v>
      </c>
      <c r="M437" s="65"/>
      <c r="N437" s="65"/>
      <c r="O437" s="65"/>
      <c r="P437" s="66"/>
      <c r="Q437" s="35"/>
      <c r="R437" s="66"/>
      <c r="S437" s="73"/>
      <c r="T437" s="78"/>
    </row>
    <row r="438" spans="1:20">
      <c r="A438" s="55">
        <v>45302.4066319444</v>
      </c>
      <c r="B438" s="56">
        <v>45302.422337963</v>
      </c>
      <c r="C438" s="35">
        <v>290</v>
      </c>
      <c r="D438" s="35" t="s">
        <v>37</v>
      </c>
      <c r="E438" s="35" t="s">
        <v>39</v>
      </c>
      <c r="F438" s="35" t="s">
        <v>38</v>
      </c>
      <c r="G438" s="35" t="s">
        <v>35</v>
      </c>
      <c r="H438" s="35">
        <f t="shared" si="18"/>
        <v>1</v>
      </c>
      <c r="I438" s="35"/>
      <c r="J438" s="35">
        <v>4</v>
      </c>
      <c r="K438" s="35">
        <f t="shared" si="19"/>
        <v>9</v>
      </c>
      <c r="L438" s="35" t="str">
        <f t="shared" si="20"/>
        <v>Morning</v>
      </c>
      <c r="M438" s="65"/>
      <c r="N438" s="65"/>
      <c r="O438" s="65"/>
      <c r="P438" s="66"/>
      <c r="Q438" s="35"/>
      <c r="R438" s="66"/>
      <c r="S438" s="73"/>
      <c r="T438" s="78"/>
    </row>
    <row r="439" spans="1:20">
      <c r="A439" s="55">
        <v>45312.3564351852</v>
      </c>
      <c r="B439" s="56">
        <v>45312.3660416667</v>
      </c>
      <c r="C439" s="35">
        <v>238</v>
      </c>
      <c r="D439" s="35" t="s">
        <v>39</v>
      </c>
      <c r="E439" s="35" t="s">
        <v>32</v>
      </c>
      <c r="F439" s="35" t="s">
        <v>38</v>
      </c>
      <c r="G439" s="35" t="s">
        <v>35</v>
      </c>
      <c r="H439" s="35">
        <f t="shared" si="18"/>
        <v>1</v>
      </c>
      <c r="I439" s="35"/>
      <c r="J439" s="35">
        <v>4</v>
      </c>
      <c r="K439" s="35">
        <f t="shared" si="19"/>
        <v>8</v>
      </c>
      <c r="L439" s="35" t="str">
        <f t="shared" si="20"/>
        <v>Morning</v>
      </c>
      <c r="M439" s="65"/>
      <c r="N439" s="65"/>
      <c r="O439" s="65"/>
      <c r="P439" s="66"/>
      <c r="Q439" s="35"/>
      <c r="R439" s="66"/>
      <c r="S439" s="73"/>
      <c r="T439" s="78"/>
    </row>
    <row r="440" spans="1:20">
      <c r="A440" s="55">
        <v>45317.9143287037</v>
      </c>
      <c r="B440" s="56">
        <v>45317.9151736111</v>
      </c>
      <c r="C440" s="35">
        <v>523</v>
      </c>
      <c r="D440" s="35" t="s">
        <v>32</v>
      </c>
      <c r="E440" s="35" t="s">
        <v>32</v>
      </c>
      <c r="F440" s="35" t="s">
        <v>40</v>
      </c>
      <c r="G440" s="35" t="s">
        <v>36</v>
      </c>
      <c r="H440" s="35">
        <f t="shared" si="18"/>
        <v>0</v>
      </c>
      <c r="I440" s="35"/>
      <c r="J440" s="35">
        <v>3</v>
      </c>
      <c r="K440" s="35">
        <f t="shared" si="19"/>
        <v>21</v>
      </c>
      <c r="L440" s="35" t="str">
        <f t="shared" si="20"/>
        <v>Evening</v>
      </c>
      <c r="M440" s="65"/>
      <c r="N440" s="65"/>
      <c r="O440" s="65"/>
      <c r="P440" s="66"/>
      <c r="Q440" s="35"/>
      <c r="R440" s="66"/>
      <c r="S440" s="73"/>
      <c r="T440" s="78"/>
    </row>
    <row r="441" spans="1:20">
      <c r="A441" s="55">
        <v>45296.4655439815</v>
      </c>
      <c r="B441" s="56">
        <v>45296.4804976852</v>
      </c>
      <c r="C441" s="35">
        <v>131</v>
      </c>
      <c r="D441" s="35" t="s">
        <v>32</v>
      </c>
      <c r="E441" s="35" t="s">
        <v>32</v>
      </c>
      <c r="F441" s="35" t="s">
        <v>38</v>
      </c>
      <c r="G441" s="35" t="s">
        <v>35</v>
      </c>
      <c r="H441" s="35">
        <f t="shared" si="18"/>
        <v>1</v>
      </c>
      <c r="I441" s="35"/>
      <c r="J441" s="35">
        <v>4</v>
      </c>
      <c r="K441" s="35">
        <f t="shared" si="19"/>
        <v>11</v>
      </c>
      <c r="L441" s="35" t="str">
        <f t="shared" si="20"/>
        <v>Morning</v>
      </c>
      <c r="M441" s="65"/>
      <c r="N441" s="65"/>
      <c r="O441" s="65"/>
      <c r="P441" s="66"/>
      <c r="Q441" s="35"/>
      <c r="R441" s="66"/>
      <c r="S441" s="73"/>
      <c r="T441" s="78"/>
    </row>
    <row r="442" spans="1:20">
      <c r="A442" s="55">
        <v>45307.8844560185</v>
      </c>
      <c r="B442" s="56">
        <v>45307.8889699074</v>
      </c>
      <c r="C442" s="35">
        <v>430</v>
      </c>
      <c r="D442" s="35" t="s">
        <v>43</v>
      </c>
      <c r="E442" s="35" t="s">
        <v>39</v>
      </c>
      <c r="F442" s="35" t="s">
        <v>40</v>
      </c>
      <c r="G442" s="35" t="s">
        <v>36</v>
      </c>
      <c r="H442" s="35">
        <f t="shared" si="18"/>
        <v>0</v>
      </c>
      <c r="I442" s="35"/>
      <c r="J442" s="35">
        <v>3</v>
      </c>
      <c r="K442" s="35">
        <f t="shared" si="19"/>
        <v>21</v>
      </c>
      <c r="L442" s="35" t="str">
        <f t="shared" si="20"/>
        <v>Evening</v>
      </c>
      <c r="M442" s="65"/>
      <c r="N442" s="65"/>
      <c r="O442" s="65"/>
      <c r="P442" s="66"/>
      <c r="Q442" s="35"/>
      <c r="R442" s="66"/>
      <c r="S442" s="73"/>
      <c r="T442" s="78"/>
    </row>
    <row r="443" spans="1:20">
      <c r="A443" s="55">
        <v>45308.3316666667</v>
      </c>
      <c r="B443" s="56">
        <v>45308.3358333333</v>
      </c>
      <c r="C443" s="35">
        <v>67</v>
      </c>
      <c r="D443" s="35" t="s">
        <v>32</v>
      </c>
      <c r="E443" s="35" t="s">
        <v>41</v>
      </c>
      <c r="F443" s="35" t="s">
        <v>40</v>
      </c>
      <c r="G443" s="35" t="s">
        <v>35</v>
      </c>
      <c r="H443" s="35">
        <f t="shared" si="18"/>
        <v>1</v>
      </c>
      <c r="I443" s="35"/>
      <c r="J443" s="35">
        <v>4</v>
      </c>
      <c r="K443" s="35">
        <f t="shared" si="19"/>
        <v>7</v>
      </c>
      <c r="L443" s="35" t="str">
        <f t="shared" si="20"/>
        <v>Morning</v>
      </c>
      <c r="M443" s="65"/>
      <c r="N443" s="65"/>
      <c r="O443" s="65"/>
      <c r="P443" s="66"/>
      <c r="Q443" s="35"/>
      <c r="R443" s="66"/>
      <c r="S443" s="73"/>
      <c r="T443" s="78"/>
    </row>
    <row r="444" spans="1:20">
      <c r="A444" s="55">
        <v>45310.2894212963</v>
      </c>
      <c r="B444" s="56">
        <v>45310.3073611111</v>
      </c>
      <c r="C444" s="35">
        <v>300</v>
      </c>
      <c r="D444" s="35" t="s">
        <v>43</v>
      </c>
      <c r="E444" s="35" t="s">
        <v>39</v>
      </c>
      <c r="F444" s="35" t="s">
        <v>38</v>
      </c>
      <c r="G444" s="35" t="s">
        <v>35</v>
      </c>
      <c r="H444" s="35">
        <f t="shared" si="18"/>
        <v>1</v>
      </c>
      <c r="I444" s="35"/>
      <c r="J444" s="35">
        <v>4</v>
      </c>
      <c r="K444" s="35">
        <f t="shared" si="19"/>
        <v>6</v>
      </c>
      <c r="L444" s="35" t="str">
        <f t="shared" si="20"/>
        <v>Morning</v>
      </c>
      <c r="M444" s="65"/>
      <c r="N444" s="65"/>
      <c r="O444" s="65"/>
      <c r="P444" s="66"/>
      <c r="Q444" s="35"/>
      <c r="R444" s="66"/>
      <c r="S444" s="73"/>
      <c r="T444" s="78"/>
    </row>
    <row r="445" spans="1:20">
      <c r="A445" s="55">
        <v>45307.4686689815</v>
      </c>
      <c r="B445" s="56">
        <v>45307.4790972222</v>
      </c>
      <c r="C445" s="35">
        <v>156</v>
      </c>
      <c r="D445" s="35" t="s">
        <v>39</v>
      </c>
      <c r="E445" s="35" t="s">
        <v>39</v>
      </c>
      <c r="F445" s="35" t="s">
        <v>34</v>
      </c>
      <c r="G445" s="35" t="s">
        <v>35</v>
      </c>
      <c r="H445" s="35">
        <f t="shared" si="18"/>
        <v>1</v>
      </c>
      <c r="I445" s="35"/>
      <c r="J445" s="35">
        <v>4</v>
      </c>
      <c r="K445" s="35">
        <f t="shared" si="19"/>
        <v>11</v>
      </c>
      <c r="L445" s="35" t="str">
        <f t="shared" si="20"/>
        <v>Morning</v>
      </c>
      <c r="M445" s="65"/>
      <c r="N445" s="65"/>
      <c r="O445" s="65"/>
      <c r="P445" s="66"/>
      <c r="Q445" s="35"/>
      <c r="R445" s="66"/>
      <c r="S445" s="73"/>
      <c r="T445" s="78"/>
    </row>
    <row r="446" spans="1:20">
      <c r="A446" s="55">
        <v>45315.707974537</v>
      </c>
      <c r="B446" s="56">
        <v>45315.7228009259</v>
      </c>
      <c r="C446" s="35">
        <v>80</v>
      </c>
      <c r="D446" s="35" t="s">
        <v>32</v>
      </c>
      <c r="E446" s="35" t="s">
        <v>32</v>
      </c>
      <c r="F446" s="35" t="s">
        <v>38</v>
      </c>
      <c r="G446" s="35" t="s">
        <v>36</v>
      </c>
      <c r="H446" s="35">
        <f t="shared" si="18"/>
        <v>0</v>
      </c>
      <c r="I446" s="35"/>
      <c r="J446" s="35">
        <v>1</v>
      </c>
      <c r="K446" s="35">
        <f t="shared" si="19"/>
        <v>16</v>
      </c>
      <c r="L446" s="35" t="str">
        <f t="shared" si="20"/>
        <v>Morning</v>
      </c>
      <c r="M446" s="65"/>
      <c r="N446" s="65"/>
      <c r="O446" s="65"/>
      <c r="P446" s="66"/>
      <c r="Q446" s="35"/>
      <c r="R446" s="66"/>
      <c r="S446" s="73"/>
      <c r="T446" s="78"/>
    </row>
    <row r="447" spans="1:20">
      <c r="A447" s="55">
        <v>45308.8278819444</v>
      </c>
      <c r="B447" s="56">
        <v>45308.8429282407</v>
      </c>
      <c r="C447" s="35">
        <v>108</v>
      </c>
      <c r="D447" s="35" t="s">
        <v>32</v>
      </c>
      <c r="E447" s="35" t="s">
        <v>32</v>
      </c>
      <c r="F447" s="35" t="s">
        <v>34</v>
      </c>
      <c r="G447" s="35" t="s">
        <v>35</v>
      </c>
      <c r="H447" s="35">
        <f t="shared" si="18"/>
        <v>1</v>
      </c>
      <c r="I447" s="35"/>
      <c r="J447" s="35">
        <v>5</v>
      </c>
      <c r="K447" s="35">
        <f t="shared" si="19"/>
        <v>19</v>
      </c>
      <c r="L447" s="35" t="str">
        <f t="shared" si="20"/>
        <v>Evening</v>
      </c>
      <c r="M447" s="65"/>
      <c r="N447" s="65"/>
      <c r="O447" s="65"/>
      <c r="P447" s="66"/>
      <c r="Q447" s="35"/>
      <c r="R447" s="66"/>
      <c r="S447" s="73"/>
      <c r="T447" s="78"/>
    </row>
    <row r="448" spans="1:20">
      <c r="A448" s="55">
        <v>45316.3788194444</v>
      </c>
      <c r="B448" s="56">
        <v>45316.3951388889</v>
      </c>
      <c r="C448" s="35">
        <v>143</v>
      </c>
      <c r="D448" s="35" t="s">
        <v>39</v>
      </c>
      <c r="E448" s="35" t="s">
        <v>33</v>
      </c>
      <c r="F448" s="35" t="s">
        <v>34</v>
      </c>
      <c r="G448" s="35" t="s">
        <v>35</v>
      </c>
      <c r="H448" s="35">
        <f t="shared" si="18"/>
        <v>1</v>
      </c>
      <c r="I448" s="35"/>
      <c r="J448" s="35">
        <v>5</v>
      </c>
      <c r="K448" s="35">
        <f t="shared" si="19"/>
        <v>9</v>
      </c>
      <c r="L448" s="35" t="str">
        <f t="shared" si="20"/>
        <v>Morning</v>
      </c>
      <c r="M448" s="65"/>
      <c r="N448" s="65"/>
      <c r="O448" s="65"/>
      <c r="P448" s="66"/>
      <c r="Q448" s="35"/>
      <c r="R448" s="66"/>
      <c r="S448" s="73"/>
      <c r="T448" s="78"/>
    </row>
    <row r="449" spans="1:20">
      <c r="A449" s="55">
        <v>45303.3226041667</v>
      </c>
      <c r="B449" s="56">
        <v>45303.3334606482</v>
      </c>
      <c r="C449" s="35">
        <v>244</v>
      </c>
      <c r="D449" s="35" t="s">
        <v>42</v>
      </c>
      <c r="E449" s="35" t="s">
        <v>32</v>
      </c>
      <c r="F449" s="35" t="s">
        <v>38</v>
      </c>
      <c r="G449" s="35" t="s">
        <v>35</v>
      </c>
      <c r="H449" s="35">
        <f t="shared" si="18"/>
        <v>1</v>
      </c>
      <c r="I449" s="35"/>
      <c r="J449" s="35">
        <v>5</v>
      </c>
      <c r="K449" s="35">
        <f t="shared" si="19"/>
        <v>7</v>
      </c>
      <c r="L449" s="35" t="str">
        <f t="shared" si="20"/>
        <v>Morning</v>
      </c>
      <c r="M449" s="65"/>
      <c r="N449" s="65"/>
      <c r="O449" s="65"/>
      <c r="P449" s="66"/>
      <c r="Q449" s="35"/>
      <c r="R449" s="66"/>
      <c r="S449" s="73"/>
      <c r="T449" s="78"/>
    </row>
    <row r="450" spans="1:20">
      <c r="A450" s="55">
        <v>45316.3938425926</v>
      </c>
      <c r="B450" s="56">
        <v>45316.4005671296</v>
      </c>
      <c r="C450" s="35">
        <v>498</v>
      </c>
      <c r="D450" s="35" t="s">
        <v>32</v>
      </c>
      <c r="E450" s="35" t="s">
        <v>33</v>
      </c>
      <c r="F450" s="35" t="s">
        <v>38</v>
      </c>
      <c r="G450" s="35" t="s">
        <v>35</v>
      </c>
      <c r="H450" s="35">
        <f t="shared" si="18"/>
        <v>1</v>
      </c>
      <c r="I450" s="35"/>
      <c r="J450" s="35">
        <v>5</v>
      </c>
      <c r="K450" s="35">
        <f t="shared" si="19"/>
        <v>9</v>
      </c>
      <c r="L450" s="35" t="str">
        <f t="shared" si="20"/>
        <v>Morning</v>
      </c>
      <c r="M450" s="65"/>
      <c r="N450" s="65"/>
      <c r="O450" s="65"/>
      <c r="P450" s="66"/>
      <c r="Q450" s="35"/>
      <c r="R450" s="66"/>
      <c r="S450" s="73"/>
      <c r="T450" s="78"/>
    </row>
    <row r="451" spans="1:20">
      <c r="A451" s="55">
        <v>45300.5005208333</v>
      </c>
      <c r="B451" s="56">
        <v>45300.5188310185</v>
      </c>
      <c r="C451" s="35">
        <v>17</v>
      </c>
      <c r="D451" s="35" t="s">
        <v>39</v>
      </c>
      <c r="E451" s="35" t="s">
        <v>33</v>
      </c>
      <c r="F451" s="35" t="s">
        <v>34</v>
      </c>
      <c r="G451" s="35" t="s">
        <v>36</v>
      </c>
      <c r="H451" s="35">
        <f t="shared" ref="H451:H501" si="21">IF(G451="Y",1,0)</f>
        <v>0</v>
      </c>
      <c r="I451" s="35"/>
      <c r="J451" s="35">
        <v>3</v>
      </c>
      <c r="K451" s="35">
        <f t="shared" ref="K451:K501" si="22">HOUR(A451:A950)</f>
        <v>12</v>
      </c>
      <c r="L451" s="35" t="str">
        <f t="shared" ref="L451:L501" si="23">IF(AND(K451&gt;=6,K451&lt;=18),"Morning","Evening")</f>
        <v>Morning</v>
      </c>
      <c r="M451" s="65"/>
      <c r="N451" s="65"/>
      <c r="O451" s="65"/>
      <c r="P451" s="66"/>
      <c r="Q451" s="35"/>
      <c r="R451" s="66"/>
      <c r="S451" s="73"/>
      <c r="T451" s="78"/>
    </row>
    <row r="452" spans="1:20">
      <c r="A452" s="55">
        <v>45302.8077083333</v>
      </c>
      <c r="B452" s="56">
        <v>45302.8120601852</v>
      </c>
      <c r="C452" s="35">
        <v>446</v>
      </c>
      <c r="D452" s="35" t="s">
        <v>39</v>
      </c>
      <c r="E452" s="35" t="s">
        <v>41</v>
      </c>
      <c r="F452" s="35" t="s">
        <v>38</v>
      </c>
      <c r="G452" s="35" t="s">
        <v>35</v>
      </c>
      <c r="H452" s="35">
        <f t="shared" si="21"/>
        <v>1</v>
      </c>
      <c r="I452" s="35"/>
      <c r="J452" s="35">
        <v>4</v>
      </c>
      <c r="K452" s="35">
        <f t="shared" si="22"/>
        <v>19</v>
      </c>
      <c r="L452" s="35" t="str">
        <f t="shared" si="23"/>
        <v>Evening</v>
      </c>
      <c r="M452" s="65"/>
      <c r="N452" s="65"/>
      <c r="O452" s="65"/>
      <c r="P452" s="66"/>
      <c r="Q452" s="35"/>
      <c r="R452" s="66"/>
      <c r="S452" s="73"/>
      <c r="T452" s="78"/>
    </row>
    <row r="453" spans="1:20">
      <c r="A453" s="55">
        <v>45303.6134837963</v>
      </c>
      <c r="B453" s="56">
        <v>45303.6320717593</v>
      </c>
      <c r="C453" s="35">
        <v>218</v>
      </c>
      <c r="D453" s="35" t="s">
        <v>42</v>
      </c>
      <c r="E453" s="35" t="s">
        <v>32</v>
      </c>
      <c r="F453" s="35" t="s">
        <v>40</v>
      </c>
      <c r="G453" s="35" t="s">
        <v>35</v>
      </c>
      <c r="H453" s="35">
        <f t="shared" si="21"/>
        <v>1</v>
      </c>
      <c r="I453" s="35"/>
      <c r="J453" s="35">
        <v>5</v>
      </c>
      <c r="K453" s="35">
        <f t="shared" si="22"/>
        <v>14</v>
      </c>
      <c r="L453" s="35" t="str">
        <f t="shared" si="23"/>
        <v>Morning</v>
      </c>
      <c r="M453" s="65"/>
      <c r="N453" s="65"/>
      <c r="O453" s="65"/>
      <c r="P453" s="66"/>
      <c r="Q453" s="35"/>
      <c r="R453" s="66"/>
      <c r="S453" s="73"/>
      <c r="T453" s="78"/>
    </row>
    <row r="454" spans="1:20">
      <c r="A454" s="55">
        <v>45300.6502546296</v>
      </c>
      <c r="B454" s="56">
        <v>45300.6692939815</v>
      </c>
      <c r="C454" s="35">
        <v>417</v>
      </c>
      <c r="D454" s="35" t="s">
        <v>32</v>
      </c>
      <c r="E454" s="35" t="s">
        <v>33</v>
      </c>
      <c r="F454" s="35" t="s">
        <v>34</v>
      </c>
      <c r="G454" s="35" t="s">
        <v>36</v>
      </c>
      <c r="H454" s="35">
        <f t="shared" si="21"/>
        <v>0</v>
      </c>
      <c r="I454" s="35"/>
      <c r="J454" s="35">
        <v>3</v>
      </c>
      <c r="K454" s="35">
        <f t="shared" si="22"/>
        <v>15</v>
      </c>
      <c r="L454" s="35" t="str">
        <f t="shared" si="23"/>
        <v>Morning</v>
      </c>
      <c r="M454" s="65"/>
      <c r="N454" s="65"/>
      <c r="O454" s="65"/>
      <c r="P454" s="66"/>
      <c r="Q454" s="35"/>
      <c r="R454" s="66"/>
      <c r="S454" s="73"/>
      <c r="T454" s="78"/>
    </row>
    <row r="455" spans="1:20">
      <c r="A455" s="55">
        <v>45298.9346064815</v>
      </c>
      <c r="B455" s="56">
        <v>45298.9433217593</v>
      </c>
      <c r="C455" s="35">
        <v>573</v>
      </c>
      <c r="D455" s="35" t="s">
        <v>39</v>
      </c>
      <c r="E455" s="35" t="s">
        <v>33</v>
      </c>
      <c r="F455" s="35" t="s">
        <v>40</v>
      </c>
      <c r="G455" s="35" t="s">
        <v>35</v>
      </c>
      <c r="H455" s="35">
        <f t="shared" si="21"/>
        <v>1</v>
      </c>
      <c r="I455" s="35"/>
      <c r="J455" s="35">
        <v>5</v>
      </c>
      <c r="K455" s="35">
        <f t="shared" si="22"/>
        <v>22</v>
      </c>
      <c r="L455" s="35" t="str">
        <f t="shared" si="23"/>
        <v>Evening</v>
      </c>
      <c r="M455" s="65"/>
      <c r="N455" s="65"/>
      <c r="O455" s="65"/>
      <c r="P455" s="66"/>
      <c r="Q455" s="35"/>
      <c r="R455" s="66"/>
      <c r="S455" s="73"/>
      <c r="T455" s="78"/>
    </row>
    <row r="456" spans="1:20">
      <c r="A456" s="55">
        <v>45317.3695486111</v>
      </c>
      <c r="B456" s="56">
        <v>45317.381412037</v>
      </c>
      <c r="C456" s="35">
        <v>455</v>
      </c>
      <c r="D456" s="35" t="s">
        <v>43</v>
      </c>
      <c r="E456" s="35" t="s">
        <v>33</v>
      </c>
      <c r="F456" s="35" t="s">
        <v>38</v>
      </c>
      <c r="G456" s="35" t="s">
        <v>36</v>
      </c>
      <c r="H456" s="35">
        <f t="shared" si="21"/>
        <v>0</v>
      </c>
      <c r="I456" s="35"/>
      <c r="J456" s="35">
        <v>1</v>
      </c>
      <c r="K456" s="35">
        <f t="shared" si="22"/>
        <v>8</v>
      </c>
      <c r="L456" s="35" t="str">
        <f t="shared" si="23"/>
        <v>Morning</v>
      </c>
      <c r="M456" s="65"/>
      <c r="N456" s="65"/>
      <c r="O456" s="65"/>
      <c r="P456" s="66"/>
      <c r="Q456" s="35"/>
      <c r="R456" s="66"/>
      <c r="S456" s="73"/>
      <c r="T456" s="78"/>
    </row>
    <row r="457" spans="1:20">
      <c r="A457" s="55">
        <v>45304.7775578704</v>
      </c>
      <c r="B457" s="56">
        <v>45304.7906018519</v>
      </c>
      <c r="C457" s="35">
        <v>303</v>
      </c>
      <c r="D457" s="35" t="s">
        <v>39</v>
      </c>
      <c r="E457" s="35" t="s">
        <v>33</v>
      </c>
      <c r="F457" s="35" t="s">
        <v>40</v>
      </c>
      <c r="G457" s="35" t="s">
        <v>35</v>
      </c>
      <c r="H457" s="35">
        <f t="shared" si="21"/>
        <v>1</v>
      </c>
      <c r="I457" s="35"/>
      <c r="J457" s="35">
        <v>4</v>
      </c>
      <c r="K457" s="35">
        <f t="shared" si="22"/>
        <v>18</v>
      </c>
      <c r="L457" s="35" t="str">
        <f t="shared" si="23"/>
        <v>Morning</v>
      </c>
      <c r="M457" s="65"/>
      <c r="N457" s="65"/>
      <c r="O457" s="65"/>
      <c r="P457" s="66"/>
      <c r="Q457" s="35"/>
      <c r="R457" s="66"/>
      <c r="S457" s="73"/>
      <c r="T457" s="78"/>
    </row>
    <row r="458" spans="1:20">
      <c r="A458" s="55">
        <v>45298.9293055556</v>
      </c>
      <c r="B458" s="56">
        <v>45298.930787037</v>
      </c>
      <c r="C458" s="35">
        <v>532</v>
      </c>
      <c r="D458" s="35" t="s">
        <v>39</v>
      </c>
      <c r="E458" s="35" t="s">
        <v>39</v>
      </c>
      <c r="F458" s="35" t="s">
        <v>34</v>
      </c>
      <c r="G458" s="35" t="s">
        <v>36</v>
      </c>
      <c r="H458" s="35">
        <f t="shared" si="21"/>
        <v>0</v>
      </c>
      <c r="I458" s="35"/>
      <c r="J458" s="35">
        <v>1</v>
      </c>
      <c r="K458" s="35">
        <f t="shared" si="22"/>
        <v>22</v>
      </c>
      <c r="L458" s="35" t="str">
        <f t="shared" si="23"/>
        <v>Evening</v>
      </c>
      <c r="M458" s="65"/>
      <c r="N458" s="65"/>
      <c r="O458" s="65"/>
      <c r="P458" s="66"/>
      <c r="Q458" s="35"/>
      <c r="R458" s="66"/>
      <c r="S458" s="73"/>
      <c r="T458" s="78"/>
    </row>
    <row r="459" spans="1:20">
      <c r="A459" s="55">
        <v>45292.4620023148</v>
      </c>
      <c r="B459" s="56">
        <v>45292.4811689815</v>
      </c>
      <c r="C459" s="35">
        <v>419</v>
      </c>
      <c r="D459" s="35" t="s">
        <v>37</v>
      </c>
      <c r="E459" s="35" t="s">
        <v>32</v>
      </c>
      <c r="F459" s="35" t="s">
        <v>38</v>
      </c>
      <c r="G459" s="35" t="s">
        <v>35</v>
      </c>
      <c r="H459" s="35">
        <f t="shared" si="21"/>
        <v>1</v>
      </c>
      <c r="I459" s="35"/>
      <c r="J459" s="35">
        <v>5</v>
      </c>
      <c r="K459" s="35">
        <f t="shared" si="22"/>
        <v>11</v>
      </c>
      <c r="L459" s="35" t="str">
        <f t="shared" si="23"/>
        <v>Morning</v>
      </c>
      <c r="M459" s="65"/>
      <c r="N459" s="65"/>
      <c r="O459" s="65"/>
      <c r="P459" s="66"/>
      <c r="Q459" s="35"/>
      <c r="R459" s="66"/>
      <c r="S459" s="73"/>
      <c r="T459" s="78"/>
    </row>
    <row r="460" spans="1:20">
      <c r="A460" s="55">
        <v>45315.3736689815</v>
      </c>
      <c r="B460" s="56">
        <v>45315.3873842593</v>
      </c>
      <c r="C460" s="35">
        <v>301</v>
      </c>
      <c r="D460" s="35" t="s">
        <v>39</v>
      </c>
      <c r="E460" s="35" t="s">
        <v>41</v>
      </c>
      <c r="F460" s="35" t="s">
        <v>38</v>
      </c>
      <c r="G460" s="35" t="s">
        <v>35</v>
      </c>
      <c r="H460" s="35">
        <f t="shared" si="21"/>
        <v>1</v>
      </c>
      <c r="I460" s="35"/>
      <c r="J460" s="35">
        <v>4</v>
      </c>
      <c r="K460" s="35">
        <f t="shared" si="22"/>
        <v>8</v>
      </c>
      <c r="L460" s="35" t="str">
        <f t="shared" si="23"/>
        <v>Morning</v>
      </c>
      <c r="M460" s="65"/>
      <c r="N460" s="65"/>
      <c r="O460" s="65"/>
      <c r="P460" s="66"/>
      <c r="Q460" s="35"/>
      <c r="R460" s="66"/>
      <c r="S460" s="73"/>
      <c r="T460" s="78"/>
    </row>
    <row r="461" spans="1:20">
      <c r="A461" s="55">
        <v>45311.5208217593</v>
      </c>
      <c r="B461" s="56">
        <v>45311.531087963</v>
      </c>
      <c r="C461" s="35">
        <v>598</v>
      </c>
      <c r="D461" s="35" t="s">
        <v>43</v>
      </c>
      <c r="E461" s="35" t="s">
        <v>41</v>
      </c>
      <c r="F461" s="35" t="s">
        <v>40</v>
      </c>
      <c r="G461" s="35" t="s">
        <v>35</v>
      </c>
      <c r="H461" s="35">
        <f t="shared" si="21"/>
        <v>1</v>
      </c>
      <c r="I461" s="35"/>
      <c r="J461" s="35">
        <v>3</v>
      </c>
      <c r="K461" s="35">
        <f t="shared" si="22"/>
        <v>12</v>
      </c>
      <c r="L461" s="35" t="str">
        <f t="shared" si="23"/>
        <v>Morning</v>
      </c>
      <c r="M461" s="65"/>
      <c r="N461" s="65"/>
      <c r="O461" s="65"/>
      <c r="P461" s="66"/>
      <c r="Q461" s="35"/>
      <c r="R461" s="66"/>
      <c r="S461" s="73"/>
      <c r="T461" s="78"/>
    </row>
    <row r="462" spans="1:20">
      <c r="A462" s="55">
        <v>45294.9294097222</v>
      </c>
      <c r="B462" s="56">
        <v>45294.9328703704</v>
      </c>
      <c r="C462" s="35">
        <v>535</v>
      </c>
      <c r="D462" s="35" t="s">
        <v>37</v>
      </c>
      <c r="E462" s="35" t="s">
        <v>41</v>
      </c>
      <c r="F462" s="35" t="s">
        <v>34</v>
      </c>
      <c r="G462" s="35" t="s">
        <v>35</v>
      </c>
      <c r="H462" s="35">
        <f t="shared" si="21"/>
        <v>1</v>
      </c>
      <c r="I462" s="35"/>
      <c r="J462" s="35">
        <v>4</v>
      </c>
      <c r="K462" s="35">
        <f t="shared" si="22"/>
        <v>22</v>
      </c>
      <c r="L462" s="35" t="str">
        <f t="shared" si="23"/>
        <v>Evening</v>
      </c>
      <c r="M462" s="65"/>
      <c r="N462" s="65"/>
      <c r="O462" s="65"/>
      <c r="P462" s="66"/>
      <c r="Q462" s="35"/>
      <c r="R462" s="66"/>
      <c r="S462" s="73"/>
      <c r="T462" s="78"/>
    </row>
    <row r="463" spans="1:20">
      <c r="A463" s="55">
        <v>45307.5752430556</v>
      </c>
      <c r="B463" s="56">
        <v>45307.5943171296</v>
      </c>
      <c r="C463" s="35">
        <v>479</v>
      </c>
      <c r="D463" s="35" t="s">
        <v>42</v>
      </c>
      <c r="E463" s="35" t="s">
        <v>33</v>
      </c>
      <c r="F463" s="35" t="s">
        <v>38</v>
      </c>
      <c r="G463" s="35" t="s">
        <v>36</v>
      </c>
      <c r="H463" s="35">
        <f t="shared" si="21"/>
        <v>0</v>
      </c>
      <c r="I463" s="35"/>
      <c r="J463" s="35">
        <v>1</v>
      </c>
      <c r="K463" s="35">
        <f t="shared" si="22"/>
        <v>13</v>
      </c>
      <c r="L463" s="35" t="str">
        <f t="shared" si="23"/>
        <v>Morning</v>
      </c>
      <c r="M463" s="65"/>
      <c r="N463" s="65"/>
      <c r="O463" s="65"/>
      <c r="P463" s="66"/>
      <c r="Q463" s="35"/>
      <c r="R463" s="66"/>
      <c r="S463" s="73"/>
      <c r="T463" s="78"/>
    </row>
    <row r="464" spans="1:20">
      <c r="A464" s="55">
        <v>45299.5773148148</v>
      </c>
      <c r="B464" s="56">
        <v>45299.5877777778</v>
      </c>
      <c r="C464" s="35">
        <v>371</v>
      </c>
      <c r="D464" s="35" t="s">
        <v>39</v>
      </c>
      <c r="E464" s="35" t="s">
        <v>33</v>
      </c>
      <c r="F464" s="35" t="s">
        <v>34</v>
      </c>
      <c r="G464" s="35" t="s">
        <v>35</v>
      </c>
      <c r="H464" s="35">
        <f t="shared" si="21"/>
        <v>1</v>
      </c>
      <c r="I464" s="35"/>
      <c r="J464" s="35">
        <v>3</v>
      </c>
      <c r="K464" s="35">
        <f t="shared" si="22"/>
        <v>13</v>
      </c>
      <c r="L464" s="35" t="str">
        <f t="shared" si="23"/>
        <v>Morning</v>
      </c>
      <c r="M464" s="65"/>
      <c r="N464" s="65"/>
      <c r="O464" s="65"/>
      <c r="P464" s="66"/>
      <c r="Q464" s="35"/>
      <c r="R464" s="66"/>
      <c r="S464" s="73"/>
      <c r="T464" s="78"/>
    </row>
    <row r="465" spans="1:20">
      <c r="A465" s="55">
        <v>45294.7804050926</v>
      </c>
      <c r="B465" s="56">
        <v>45294.8005555556</v>
      </c>
      <c r="C465" s="35">
        <v>360</v>
      </c>
      <c r="D465" s="35" t="s">
        <v>43</v>
      </c>
      <c r="E465" s="35" t="s">
        <v>39</v>
      </c>
      <c r="F465" s="35" t="s">
        <v>38</v>
      </c>
      <c r="G465" s="35" t="s">
        <v>35</v>
      </c>
      <c r="H465" s="35">
        <f t="shared" si="21"/>
        <v>1</v>
      </c>
      <c r="I465" s="35"/>
      <c r="J465" s="35">
        <v>3</v>
      </c>
      <c r="K465" s="35">
        <f t="shared" si="22"/>
        <v>18</v>
      </c>
      <c r="L465" s="35" t="str">
        <f t="shared" si="23"/>
        <v>Morning</v>
      </c>
      <c r="M465" s="65"/>
      <c r="N465" s="65"/>
      <c r="O465" s="65"/>
      <c r="P465" s="66"/>
      <c r="Q465" s="35"/>
      <c r="R465" s="66"/>
      <c r="S465" s="73"/>
      <c r="T465" s="78"/>
    </row>
    <row r="466" spans="1:20">
      <c r="A466" s="55">
        <v>45310.5915162037</v>
      </c>
      <c r="B466" s="56">
        <v>45310.6084027778</v>
      </c>
      <c r="C466" s="35">
        <v>204</v>
      </c>
      <c r="D466" s="35" t="s">
        <v>42</v>
      </c>
      <c r="E466" s="35" t="s">
        <v>39</v>
      </c>
      <c r="F466" s="35" t="s">
        <v>40</v>
      </c>
      <c r="G466" s="35" t="s">
        <v>35</v>
      </c>
      <c r="H466" s="35">
        <f t="shared" si="21"/>
        <v>1</v>
      </c>
      <c r="I466" s="35"/>
      <c r="J466" s="35">
        <v>4</v>
      </c>
      <c r="K466" s="35">
        <f t="shared" si="22"/>
        <v>14</v>
      </c>
      <c r="L466" s="35" t="str">
        <f t="shared" si="23"/>
        <v>Morning</v>
      </c>
      <c r="M466" s="65"/>
      <c r="N466" s="65"/>
      <c r="O466" s="65"/>
      <c r="P466" s="66"/>
      <c r="Q466" s="35"/>
      <c r="R466" s="66"/>
      <c r="S466" s="73"/>
      <c r="T466" s="78"/>
    </row>
    <row r="467" spans="1:20">
      <c r="A467" s="55">
        <v>45299.5369791667</v>
      </c>
      <c r="B467" s="56">
        <v>45299.5574884259</v>
      </c>
      <c r="C467" s="35">
        <v>374</v>
      </c>
      <c r="D467" s="35" t="s">
        <v>32</v>
      </c>
      <c r="E467" s="35" t="s">
        <v>33</v>
      </c>
      <c r="F467" s="35" t="s">
        <v>40</v>
      </c>
      <c r="G467" s="35" t="s">
        <v>35</v>
      </c>
      <c r="H467" s="35">
        <f t="shared" si="21"/>
        <v>1</v>
      </c>
      <c r="I467" s="35"/>
      <c r="J467" s="35">
        <v>5</v>
      </c>
      <c r="K467" s="35">
        <f t="shared" si="22"/>
        <v>12</v>
      </c>
      <c r="L467" s="35" t="str">
        <f t="shared" si="23"/>
        <v>Morning</v>
      </c>
      <c r="M467" s="65"/>
      <c r="N467" s="65"/>
      <c r="O467" s="65"/>
      <c r="P467" s="66"/>
      <c r="Q467" s="35"/>
      <c r="R467" s="66"/>
      <c r="S467" s="73"/>
      <c r="T467" s="78"/>
    </row>
    <row r="468" spans="1:20">
      <c r="A468" s="55">
        <v>45307.2839583333</v>
      </c>
      <c r="B468" s="56">
        <v>45307.2974768519</v>
      </c>
      <c r="C468" s="35">
        <v>53</v>
      </c>
      <c r="D468" s="35" t="s">
        <v>42</v>
      </c>
      <c r="E468" s="35" t="s">
        <v>41</v>
      </c>
      <c r="F468" s="35" t="s">
        <v>34</v>
      </c>
      <c r="G468" s="35" t="s">
        <v>35</v>
      </c>
      <c r="H468" s="35">
        <f t="shared" si="21"/>
        <v>1</v>
      </c>
      <c r="I468" s="35"/>
      <c r="J468" s="35">
        <v>5</v>
      </c>
      <c r="K468" s="35">
        <f t="shared" si="22"/>
        <v>6</v>
      </c>
      <c r="L468" s="35" t="str">
        <f t="shared" si="23"/>
        <v>Morning</v>
      </c>
      <c r="M468" s="65"/>
      <c r="N468" s="65"/>
      <c r="O468" s="65"/>
      <c r="P468" s="66"/>
      <c r="Q468" s="35"/>
      <c r="R468" s="66"/>
      <c r="S468" s="73"/>
      <c r="T468" s="78"/>
    </row>
    <row r="469" spans="1:20">
      <c r="A469" s="55">
        <v>45300.8831944444</v>
      </c>
      <c r="B469" s="56">
        <v>45300.8959953704</v>
      </c>
      <c r="C469" s="35">
        <v>296</v>
      </c>
      <c r="D469" s="35" t="s">
        <v>42</v>
      </c>
      <c r="E469" s="35" t="s">
        <v>39</v>
      </c>
      <c r="F469" s="35" t="s">
        <v>34</v>
      </c>
      <c r="G469" s="35" t="s">
        <v>36</v>
      </c>
      <c r="H469" s="35">
        <f t="shared" si="21"/>
        <v>0</v>
      </c>
      <c r="I469" s="35"/>
      <c r="J469" s="35">
        <v>3</v>
      </c>
      <c r="K469" s="35">
        <f t="shared" si="22"/>
        <v>21</v>
      </c>
      <c r="L469" s="35" t="str">
        <f t="shared" si="23"/>
        <v>Evening</v>
      </c>
      <c r="M469" s="65"/>
      <c r="N469" s="65"/>
      <c r="O469" s="65"/>
      <c r="P469" s="66"/>
      <c r="Q469" s="35"/>
      <c r="R469" s="66"/>
      <c r="S469" s="73"/>
      <c r="T469" s="78"/>
    </row>
    <row r="470" spans="1:20">
      <c r="A470" s="55">
        <v>45309.3141435185</v>
      </c>
      <c r="B470" s="56">
        <v>45309.3241666667</v>
      </c>
      <c r="C470" s="35">
        <v>188</v>
      </c>
      <c r="D470" s="35" t="s">
        <v>42</v>
      </c>
      <c r="E470" s="35" t="s">
        <v>33</v>
      </c>
      <c r="F470" s="35" t="s">
        <v>34</v>
      </c>
      <c r="G470" s="35" t="s">
        <v>35</v>
      </c>
      <c r="H470" s="35">
        <f t="shared" si="21"/>
        <v>1</v>
      </c>
      <c r="I470" s="35"/>
      <c r="J470" s="35">
        <v>4</v>
      </c>
      <c r="K470" s="35">
        <f t="shared" si="22"/>
        <v>7</v>
      </c>
      <c r="L470" s="35" t="str">
        <f t="shared" si="23"/>
        <v>Morning</v>
      </c>
      <c r="M470" s="65"/>
      <c r="N470" s="65"/>
      <c r="O470" s="65"/>
      <c r="P470" s="66"/>
      <c r="Q470" s="35"/>
      <c r="R470" s="66"/>
      <c r="S470" s="73"/>
      <c r="T470" s="78"/>
    </row>
    <row r="471" spans="1:20">
      <c r="A471" s="55">
        <v>45292.2800115741</v>
      </c>
      <c r="B471" s="56">
        <v>45292.2896990741</v>
      </c>
      <c r="C471" s="35">
        <v>113</v>
      </c>
      <c r="D471" s="35" t="s">
        <v>37</v>
      </c>
      <c r="E471" s="35" t="s">
        <v>41</v>
      </c>
      <c r="F471" s="35" t="s">
        <v>34</v>
      </c>
      <c r="G471" s="35" t="s">
        <v>35</v>
      </c>
      <c r="H471" s="35">
        <f t="shared" si="21"/>
        <v>1</v>
      </c>
      <c r="I471" s="35"/>
      <c r="J471" s="35">
        <v>3</v>
      </c>
      <c r="K471" s="35">
        <f t="shared" si="22"/>
        <v>6</v>
      </c>
      <c r="L471" s="35" t="str">
        <f t="shared" si="23"/>
        <v>Morning</v>
      </c>
      <c r="M471" s="65"/>
      <c r="N471" s="65"/>
      <c r="O471" s="65"/>
      <c r="P471" s="66"/>
      <c r="Q471" s="35"/>
      <c r="R471" s="66"/>
      <c r="S471" s="73"/>
      <c r="T471" s="78"/>
    </row>
    <row r="472" spans="1:20">
      <c r="A472" s="55">
        <v>45300.5538194444</v>
      </c>
      <c r="B472" s="56">
        <v>45300.5690393519</v>
      </c>
      <c r="C472" s="35">
        <v>361</v>
      </c>
      <c r="D472" s="35" t="s">
        <v>37</v>
      </c>
      <c r="E472" s="35" t="s">
        <v>39</v>
      </c>
      <c r="F472" s="35" t="s">
        <v>38</v>
      </c>
      <c r="G472" s="35" t="s">
        <v>35</v>
      </c>
      <c r="H472" s="35">
        <f t="shared" si="21"/>
        <v>1</v>
      </c>
      <c r="I472" s="35"/>
      <c r="J472" s="35">
        <v>4</v>
      </c>
      <c r="K472" s="35">
        <f t="shared" si="22"/>
        <v>13</v>
      </c>
      <c r="L472" s="35" t="str">
        <f t="shared" si="23"/>
        <v>Morning</v>
      </c>
      <c r="M472" s="65"/>
      <c r="N472" s="65"/>
      <c r="O472" s="65"/>
      <c r="P472" s="66"/>
      <c r="Q472" s="35"/>
      <c r="R472" s="66"/>
      <c r="S472" s="73"/>
      <c r="T472" s="78"/>
    </row>
    <row r="473" spans="1:20">
      <c r="A473" s="55">
        <v>45316.7249305556</v>
      </c>
      <c r="B473" s="56">
        <v>45316.7351157407</v>
      </c>
      <c r="C473" s="35">
        <v>296</v>
      </c>
      <c r="D473" s="35" t="s">
        <v>42</v>
      </c>
      <c r="E473" s="35" t="s">
        <v>39</v>
      </c>
      <c r="F473" s="35" t="s">
        <v>34</v>
      </c>
      <c r="G473" s="35" t="s">
        <v>36</v>
      </c>
      <c r="H473" s="35">
        <f t="shared" si="21"/>
        <v>0</v>
      </c>
      <c r="I473" s="35"/>
      <c r="J473" s="35">
        <v>3</v>
      </c>
      <c r="K473" s="35">
        <f t="shared" si="22"/>
        <v>17</v>
      </c>
      <c r="L473" s="35" t="str">
        <f t="shared" si="23"/>
        <v>Morning</v>
      </c>
      <c r="M473" s="65"/>
      <c r="N473" s="65"/>
      <c r="O473" s="65"/>
      <c r="P473" s="66"/>
      <c r="Q473" s="35"/>
      <c r="R473" s="66"/>
      <c r="S473" s="73"/>
      <c r="T473" s="78"/>
    </row>
    <row r="474" spans="1:20">
      <c r="A474" s="55">
        <v>45295.6189236111</v>
      </c>
      <c r="B474" s="56">
        <v>45295.6327777778</v>
      </c>
      <c r="C474" s="35">
        <v>452</v>
      </c>
      <c r="D474" s="35" t="s">
        <v>42</v>
      </c>
      <c r="E474" s="35" t="s">
        <v>39</v>
      </c>
      <c r="F474" s="35" t="s">
        <v>40</v>
      </c>
      <c r="G474" s="35" t="s">
        <v>35</v>
      </c>
      <c r="H474" s="35">
        <f t="shared" si="21"/>
        <v>1</v>
      </c>
      <c r="I474" s="35"/>
      <c r="J474" s="35">
        <v>5</v>
      </c>
      <c r="K474" s="35">
        <f t="shared" si="22"/>
        <v>14</v>
      </c>
      <c r="L474" s="35" t="str">
        <f t="shared" si="23"/>
        <v>Morning</v>
      </c>
      <c r="M474" s="65"/>
      <c r="N474" s="65"/>
      <c r="O474" s="65"/>
      <c r="P474" s="66"/>
      <c r="Q474" s="35"/>
      <c r="R474" s="66"/>
      <c r="S474" s="73"/>
      <c r="T474" s="78"/>
    </row>
    <row r="475" spans="1:20">
      <c r="A475" s="55">
        <v>45307.2579398148</v>
      </c>
      <c r="B475" s="56">
        <v>45307.270474537</v>
      </c>
      <c r="C475" s="35">
        <v>147</v>
      </c>
      <c r="D475" s="35" t="s">
        <v>39</v>
      </c>
      <c r="E475" s="35" t="s">
        <v>41</v>
      </c>
      <c r="F475" s="35" t="s">
        <v>38</v>
      </c>
      <c r="G475" s="35" t="s">
        <v>35</v>
      </c>
      <c r="H475" s="35">
        <f t="shared" si="21"/>
        <v>1</v>
      </c>
      <c r="I475" s="35"/>
      <c r="J475" s="35">
        <v>5</v>
      </c>
      <c r="K475" s="35">
        <f t="shared" si="22"/>
        <v>6</v>
      </c>
      <c r="L475" s="35" t="str">
        <f t="shared" si="23"/>
        <v>Morning</v>
      </c>
      <c r="M475" s="65"/>
      <c r="N475" s="65"/>
      <c r="O475" s="65"/>
      <c r="P475" s="66"/>
      <c r="Q475" s="35"/>
      <c r="R475" s="66"/>
      <c r="S475" s="73"/>
      <c r="T475" s="78"/>
    </row>
    <row r="476" spans="1:20">
      <c r="A476" s="55">
        <v>45310.3090972222</v>
      </c>
      <c r="B476" s="56">
        <v>45310.3261574074</v>
      </c>
      <c r="C476" s="35">
        <v>177</v>
      </c>
      <c r="D476" s="35" t="s">
        <v>43</v>
      </c>
      <c r="E476" s="35" t="s">
        <v>39</v>
      </c>
      <c r="F476" s="35" t="s">
        <v>38</v>
      </c>
      <c r="G476" s="35" t="s">
        <v>35</v>
      </c>
      <c r="H476" s="35">
        <f t="shared" si="21"/>
        <v>1</v>
      </c>
      <c r="I476" s="35"/>
      <c r="J476" s="35">
        <v>5</v>
      </c>
      <c r="K476" s="35">
        <f t="shared" si="22"/>
        <v>7</v>
      </c>
      <c r="L476" s="35" t="str">
        <f t="shared" si="23"/>
        <v>Morning</v>
      </c>
      <c r="M476" s="65"/>
      <c r="N476" s="65"/>
      <c r="O476" s="65"/>
      <c r="P476" s="66"/>
      <c r="Q476" s="35"/>
      <c r="R476" s="66"/>
      <c r="S476" s="73"/>
      <c r="T476" s="78"/>
    </row>
    <row r="477" spans="1:20">
      <c r="A477" s="55">
        <v>45306.6780439815</v>
      </c>
      <c r="B477" s="56">
        <v>45306.6872685185</v>
      </c>
      <c r="C477" s="35">
        <v>583</v>
      </c>
      <c r="D477" s="35" t="s">
        <v>39</v>
      </c>
      <c r="E477" s="35" t="s">
        <v>41</v>
      </c>
      <c r="F477" s="35" t="s">
        <v>38</v>
      </c>
      <c r="G477" s="35" t="s">
        <v>36</v>
      </c>
      <c r="H477" s="35">
        <f t="shared" si="21"/>
        <v>0</v>
      </c>
      <c r="I477" s="35"/>
      <c r="J477" s="35">
        <v>1</v>
      </c>
      <c r="K477" s="35">
        <f t="shared" si="22"/>
        <v>16</v>
      </c>
      <c r="L477" s="35" t="str">
        <f t="shared" si="23"/>
        <v>Morning</v>
      </c>
      <c r="M477" s="65"/>
      <c r="N477" s="65"/>
      <c r="O477" s="65"/>
      <c r="P477" s="66"/>
      <c r="Q477" s="35"/>
      <c r="R477" s="66"/>
      <c r="S477" s="73"/>
      <c r="T477" s="78"/>
    </row>
    <row r="478" spans="1:20">
      <c r="A478" s="55">
        <v>45311.5254166667</v>
      </c>
      <c r="B478" s="56">
        <v>45311.5415046296</v>
      </c>
      <c r="C478" s="35">
        <v>561</v>
      </c>
      <c r="D478" s="35" t="s">
        <v>32</v>
      </c>
      <c r="E478" s="35" t="s">
        <v>41</v>
      </c>
      <c r="F478" s="35" t="s">
        <v>38</v>
      </c>
      <c r="G478" s="35" t="s">
        <v>35</v>
      </c>
      <c r="H478" s="35">
        <f t="shared" si="21"/>
        <v>1</v>
      </c>
      <c r="I478" s="35"/>
      <c r="J478" s="35">
        <v>5</v>
      </c>
      <c r="K478" s="35">
        <f t="shared" si="22"/>
        <v>12</v>
      </c>
      <c r="L478" s="35" t="str">
        <f t="shared" si="23"/>
        <v>Morning</v>
      </c>
      <c r="M478" s="65"/>
      <c r="N478" s="65"/>
      <c r="O478" s="65"/>
      <c r="P478" s="66"/>
      <c r="Q478" s="35"/>
      <c r="R478" s="66"/>
      <c r="S478" s="73"/>
      <c r="T478" s="78"/>
    </row>
    <row r="479" spans="1:20">
      <c r="A479" s="55">
        <v>45316.8722800926</v>
      </c>
      <c r="B479" s="56">
        <v>45316.8820023148</v>
      </c>
      <c r="C479" s="35">
        <v>303</v>
      </c>
      <c r="D479" s="35" t="s">
        <v>42</v>
      </c>
      <c r="E479" s="35" t="s">
        <v>39</v>
      </c>
      <c r="F479" s="35" t="s">
        <v>40</v>
      </c>
      <c r="G479" s="35" t="s">
        <v>35</v>
      </c>
      <c r="H479" s="35">
        <f t="shared" si="21"/>
        <v>1</v>
      </c>
      <c r="I479" s="35"/>
      <c r="J479" s="35">
        <v>4</v>
      </c>
      <c r="K479" s="35">
        <f t="shared" si="22"/>
        <v>20</v>
      </c>
      <c r="L479" s="35" t="str">
        <f t="shared" si="23"/>
        <v>Evening</v>
      </c>
      <c r="M479" s="65"/>
      <c r="N479" s="65"/>
      <c r="O479" s="65"/>
      <c r="P479" s="66"/>
      <c r="Q479" s="35"/>
      <c r="R479" s="66"/>
      <c r="S479" s="73"/>
      <c r="T479" s="78"/>
    </row>
    <row r="480" spans="1:20">
      <c r="A480" s="55">
        <v>45312.7881712963</v>
      </c>
      <c r="B480" s="56">
        <v>45312.7905555556</v>
      </c>
      <c r="C480" s="35">
        <v>91</v>
      </c>
      <c r="D480" s="35" t="s">
        <v>32</v>
      </c>
      <c r="E480" s="35" t="s">
        <v>41</v>
      </c>
      <c r="F480" s="35" t="s">
        <v>40</v>
      </c>
      <c r="G480" s="35" t="s">
        <v>35</v>
      </c>
      <c r="H480" s="35">
        <f t="shared" si="21"/>
        <v>1</v>
      </c>
      <c r="I480" s="35"/>
      <c r="J480" s="35">
        <v>5</v>
      </c>
      <c r="K480" s="35">
        <f t="shared" si="22"/>
        <v>18</v>
      </c>
      <c r="L480" s="35" t="str">
        <f t="shared" si="23"/>
        <v>Morning</v>
      </c>
      <c r="M480" s="65"/>
      <c r="N480" s="65"/>
      <c r="O480" s="65"/>
      <c r="P480" s="66"/>
      <c r="Q480" s="35"/>
      <c r="R480" s="66"/>
      <c r="S480" s="73"/>
      <c r="T480" s="78"/>
    </row>
    <row r="481" spans="1:20">
      <c r="A481" s="55">
        <v>45314.6101967593</v>
      </c>
      <c r="B481" s="56">
        <v>45314.6202546296</v>
      </c>
      <c r="C481" s="35">
        <v>287</v>
      </c>
      <c r="D481" s="35" t="s">
        <v>42</v>
      </c>
      <c r="E481" s="35" t="s">
        <v>41</v>
      </c>
      <c r="F481" s="35" t="s">
        <v>34</v>
      </c>
      <c r="G481" s="35" t="s">
        <v>35</v>
      </c>
      <c r="H481" s="35">
        <f t="shared" si="21"/>
        <v>1</v>
      </c>
      <c r="I481" s="35"/>
      <c r="J481" s="35">
        <v>4</v>
      </c>
      <c r="K481" s="35">
        <f t="shared" si="22"/>
        <v>14</v>
      </c>
      <c r="L481" s="35" t="str">
        <f t="shared" si="23"/>
        <v>Morning</v>
      </c>
      <c r="M481" s="65"/>
      <c r="N481" s="65"/>
      <c r="O481" s="65"/>
      <c r="P481" s="66"/>
      <c r="Q481" s="35"/>
      <c r="R481" s="66"/>
      <c r="S481" s="73"/>
      <c r="T481" s="78"/>
    </row>
    <row r="482" spans="1:20">
      <c r="A482" s="55">
        <v>45297.4958449074</v>
      </c>
      <c r="B482" s="56">
        <v>45297.4995023148</v>
      </c>
      <c r="C482" s="35">
        <v>250</v>
      </c>
      <c r="D482" s="35" t="s">
        <v>37</v>
      </c>
      <c r="E482" s="35" t="s">
        <v>33</v>
      </c>
      <c r="F482" s="35" t="s">
        <v>40</v>
      </c>
      <c r="G482" s="35" t="s">
        <v>36</v>
      </c>
      <c r="H482" s="35">
        <f t="shared" si="21"/>
        <v>0</v>
      </c>
      <c r="I482" s="35"/>
      <c r="J482" s="35">
        <v>1</v>
      </c>
      <c r="K482" s="35">
        <f t="shared" si="22"/>
        <v>11</v>
      </c>
      <c r="L482" s="35" t="str">
        <f t="shared" si="23"/>
        <v>Morning</v>
      </c>
      <c r="M482" s="65"/>
      <c r="N482" s="65"/>
      <c r="O482" s="65"/>
      <c r="P482" s="66"/>
      <c r="Q482" s="35"/>
      <c r="R482" s="66"/>
      <c r="S482" s="73"/>
      <c r="T482" s="78"/>
    </row>
    <row r="483" spans="1:20">
      <c r="A483" s="55">
        <v>45307.2929282407</v>
      </c>
      <c r="B483" s="56">
        <v>45307.3030324074</v>
      </c>
      <c r="C483" s="35">
        <v>546</v>
      </c>
      <c r="D483" s="35" t="s">
        <v>43</v>
      </c>
      <c r="E483" s="35" t="s">
        <v>33</v>
      </c>
      <c r="F483" s="35" t="s">
        <v>38</v>
      </c>
      <c r="G483" s="35" t="s">
        <v>35</v>
      </c>
      <c r="H483" s="35">
        <f t="shared" si="21"/>
        <v>1</v>
      </c>
      <c r="I483" s="35"/>
      <c r="J483" s="35">
        <v>3</v>
      </c>
      <c r="K483" s="35">
        <f t="shared" si="22"/>
        <v>7</v>
      </c>
      <c r="L483" s="35" t="str">
        <f t="shared" si="23"/>
        <v>Morning</v>
      </c>
      <c r="M483" s="65"/>
      <c r="N483" s="65"/>
      <c r="O483" s="65"/>
      <c r="P483" s="66"/>
      <c r="Q483" s="35"/>
      <c r="R483" s="66"/>
      <c r="S483" s="73"/>
      <c r="T483" s="78"/>
    </row>
    <row r="484" spans="1:20">
      <c r="A484" s="55">
        <v>45304.6348958333</v>
      </c>
      <c r="B484" s="56">
        <v>45304.6530671296</v>
      </c>
      <c r="C484" s="35">
        <v>300</v>
      </c>
      <c r="D484" s="35" t="s">
        <v>42</v>
      </c>
      <c r="E484" s="35" t="s">
        <v>39</v>
      </c>
      <c r="F484" s="35" t="s">
        <v>40</v>
      </c>
      <c r="G484" s="35" t="s">
        <v>35</v>
      </c>
      <c r="H484" s="35">
        <f t="shared" si="21"/>
        <v>1</v>
      </c>
      <c r="I484" s="35"/>
      <c r="J484" s="35">
        <v>3</v>
      </c>
      <c r="K484" s="35">
        <f t="shared" si="22"/>
        <v>15</v>
      </c>
      <c r="L484" s="35" t="str">
        <f t="shared" si="23"/>
        <v>Morning</v>
      </c>
      <c r="M484" s="65"/>
      <c r="N484" s="65"/>
      <c r="O484" s="65"/>
      <c r="P484" s="66"/>
      <c r="Q484" s="35"/>
      <c r="R484" s="66"/>
      <c r="S484" s="73"/>
      <c r="T484" s="78"/>
    </row>
    <row r="485" spans="1:20">
      <c r="A485" s="55">
        <v>45293.7471990741</v>
      </c>
      <c r="B485" s="56">
        <v>45293.7556018519</v>
      </c>
      <c r="C485" s="35">
        <v>497</v>
      </c>
      <c r="D485" s="35" t="s">
        <v>42</v>
      </c>
      <c r="E485" s="35" t="s">
        <v>41</v>
      </c>
      <c r="F485" s="35" t="s">
        <v>34</v>
      </c>
      <c r="G485" s="35" t="s">
        <v>35</v>
      </c>
      <c r="H485" s="35">
        <f t="shared" si="21"/>
        <v>1</v>
      </c>
      <c r="I485" s="35"/>
      <c r="J485" s="35">
        <v>5</v>
      </c>
      <c r="K485" s="35">
        <f t="shared" si="22"/>
        <v>17</v>
      </c>
      <c r="L485" s="35" t="str">
        <f t="shared" si="23"/>
        <v>Morning</v>
      </c>
      <c r="M485" s="65"/>
      <c r="N485" s="65"/>
      <c r="O485" s="65"/>
      <c r="P485" s="66"/>
      <c r="Q485" s="35"/>
      <c r="R485" s="66"/>
      <c r="S485" s="73"/>
      <c r="T485" s="78"/>
    </row>
    <row r="486" spans="1:20">
      <c r="A486" s="55">
        <v>45297.8616550926</v>
      </c>
      <c r="B486" s="56">
        <v>45297.8774189815</v>
      </c>
      <c r="C486" s="35">
        <v>587</v>
      </c>
      <c r="D486" s="35" t="s">
        <v>42</v>
      </c>
      <c r="E486" s="35" t="s">
        <v>41</v>
      </c>
      <c r="F486" s="35" t="s">
        <v>38</v>
      </c>
      <c r="G486" s="35" t="s">
        <v>35</v>
      </c>
      <c r="H486" s="35">
        <f t="shared" si="21"/>
        <v>1</v>
      </c>
      <c r="I486" s="35"/>
      <c r="J486" s="35">
        <v>3</v>
      </c>
      <c r="K486" s="35">
        <f t="shared" si="22"/>
        <v>20</v>
      </c>
      <c r="L486" s="35" t="str">
        <f t="shared" si="23"/>
        <v>Evening</v>
      </c>
      <c r="M486" s="65"/>
      <c r="N486" s="65"/>
      <c r="O486" s="65"/>
      <c r="P486" s="66"/>
      <c r="Q486" s="35"/>
      <c r="R486" s="66"/>
      <c r="S486" s="73"/>
      <c r="T486" s="78"/>
    </row>
    <row r="487" spans="1:20">
      <c r="A487" s="55">
        <v>45294.8467939815</v>
      </c>
      <c r="B487" s="56">
        <v>45294.8572569444</v>
      </c>
      <c r="C487" s="35">
        <v>276</v>
      </c>
      <c r="D487" s="35" t="s">
        <v>32</v>
      </c>
      <c r="E487" s="35" t="s">
        <v>41</v>
      </c>
      <c r="F487" s="35" t="s">
        <v>40</v>
      </c>
      <c r="G487" s="35" t="s">
        <v>36</v>
      </c>
      <c r="H487" s="35">
        <f t="shared" si="21"/>
        <v>0</v>
      </c>
      <c r="I487" s="35"/>
      <c r="J487" s="35">
        <v>1</v>
      </c>
      <c r="K487" s="35">
        <f t="shared" si="22"/>
        <v>20</v>
      </c>
      <c r="L487" s="35" t="str">
        <f t="shared" si="23"/>
        <v>Evening</v>
      </c>
      <c r="M487" s="65"/>
      <c r="N487" s="65"/>
      <c r="O487" s="65"/>
      <c r="P487" s="66"/>
      <c r="Q487" s="35"/>
      <c r="R487" s="66"/>
      <c r="S487" s="73"/>
      <c r="T487" s="78"/>
    </row>
    <row r="488" spans="1:20">
      <c r="A488" s="55">
        <v>45309.2812384259</v>
      </c>
      <c r="B488" s="56">
        <v>45309.293587963</v>
      </c>
      <c r="C488" s="35">
        <v>498</v>
      </c>
      <c r="D488" s="35" t="s">
        <v>37</v>
      </c>
      <c r="E488" s="35" t="s">
        <v>33</v>
      </c>
      <c r="F488" s="35" t="s">
        <v>38</v>
      </c>
      <c r="G488" s="35" t="s">
        <v>35</v>
      </c>
      <c r="H488" s="35">
        <f t="shared" si="21"/>
        <v>1</v>
      </c>
      <c r="I488" s="35"/>
      <c r="J488" s="35">
        <v>5</v>
      </c>
      <c r="K488" s="35">
        <f t="shared" si="22"/>
        <v>6</v>
      </c>
      <c r="L488" s="35" t="str">
        <f t="shared" si="23"/>
        <v>Morning</v>
      </c>
      <c r="M488" s="65"/>
      <c r="N488" s="65"/>
      <c r="O488" s="65"/>
      <c r="P488" s="66"/>
      <c r="Q488" s="35"/>
      <c r="R488" s="66"/>
      <c r="S488" s="73"/>
      <c r="T488" s="78"/>
    </row>
    <row r="489" spans="1:20">
      <c r="A489" s="55">
        <v>45317.2745717593</v>
      </c>
      <c r="B489" s="56">
        <v>45317.2797337963</v>
      </c>
      <c r="C489" s="35">
        <v>431</v>
      </c>
      <c r="D489" s="35" t="s">
        <v>39</v>
      </c>
      <c r="E489" s="35" t="s">
        <v>32</v>
      </c>
      <c r="F489" s="35" t="s">
        <v>38</v>
      </c>
      <c r="G489" s="35" t="s">
        <v>36</v>
      </c>
      <c r="H489" s="35">
        <f t="shared" si="21"/>
        <v>0</v>
      </c>
      <c r="I489" s="35"/>
      <c r="J489" s="35">
        <v>3</v>
      </c>
      <c r="K489" s="35">
        <f t="shared" si="22"/>
        <v>6</v>
      </c>
      <c r="L489" s="35" t="str">
        <f t="shared" si="23"/>
        <v>Morning</v>
      </c>
      <c r="M489" s="65"/>
      <c r="N489" s="65"/>
      <c r="O489" s="65"/>
      <c r="P489" s="66"/>
      <c r="Q489" s="35"/>
      <c r="R489" s="66"/>
      <c r="S489" s="73"/>
      <c r="T489" s="78"/>
    </row>
    <row r="490" spans="1:20">
      <c r="A490" s="55">
        <v>45318.7599074074</v>
      </c>
      <c r="B490" s="56">
        <v>45318.7624768519</v>
      </c>
      <c r="C490" s="35">
        <v>442</v>
      </c>
      <c r="D490" s="35" t="s">
        <v>32</v>
      </c>
      <c r="E490" s="35" t="s">
        <v>41</v>
      </c>
      <c r="F490" s="35" t="s">
        <v>38</v>
      </c>
      <c r="G490" s="35" t="s">
        <v>35</v>
      </c>
      <c r="H490" s="35">
        <f t="shared" si="21"/>
        <v>1</v>
      </c>
      <c r="I490" s="35"/>
      <c r="J490" s="35">
        <v>5</v>
      </c>
      <c r="K490" s="35">
        <f t="shared" si="22"/>
        <v>18</v>
      </c>
      <c r="L490" s="35" t="str">
        <f t="shared" si="23"/>
        <v>Morning</v>
      </c>
      <c r="M490" s="65"/>
      <c r="N490" s="65"/>
      <c r="O490" s="65"/>
      <c r="P490" s="66"/>
      <c r="Q490" s="35"/>
      <c r="R490" s="66"/>
      <c r="S490" s="73"/>
      <c r="T490" s="78"/>
    </row>
    <row r="491" spans="1:20">
      <c r="A491" s="55">
        <v>45300.800625</v>
      </c>
      <c r="B491" s="56">
        <v>45300.8029398148</v>
      </c>
      <c r="C491" s="35">
        <v>196</v>
      </c>
      <c r="D491" s="35" t="s">
        <v>32</v>
      </c>
      <c r="E491" s="35" t="s">
        <v>41</v>
      </c>
      <c r="F491" s="35" t="s">
        <v>40</v>
      </c>
      <c r="G491" s="35" t="s">
        <v>35</v>
      </c>
      <c r="H491" s="35">
        <f t="shared" si="21"/>
        <v>1</v>
      </c>
      <c r="I491" s="35"/>
      <c r="J491" s="35">
        <v>5</v>
      </c>
      <c r="K491" s="35">
        <f t="shared" si="22"/>
        <v>19</v>
      </c>
      <c r="L491" s="35" t="str">
        <f t="shared" si="23"/>
        <v>Evening</v>
      </c>
      <c r="M491" s="65"/>
      <c r="N491" s="65"/>
      <c r="O491" s="65"/>
      <c r="P491" s="66"/>
      <c r="Q491" s="35"/>
      <c r="R491" s="66"/>
      <c r="S491" s="73"/>
      <c r="T491" s="78"/>
    </row>
    <row r="492" spans="1:20">
      <c r="A492" s="55">
        <v>45300.8835648148</v>
      </c>
      <c r="B492" s="56">
        <v>45300.8847106481</v>
      </c>
      <c r="C492" s="35">
        <v>165</v>
      </c>
      <c r="D492" s="35" t="s">
        <v>43</v>
      </c>
      <c r="E492" s="35" t="s">
        <v>33</v>
      </c>
      <c r="F492" s="35" t="s">
        <v>40</v>
      </c>
      <c r="G492" s="35" t="s">
        <v>35</v>
      </c>
      <c r="H492" s="35">
        <f t="shared" si="21"/>
        <v>1</v>
      </c>
      <c r="I492" s="35"/>
      <c r="J492" s="35">
        <v>4</v>
      </c>
      <c r="K492" s="35">
        <f t="shared" si="22"/>
        <v>21</v>
      </c>
      <c r="L492" s="35" t="str">
        <f t="shared" si="23"/>
        <v>Evening</v>
      </c>
      <c r="M492" s="65"/>
      <c r="N492" s="65"/>
      <c r="O492" s="65"/>
      <c r="P492" s="66"/>
      <c r="Q492" s="35"/>
      <c r="R492" s="66"/>
      <c r="S492" s="73"/>
      <c r="T492" s="78"/>
    </row>
    <row r="493" spans="1:20">
      <c r="A493" s="55">
        <v>45296.8652777778</v>
      </c>
      <c r="B493" s="56">
        <v>45296.8714814815</v>
      </c>
      <c r="C493" s="35">
        <v>102</v>
      </c>
      <c r="D493" s="35" t="s">
        <v>32</v>
      </c>
      <c r="E493" s="35" t="s">
        <v>33</v>
      </c>
      <c r="F493" s="35" t="s">
        <v>38</v>
      </c>
      <c r="G493" s="35" t="s">
        <v>36</v>
      </c>
      <c r="H493" s="35">
        <f t="shared" si="21"/>
        <v>0</v>
      </c>
      <c r="I493" s="35"/>
      <c r="J493" s="35">
        <v>2</v>
      </c>
      <c r="K493" s="35">
        <f t="shared" si="22"/>
        <v>20</v>
      </c>
      <c r="L493" s="35" t="str">
        <f t="shared" si="23"/>
        <v>Evening</v>
      </c>
      <c r="M493" s="65"/>
      <c r="N493" s="65"/>
      <c r="O493" s="65"/>
      <c r="P493" s="66"/>
      <c r="Q493" s="35"/>
      <c r="R493" s="66"/>
      <c r="S493" s="73"/>
      <c r="T493" s="78"/>
    </row>
    <row r="494" spans="1:20">
      <c r="A494" s="55">
        <v>45307.7289814815</v>
      </c>
      <c r="B494" s="56">
        <v>45307.7484259259</v>
      </c>
      <c r="C494" s="35">
        <v>42</v>
      </c>
      <c r="D494" s="35" t="s">
        <v>37</v>
      </c>
      <c r="E494" s="35" t="s">
        <v>33</v>
      </c>
      <c r="F494" s="35" t="s">
        <v>40</v>
      </c>
      <c r="G494" s="35" t="s">
        <v>36</v>
      </c>
      <c r="H494" s="35">
        <f t="shared" si="21"/>
        <v>0</v>
      </c>
      <c r="I494" s="35"/>
      <c r="J494" s="35">
        <v>2</v>
      </c>
      <c r="K494" s="35">
        <f t="shared" si="22"/>
        <v>17</v>
      </c>
      <c r="L494" s="35" t="str">
        <f t="shared" si="23"/>
        <v>Morning</v>
      </c>
      <c r="M494" s="65"/>
      <c r="N494" s="65"/>
      <c r="O494" s="65"/>
      <c r="P494" s="66"/>
      <c r="Q494" s="35"/>
      <c r="R494" s="66"/>
      <c r="S494" s="73"/>
      <c r="T494" s="78"/>
    </row>
    <row r="495" spans="1:20">
      <c r="A495" s="55">
        <v>45297.5401967593</v>
      </c>
      <c r="B495" s="56">
        <v>45297.5468171296</v>
      </c>
      <c r="C495" s="35">
        <v>400</v>
      </c>
      <c r="D495" s="35" t="s">
        <v>43</v>
      </c>
      <c r="E495" s="35" t="s">
        <v>33</v>
      </c>
      <c r="F495" s="35" t="s">
        <v>34</v>
      </c>
      <c r="G495" s="35" t="s">
        <v>36</v>
      </c>
      <c r="H495" s="35">
        <f t="shared" si="21"/>
        <v>0</v>
      </c>
      <c r="I495" s="35"/>
      <c r="J495" s="35">
        <v>2</v>
      </c>
      <c r="K495" s="35">
        <f t="shared" si="22"/>
        <v>12</v>
      </c>
      <c r="L495" s="35" t="str">
        <f t="shared" si="23"/>
        <v>Morning</v>
      </c>
      <c r="M495" s="65"/>
      <c r="N495" s="65"/>
      <c r="O495" s="65"/>
      <c r="P495" s="66"/>
      <c r="Q495" s="35"/>
      <c r="R495" s="66"/>
      <c r="S495" s="73"/>
      <c r="T495" s="78"/>
    </row>
    <row r="496" spans="1:20">
      <c r="A496" s="55">
        <v>45298.8665393519</v>
      </c>
      <c r="B496" s="56">
        <v>45298.8694560185</v>
      </c>
      <c r="C496" s="35">
        <v>543</v>
      </c>
      <c r="D496" s="35" t="s">
        <v>32</v>
      </c>
      <c r="E496" s="35" t="s">
        <v>32</v>
      </c>
      <c r="F496" s="35" t="s">
        <v>38</v>
      </c>
      <c r="G496" s="35" t="s">
        <v>35</v>
      </c>
      <c r="H496" s="35">
        <f t="shared" si="21"/>
        <v>1</v>
      </c>
      <c r="I496" s="35"/>
      <c r="J496" s="35">
        <v>4</v>
      </c>
      <c r="K496" s="35">
        <f t="shared" si="22"/>
        <v>20</v>
      </c>
      <c r="L496" s="35" t="str">
        <f t="shared" si="23"/>
        <v>Evening</v>
      </c>
      <c r="M496" s="65"/>
      <c r="N496" s="65"/>
      <c r="O496" s="65"/>
      <c r="P496" s="66"/>
      <c r="Q496" s="35"/>
      <c r="R496" s="66"/>
      <c r="S496" s="73"/>
      <c r="T496" s="78"/>
    </row>
    <row r="497" spans="1:20">
      <c r="A497" s="55">
        <v>45302.4866435185</v>
      </c>
      <c r="B497" s="56">
        <v>45302.4883333333</v>
      </c>
      <c r="C497" s="35">
        <v>572</v>
      </c>
      <c r="D497" s="35" t="s">
        <v>39</v>
      </c>
      <c r="E497" s="35" t="s">
        <v>33</v>
      </c>
      <c r="F497" s="35" t="s">
        <v>38</v>
      </c>
      <c r="G497" s="35" t="s">
        <v>35</v>
      </c>
      <c r="H497" s="35">
        <f t="shared" si="21"/>
        <v>1</v>
      </c>
      <c r="I497" s="35"/>
      <c r="J497" s="35">
        <v>4</v>
      </c>
      <c r="K497" s="35">
        <f t="shared" si="22"/>
        <v>11</v>
      </c>
      <c r="L497" s="35" t="str">
        <f t="shared" si="23"/>
        <v>Morning</v>
      </c>
      <c r="M497" s="65"/>
      <c r="N497" s="65"/>
      <c r="O497" s="65"/>
      <c r="P497" s="66"/>
      <c r="Q497" s="35"/>
      <c r="R497" s="66"/>
      <c r="S497" s="73"/>
      <c r="T497" s="78"/>
    </row>
    <row r="498" spans="1:20">
      <c r="A498" s="55">
        <v>45303.3303472222</v>
      </c>
      <c r="B498" s="56">
        <v>45303.3362037037</v>
      </c>
      <c r="C498" s="35">
        <v>125</v>
      </c>
      <c r="D498" s="35" t="s">
        <v>32</v>
      </c>
      <c r="E498" s="35" t="s">
        <v>32</v>
      </c>
      <c r="F498" s="35" t="s">
        <v>38</v>
      </c>
      <c r="G498" s="35" t="s">
        <v>36</v>
      </c>
      <c r="H498" s="35">
        <f t="shared" si="21"/>
        <v>0</v>
      </c>
      <c r="I498" s="35"/>
      <c r="J498" s="35">
        <v>2</v>
      </c>
      <c r="K498" s="35">
        <f t="shared" si="22"/>
        <v>7</v>
      </c>
      <c r="L498" s="35" t="str">
        <f t="shared" si="23"/>
        <v>Morning</v>
      </c>
      <c r="M498" s="65"/>
      <c r="N498" s="65"/>
      <c r="O498" s="65"/>
      <c r="P498" s="66"/>
      <c r="Q498" s="35"/>
      <c r="R498" s="66"/>
      <c r="S498" s="73"/>
      <c r="T498" s="78"/>
    </row>
    <row r="499" spans="1:20">
      <c r="A499" s="55">
        <v>45317.5416898148</v>
      </c>
      <c r="B499" s="56">
        <v>45317.5561574074</v>
      </c>
      <c r="C499" s="35">
        <v>496</v>
      </c>
      <c r="D499" s="35" t="s">
        <v>39</v>
      </c>
      <c r="E499" s="35" t="s">
        <v>39</v>
      </c>
      <c r="F499" s="35" t="s">
        <v>38</v>
      </c>
      <c r="G499" s="35" t="s">
        <v>35</v>
      </c>
      <c r="H499" s="35">
        <f t="shared" si="21"/>
        <v>1</v>
      </c>
      <c r="I499" s="35"/>
      <c r="J499" s="35">
        <v>3</v>
      </c>
      <c r="K499" s="35">
        <f t="shared" si="22"/>
        <v>13</v>
      </c>
      <c r="L499" s="35" t="str">
        <f t="shared" si="23"/>
        <v>Morning</v>
      </c>
      <c r="M499" s="65"/>
      <c r="N499" s="65"/>
      <c r="O499" s="65"/>
      <c r="P499" s="66"/>
      <c r="Q499" s="35"/>
      <c r="R499" s="66"/>
      <c r="S499" s="73"/>
      <c r="T499" s="78"/>
    </row>
    <row r="500" spans="1:20">
      <c r="A500" s="55">
        <v>45307.3636458333</v>
      </c>
      <c r="B500" s="56">
        <v>45307.3723611111</v>
      </c>
      <c r="C500" s="35">
        <v>71</v>
      </c>
      <c r="D500" s="35" t="s">
        <v>43</v>
      </c>
      <c r="E500" s="35" t="s">
        <v>41</v>
      </c>
      <c r="F500" s="35" t="s">
        <v>34</v>
      </c>
      <c r="G500" s="35" t="s">
        <v>36</v>
      </c>
      <c r="H500" s="35">
        <f t="shared" si="21"/>
        <v>0</v>
      </c>
      <c r="I500" s="35"/>
      <c r="J500" s="35">
        <v>3</v>
      </c>
      <c r="K500" s="35">
        <f t="shared" si="22"/>
        <v>8</v>
      </c>
      <c r="L500" s="35" t="str">
        <f t="shared" si="23"/>
        <v>Morning</v>
      </c>
      <c r="M500" s="65"/>
      <c r="N500" s="65"/>
      <c r="O500" s="65"/>
      <c r="P500" s="66"/>
      <c r="Q500" s="35"/>
      <c r="R500" s="66"/>
      <c r="S500" s="73"/>
      <c r="T500" s="78"/>
    </row>
    <row r="501" spans="1:18">
      <c r="A501" s="55">
        <v>45307.5559606481</v>
      </c>
      <c r="B501" s="56">
        <v>45307.5753356482</v>
      </c>
      <c r="C501" s="35">
        <v>365</v>
      </c>
      <c r="D501" s="35" t="s">
        <v>42</v>
      </c>
      <c r="E501" s="35" t="s">
        <v>39</v>
      </c>
      <c r="F501" s="35" t="s">
        <v>40</v>
      </c>
      <c r="G501" s="35" t="s">
        <v>35</v>
      </c>
      <c r="H501" s="35">
        <f t="shared" si="21"/>
        <v>1</v>
      </c>
      <c r="I501" s="35"/>
      <c r="J501" s="35">
        <v>4</v>
      </c>
      <c r="K501" s="35">
        <f t="shared" si="22"/>
        <v>13</v>
      </c>
      <c r="L501" s="35" t="str">
        <f t="shared" si="23"/>
        <v>Morning</v>
      </c>
      <c r="M501" s="65"/>
      <c r="N501" s="65"/>
      <c r="O501" s="65"/>
      <c r="P501" s="66"/>
      <c r="Q501" s="35"/>
      <c r="R501" s="66"/>
    </row>
  </sheetData>
  <conditionalFormatting sqref="A1:R501 S1:T500">
    <cfRule type="expression" dxfId="0" priority="1">
      <formula>MOD(ROW(),2)=1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1"/>
  <sheetViews>
    <sheetView workbookViewId="0">
      <selection activeCell="I1" sqref="I1:O16"/>
    </sheetView>
  </sheetViews>
  <sheetFormatPr defaultColWidth="8.8" defaultRowHeight="15"/>
  <cols>
    <col min="1" max="1" width="8.2" style="29" customWidth="1"/>
    <col min="2" max="2" width="11.7" style="29" customWidth="1"/>
    <col min="3" max="3" width="9" style="29" customWidth="1"/>
    <col min="4" max="5" width="15.5" style="29" customWidth="1"/>
    <col min="6" max="6" width="19.6" style="29" customWidth="1"/>
    <col min="7" max="7" width="16.4" style="19" customWidth="1"/>
    <col min="8" max="8" width="16.4" style="1" customWidth="1"/>
    <col min="9" max="9" width="8.2" style="1" customWidth="1"/>
    <col min="10" max="10" width="11.7" style="1" customWidth="1"/>
    <col min="11" max="11" width="9.8" customWidth="1"/>
    <col min="12" max="12" width="12.7" style="1" customWidth="1"/>
    <col min="13" max="13" width="16" style="1" customWidth="1"/>
    <col min="14" max="14" width="18.3" style="2" customWidth="1"/>
    <col min="15" max="15" width="18.4" style="2" customWidth="1"/>
  </cols>
  <sheetData>
    <row r="1" ht="15.75" spans="1:15">
      <c r="A1" s="30" t="s">
        <v>44</v>
      </c>
      <c r="B1" s="31" t="s">
        <v>45</v>
      </c>
      <c r="C1" s="31" t="s">
        <v>20</v>
      </c>
      <c r="D1" s="32" t="s">
        <v>21</v>
      </c>
      <c r="E1" s="31" t="s">
        <v>22</v>
      </c>
      <c r="F1" s="31" t="s">
        <v>46</v>
      </c>
      <c r="G1" s="36" t="s">
        <v>47</v>
      </c>
      <c r="H1" s="37" t="s">
        <v>3</v>
      </c>
      <c r="I1" s="40" t="s">
        <v>44</v>
      </c>
      <c r="J1" s="40" t="s">
        <v>45</v>
      </c>
      <c r="K1" s="40" t="s">
        <v>48</v>
      </c>
      <c r="L1" s="41" t="s">
        <v>49</v>
      </c>
      <c r="M1" s="41" t="s">
        <v>50</v>
      </c>
      <c r="N1" s="46" t="s">
        <v>51</v>
      </c>
      <c r="O1" s="46" t="s">
        <v>52</v>
      </c>
    </row>
    <row r="2" spans="1:15">
      <c r="A2" s="33" t="s">
        <v>53</v>
      </c>
      <c r="B2" s="34" t="s">
        <v>54</v>
      </c>
      <c r="C2" s="34" t="s">
        <v>35</v>
      </c>
      <c r="D2" s="35">
        <f>IF(C2="Y",1,0)</f>
        <v>1</v>
      </c>
      <c r="E2" s="34">
        <v>5</v>
      </c>
      <c r="F2" s="34" t="s">
        <v>36</v>
      </c>
      <c r="G2" s="38">
        <f>IF(F2="Y",1,0)</f>
        <v>0</v>
      </c>
      <c r="H2" s="39">
        <v>561.00000415463</v>
      </c>
      <c r="I2" s="42" t="s">
        <v>55</v>
      </c>
      <c r="J2" s="42" t="s">
        <v>56</v>
      </c>
      <c r="K2" s="42">
        <f>COUNTIF($B$2:$B$501,J2)</f>
        <v>33</v>
      </c>
      <c r="L2" s="43">
        <f>AVERAGEIF($B$2:$B$501,J2,$H$2:$H$501)</f>
        <v>1049.3030306862</v>
      </c>
      <c r="M2" s="43">
        <f>AVERAGEIF($B$2:$B$501,J2,$E$2:$E$501)</f>
        <v>3.48484848484848</v>
      </c>
      <c r="N2" s="47">
        <f>AVERAGEIF($B$2:$B$501,J2,$D$2:$D$501)</f>
        <v>0.787878787878788</v>
      </c>
      <c r="O2" s="47">
        <f>AVERAGEIF($B$2:$B$501,J2,$G$2:$G$501)</f>
        <v>0.121212121212121</v>
      </c>
    </row>
    <row r="3" spans="1:15">
      <c r="A3" s="33" t="s">
        <v>57</v>
      </c>
      <c r="B3" s="34" t="s">
        <v>58</v>
      </c>
      <c r="C3" s="34" t="s">
        <v>36</v>
      </c>
      <c r="D3" s="35">
        <f t="shared" ref="D2:D65" si="0">IF(C3="Y",1,0)</f>
        <v>0</v>
      </c>
      <c r="E3" s="34">
        <v>3</v>
      </c>
      <c r="F3" s="34" t="s">
        <v>35</v>
      </c>
      <c r="G3" s="38">
        <f t="shared" ref="G3:G66" si="1">IF(F3="Y",1,0)</f>
        <v>1</v>
      </c>
      <c r="H3" s="39">
        <v>251.000000839122</v>
      </c>
      <c r="I3" s="34" t="s">
        <v>57</v>
      </c>
      <c r="J3" s="34" t="s">
        <v>58</v>
      </c>
      <c r="K3" s="34">
        <f t="shared" ref="K3:K16" si="2">COUNTIF($B$2:$B$501,J3)</f>
        <v>30</v>
      </c>
      <c r="L3" s="39">
        <f t="shared" ref="L3:L16" si="3">AVERAGEIF($B$2:$B$501,J3,$H$2:$H$501)</f>
        <v>939.46666658856</v>
      </c>
      <c r="M3" s="39">
        <f t="shared" ref="M3:M16" si="4">AVERAGEIF($B$2:$B$501,J3,$E$2:$E$501)</f>
        <v>3.13333333333333</v>
      </c>
      <c r="N3" s="48">
        <f t="shared" ref="N3:N16" si="5">AVERAGEIF($B$2:$B$501,J3,$D$2:$D$501)</f>
        <v>0.633333333333333</v>
      </c>
      <c r="O3" s="48">
        <f t="shared" ref="O3:O16" si="6">AVERAGEIF($B$2:$B$501,J3,$G$2:$G$501)</f>
        <v>0.2</v>
      </c>
    </row>
    <row r="4" spans="1:15">
      <c r="A4" s="33" t="s">
        <v>59</v>
      </c>
      <c r="B4" s="34" t="s">
        <v>60</v>
      </c>
      <c r="C4" s="34" t="s">
        <v>35</v>
      </c>
      <c r="D4" s="35">
        <f t="shared" si="0"/>
        <v>1</v>
      </c>
      <c r="E4" s="34">
        <v>3</v>
      </c>
      <c r="F4" s="34" t="s">
        <v>36</v>
      </c>
      <c r="G4" s="38">
        <f t="shared" si="1"/>
        <v>0</v>
      </c>
      <c r="H4" s="39">
        <v>1717.00000092387</v>
      </c>
      <c r="I4" s="34" t="s">
        <v>61</v>
      </c>
      <c r="J4" s="34" t="s">
        <v>62</v>
      </c>
      <c r="K4" s="34">
        <f t="shared" si="2"/>
        <v>25</v>
      </c>
      <c r="L4" s="39">
        <f t="shared" si="3"/>
        <v>1015.36000078171</v>
      </c>
      <c r="M4" s="39">
        <f t="shared" si="4"/>
        <v>3.52</v>
      </c>
      <c r="N4" s="48">
        <f t="shared" si="5"/>
        <v>0.64</v>
      </c>
      <c r="O4" s="48">
        <f t="shared" si="6"/>
        <v>0.2</v>
      </c>
    </row>
    <row r="5" spans="1:15">
      <c r="A5" s="33" t="s">
        <v>63</v>
      </c>
      <c r="B5" s="34" t="s">
        <v>64</v>
      </c>
      <c r="C5" s="34" t="s">
        <v>35</v>
      </c>
      <c r="D5" s="35">
        <f t="shared" si="0"/>
        <v>1</v>
      </c>
      <c r="E5" s="34">
        <v>5</v>
      </c>
      <c r="F5" s="34" t="s">
        <v>36</v>
      </c>
      <c r="G5" s="38">
        <f t="shared" si="1"/>
        <v>0</v>
      </c>
      <c r="H5" s="39">
        <v>257.999998703599</v>
      </c>
      <c r="I5" s="34" t="s">
        <v>65</v>
      </c>
      <c r="J5" s="34" t="s">
        <v>66</v>
      </c>
      <c r="K5" s="34">
        <f t="shared" si="2"/>
        <v>38</v>
      </c>
      <c r="L5" s="39">
        <f t="shared" si="3"/>
        <v>913.184210205892</v>
      </c>
      <c r="M5" s="39">
        <f t="shared" si="4"/>
        <v>3.36842105263158</v>
      </c>
      <c r="N5" s="48">
        <f t="shared" si="5"/>
        <v>0.710526315789474</v>
      </c>
      <c r="O5" s="48">
        <f t="shared" si="6"/>
        <v>0.131578947368421</v>
      </c>
    </row>
    <row r="6" spans="1:15">
      <c r="A6" s="33" t="s">
        <v>57</v>
      </c>
      <c r="B6" s="34" t="s">
        <v>58</v>
      </c>
      <c r="C6" s="34" t="s">
        <v>36</v>
      </c>
      <c r="D6" s="35">
        <f t="shared" si="0"/>
        <v>0</v>
      </c>
      <c r="E6" s="34">
        <v>3</v>
      </c>
      <c r="F6" s="34" t="s">
        <v>36</v>
      </c>
      <c r="G6" s="38">
        <f t="shared" si="1"/>
        <v>0</v>
      </c>
      <c r="H6" s="39">
        <v>1757.99999793526</v>
      </c>
      <c r="I6" s="34" t="s">
        <v>67</v>
      </c>
      <c r="J6" s="34" t="s">
        <v>68</v>
      </c>
      <c r="K6" s="34">
        <f t="shared" si="2"/>
        <v>26</v>
      </c>
      <c r="L6" s="39">
        <f t="shared" si="3"/>
        <v>1111.34615364449</v>
      </c>
      <c r="M6" s="39">
        <f t="shared" si="4"/>
        <v>3.69230769230769</v>
      </c>
      <c r="N6" s="48">
        <f t="shared" si="5"/>
        <v>0.884615384615385</v>
      </c>
      <c r="O6" s="48">
        <f t="shared" si="6"/>
        <v>0</v>
      </c>
    </row>
    <row r="7" spans="1:15">
      <c r="A7" s="33" t="s">
        <v>67</v>
      </c>
      <c r="B7" s="34" t="s">
        <v>68</v>
      </c>
      <c r="C7" s="34" t="s">
        <v>35</v>
      </c>
      <c r="D7" s="35">
        <f t="shared" si="0"/>
        <v>1</v>
      </c>
      <c r="E7" s="34">
        <v>3</v>
      </c>
      <c r="F7" s="34" t="s">
        <v>36</v>
      </c>
      <c r="G7" s="38">
        <f t="shared" si="1"/>
        <v>0</v>
      </c>
      <c r="H7" s="39">
        <v>837.999993469566</v>
      </c>
      <c r="I7" s="34" t="s">
        <v>69</v>
      </c>
      <c r="J7" s="34" t="s">
        <v>70</v>
      </c>
      <c r="K7" s="34">
        <f t="shared" si="2"/>
        <v>37</v>
      </c>
      <c r="L7" s="39">
        <f t="shared" si="3"/>
        <v>1017.67567548385</v>
      </c>
      <c r="M7" s="39">
        <f t="shared" si="4"/>
        <v>3.51351351351351</v>
      </c>
      <c r="N7" s="48">
        <f t="shared" si="5"/>
        <v>0.756756756756757</v>
      </c>
      <c r="O7" s="48">
        <f t="shared" si="6"/>
        <v>0.0810810810810811</v>
      </c>
    </row>
    <row r="8" spans="1:15">
      <c r="A8" s="33" t="s">
        <v>53</v>
      </c>
      <c r="B8" s="34" t="s">
        <v>54</v>
      </c>
      <c r="C8" s="34" t="s">
        <v>35</v>
      </c>
      <c r="D8" s="35">
        <f t="shared" si="0"/>
        <v>1</v>
      </c>
      <c r="E8" s="34">
        <v>5</v>
      </c>
      <c r="F8" s="34" t="s">
        <v>36</v>
      </c>
      <c r="G8" s="38">
        <f t="shared" si="1"/>
        <v>0</v>
      </c>
      <c r="H8" s="39">
        <v>410.000002803281</v>
      </c>
      <c r="I8" s="34" t="s">
        <v>59</v>
      </c>
      <c r="J8" s="34" t="s">
        <v>60</v>
      </c>
      <c r="K8" s="34">
        <f t="shared" si="2"/>
        <v>33</v>
      </c>
      <c r="L8" s="39">
        <f t="shared" si="3"/>
        <v>976.696969985708</v>
      </c>
      <c r="M8" s="39">
        <f t="shared" si="4"/>
        <v>3.54545454545455</v>
      </c>
      <c r="N8" s="48">
        <f t="shared" si="5"/>
        <v>0.696969696969697</v>
      </c>
      <c r="O8" s="48">
        <f t="shared" si="6"/>
        <v>0.181818181818182</v>
      </c>
    </row>
    <row r="9" spans="1:15">
      <c r="A9" s="33" t="s">
        <v>71</v>
      </c>
      <c r="B9" s="34" t="s">
        <v>72</v>
      </c>
      <c r="C9" s="34" t="s">
        <v>35</v>
      </c>
      <c r="D9" s="35">
        <f t="shared" si="0"/>
        <v>1</v>
      </c>
      <c r="E9" s="34">
        <v>3</v>
      </c>
      <c r="F9" s="34" t="s">
        <v>36</v>
      </c>
      <c r="G9" s="38">
        <f t="shared" si="1"/>
        <v>0</v>
      </c>
      <c r="H9" s="39">
        <v>1786.00000008009</v>
      </c>
      <c r="I9" s="34" t="s">
        <v>73</v>
      </c>
      <c r="J9" s="34" t="s">
        <v>74</v>
      </c>
      <c r="K9" s="34">
        <f t="shared" si="2"/>
        <v>40</v>
      </c>
      <c r="L9" s="39">
        <f t="shared" si="3"/>
        <v>816.900000339956</v>
      </c>
      <c r="M9" s="39">
        <f t="shared" si="4"/>
        <v>3.625</v>
      </c>
      <c r="N9" s="48">
        <f t="shared" si="5"/>
        <v>0.8</v>
      </c>
      <c r="O9" s="48">
        <f t="shared" si="6"/>
        <v>0.125</v>
      </c>
    </row>
    <row r="10" spans="1:15">
      <c r="A10" s="33" t="s">
        <v>65</v>
      </c>
      <c r="B10" s="34" t="s">
        <v>66</v>
      </c>
      <c r="C10" s="34" t="s">
        <v>36</v>
      </c>
      <c r="D10" s="35">
        <f t="shared" si="0"/>
        <v>0</v>
      </c>
      <c r="E10" s="34">
        <v>3</v>
      </c>
      <c r="F10" s="34" t="s">
        <v>35</v>
      </c>
      <c r="G10" s="38">
        <f t="shared" si="1"/>
        <v>1</v>
      </c>
      <c r="H10" s="39">
        <v>1081.99999581557</v>
      </c>
      <c r="I10" s="34" t="s">
        <v>75</v>
      </c>
      <c r="J10" s="34" t="s">
        <v>76</v>
      </c>
      <c r="K10" s="34">
        <f t="shared" si="2"/>
        <v>37</v>
      </c>
      <c r="L10" s="39">
        <f t="shared" si="3"/>
        <v>1041.37837786567</v>
      </c>
      <c r="M10" s="39">
        <f t="shared" si="4"/>
        <v>3.51351351351351</v>
      </c>
      <c r="N10" s="48">
        <f t="shared" si="5"/>
        <v>0.810810810810811</v>
      </c>
      <c r="O10" s="48">
        <f t="shared" si="6"/>
        <v>0.0810810810810811</v>
      </c>
    </row>
    <row r="11" spans="1:15">
      <c r="A11" s="33" t="s">
        <v>67</v>
      </c>
      <c r="B11" s="34" t="s">
        <v>68</v>
      </c>
      <c r="C11" s="34" t="s">
        <v>35</v>
      </c>
      <c r="D11" s="35">
        <f t="shared" si="0"/>
        <v>1</v>
      </c>
      <c r="E11" s="34">
        <v>3</v>
      </c>
      <c r="F11" s="34" t="s">
        <v>36</v>
      </c>
      <c r="G11" s="38">
        <f t="shared" si="1"/>
        <v>0</v>
      </c>
      <c r="H11" s="39">
        <v>877.000003214926</v>
      </c>
      <c r="I11" s="34" t="s">
        <v>77</v>
      </c>
      <c r="J11" s="34" t="s">
        <v>78</v>
      </c>
      <c r="K11" s="34">
        <f t="shared" si="2"/>
        <v>32</v>
      </c>
      <c r="L11" s="39">
        <f t="shared" si="3"/>
        <v>1001.18749920221</v>
      </c>
      <c r="M11" s="39">
        <f t="shared" si="4"/>
        <v>3.15625</v>
      </c>
      <c r="N11" s="48">
        <f t="shared" si="5"/>
        <v>0.625</v>
      </c>
      <c r="O11" s="48">
        <f t="shared" si="6"/>
        <v>0.125</v>
      </c>
    </row>
    <row r="12" spans="1:15">
      <c r="A12" s="33" t="s">
        <v>79</v>
      </c>
      <c r="B12" s="34" t="s">
        <v>80</v>
      </c>
      <c r="C12" s="34" t="s">
        <v>35</v>
      </c>
      <c r="D12" s="35">
        <f t="shared" si="0"/>
        <v>1</v>
      </c>
      <c r="E12" s="34">
        <v>4</v>
      </c>
      <c r="F12" s="34" t="s">
        <v>36</v>
      </c>
      <c r="G12" s="38">
        <f t="shared" si="1"/>
        <v>0</v>
      </c>
      <c r="H12" s="39">
        <v>1682.00000091456</v>
      </c>
      <c r="I12" s="34" t="s">
        <v>53</v>
      </c>
      <c r="J12" s="34" t="s">
        <v>54</v>
      </c>
      <c r="K12" s="34">
        <f t="shared" si="2"/>
        <v>36</v>
      </c>
      <c r="L12" s="39">
        <f t="shared" si="3"/>
        <v>1035.22222271422</v>
      </c>
      <c r="M12" s="39">
        <f t="shared" si="4"/>
        <v>3.69444444444444</v>
      </c>
      <c r="N12" s="48">
        <f t="shared" si="5"/>
        <v>0.861111111111111</v>
      </c>
      <c r="O12" s="48">
        <f t="shared" si="6"/>
        <v>0.0555555555555556</v>
      </c>
    </row>
    <row r="13" spans="1:15">
      <c r="A13" s="33" t="s">
        <v>75</v>
      </c>
      <c r="B13" s="34" t="s">
        <v>76</v>
      </c>
      <c r="C13" s="34" t="s">
        <v>35</v>
      </c>
      <c r="D13" s="35">
        <f t="shared" si="0"/>
        <v>1</v>
      </c>
      <c r="E13" s="34">
        <v>3</v>
      </c>
      <c r="F13" s="34" t="s">
        <v>36</v>
      </c>
      <c r="G13" s="38">
        <f t="shared" si="1"/>
        <v>0</v>
      </c>
      <c r="H13" s="39">
        <v>294.000002089888</v>
      </c>
      <c r="I13" s="34" t="s">
        <v>71</v>
      </c>
      <c r="J13" s="34" t="s">
        <v>72</v>
      </c>
      <c r="K13" s="34">
        <f t="shared" si="2"/>
        <v>36</v>
      </c>
      <c r="L13" s="39">
        <f t="shared" si="3"/>
        <v>964.388889149996</v>
      </c>
      <c r="M13" s="39">
        <f t="shared" si="4"/>
        <v>3.13888888888889</v>
      </c>
      <c r="N13" s="48">
        <f t="shared" si="5"/>
        <v>0.638888888888889</v>
      </c>
      <c r="O13" s="48">
        <f t="shared" si="6"/>
        <v>0.138888888888889</v>
      </c>
    </row>
    <row r="14" spans="1:15">
      <c r="A14" s="33" t="s">
        <v>73</v>
      </c>
      <c r="B14" s="34" t="s">
        <v>74</v>
      </c>
      <c r="C14" s="34" t="s">
        <v>35</v>
      </c>
      <c r="D14" s="35">
        <f t="shared" si="0"/>
        <v>1</v>
      </c>
      <c r="E14" s="34">
        <v>3</v>
      </c>
      <c r="F14" s="34" t="s">
        <v>36</v>
      </c>
      <c r="G14" s="38">
        <f t="shared" si="1"/>
        <v>0</v>
      </c>
      <c r="H14" s="39">
        <v>425.000001909211</v>
      </c>
      <c r="I14" s="34" t="s">
        <v>63</v>
      </c>
      <c r="J14" s="34" t="s">
        <v>64</v>
      </c>
      <c r="K14" s="34">
        <f t="shared" si="2"/>
        <v>34</v>
      </c>
      <c r="L14" s="39">
        <f t="shared" si="3"/>
        <v>896.705883185324</v>
      </c>
      <c r="M14" s="39">
        <f t="shared" si="4"/>
        <v>3.41176470588235</v>
      </c>
      <c r="N14" s="48">
        <f t="shared" si="5"/>
        <v>0.735294117647059</v>
      </c>
      <c r="O14" s="48">
        <f t="shared" si="6"/>
        <v>0.0588235294117647</v>
      </c>
    </row>
    <row r="15" spans="1:15">
      <c r="A15" s="33" t="s">
        <v>61</v>
      </c>
      <c r="B15" s="34" t="s">
        <v>62</v>
      </c>
      <c r="C15" s="34" t="s">
        <v>36</v>
      </c>
      <c r="D15" s="35">
        <f t="shared" si="0"/>
        <v>0</v>
      </c>
      <c r="E15" s="34">
        <v>2</v>
      </c>
      <c r="F15" s="34" t="s">
        <v>35</v>
      </c>
      <c r="G15" s="38">
        <f t="shared" si="1"/>
        <v>1</v>
      </c>
      <c r="H15" s="39">
        <v>1146.00000134669</v>
      </c>
      <c r="I15" s="34" t="s">
        <v>79</v>
      </c>
      <c r="J15" s="34" t="s">
        <v>80</v>
      </c>
      <c r="K15" s="34">
        <f t="shared" si="2"/>
        <v>30</v>
      </c>
      <c r="L15" s="39">
        <f t="shared" si="3"/>
        <v>928.999999256339</v>
      </c>
      <c r="M15" s="39">
        <f t="shared" si="4"/>
        <v>3.83333333333333</v>
      </c>
      <c r="N15" s="48">
        <f t="shared" si="5"/>
        <v>0.733333333333333</v>
      </c>
      <c r="O15" s="48">
        <f t="shared" si="6"/>
        <v>0.166666666666667</v>
      </c>
    </row>
    <row r="16" ht="15.75" spans="1:15">
      <c r="A16" s="33" t="s">
        <v>79</v>
      </c>
      <c r="B16" s="34" t="s">
        <v>80</v>
      </c>
      <c r="C16" s="34" t="s">
        <v>35</v>
      </c>
      <c r="D16" s="35">
        <f t="shared" si="0"/>
        <v>1</v>
      </c>
      <c r="E16" s="34">
        <v>3</v>
      </c>
      <c r="F16" s="34" t="s">
        <v>36</v>
      </c>
      <c r="G16" s="38">
        <f t="shared" si="1"/>
        <v>0</v>
      </c>
      <c r="H16" s="39">
        <v>553.000002913177</v>
      </c>
      <c r="I16" s="44" t="s">
        <v>81</v>
      </c>
      <c r="J16" s="44" t="s">
        <v>82</v>
      </c>
      <c r="K16" s="44">
        <f t="shared" si="2"/>
        <v>33</v>
      </c>
      <c r="L16" s="45">
        <f t="shared" si="3"/>
        <v>865.424242437902</v>
      </c>
      <c r="M16" s="45">
        <f t="shared" si="4"/>
        <v>3.6969696969697</v>
      </c>
      <c r="N16" s="49">
        <f t="shared" si="5"/>
        <v>0.909090909090909</v>
      </c>
      <c r="O16" s="49">
        <f t="shared" si="6"/>
        <v>0.0303030303030303</v>
      </c>
    </row>
    <row r="17" spans="1:15">
      <c r="A17" s="33" t="s">
        <v>63</v>
      </c>
      <c r="B17" s="34" t="s">
        <v>64</v>
      </c>
      <c r="C17" s="34" t="s">
        <v>35</v>
      </c>
      <c r="D17" s="35">
        <f t="shared" si="0"/>
        <v>1</v>
      </c>
      <c r="E17" s="34">
        <v>4</v>
      </c>
      <c r="F17" s="34" t="s">
        <v>36</v>
      </c>
      <c r="G17" s="38">
        <f t="shared" si="1"/>
        <v>0</v>
      </c>
      <c r="H17" s="39">
        <v>1033.00000699237</v>
      </c>
      <c r="I17" s="34"/>
      <c r="J17" s="34"/>
      <c r="K17" s="34"/>
      <c r="L17" s="39"/>
      <c r="M17" s="39"/>
      <c r="N17" s="48"/>
      <c r="O17" s="48"/>
    </row>
    <row r="18" spans="1:15">
      <c r="A18" s="33" t="s">
        <v>65</v>
      </c>
      <c r="B18" s="34" t="s">
        <v>66</v>
      </c>
      <c r="C18" s="34" t="s">
        <v>36</v>
      </c>
      <c r="D18" s="35">
        <f t="shared" si="0"/>
        <v>0</v>
      </c>
      <c r="E18" s="34">
        <v>1</v>
      </c>
      <c r="F18" s="34" t="s">
        <v>36</v>
      </c>
      <c r="G18" s="38">
        <f t="shared" si="1"/>
        <v>0</v>
      </c>
      <c r="H18" s="39">
        <v>877.000003214926</v>
      </c>
      <c r="I18" s="34"/>
      <c r="J18" s="34"/>
      <c r="K18" s="34"/>
      <c r="L18" s="39"/>
      <c r="M18" s="39"/>
      <c r="N18" s="48"/>
      <c r="O18" s="48"/>
    </row>
    <row r="19" spans="1:15">
      <c r="A19" s="33" t="s">
        <v>77</v>
      </c>
      <c r="B19" s="34" t="s">
        <v>78</v>
      </c>
      <c r="C19" s="34" t="s">
        <v>35</v>
      </c>
      <c r="D19" s="35">
        <f t="shared" si="0"/>
        <v>1</v>
      </c>
      <c r="E19" s="34">
        <v>4</v>
      </c>
      <c r="F19" s="34" t="s">
        <v>36</v>
      </c>
      <c r="G19" s="38">
        <f t="shared" si="1"/>
        <v>0</v>
      </c>
      <c r="H19" s="39">
        <v>73.9999927813187</v>
      </c>
      <c r="I19" s="34"/>
      <c r="J19" s="34"/>
      <c r="K19" s="34"/>
      <c r="L19" s="39"/>
      <c r="M19" s="39"/>
      <c r="N19" s="48"/>
      <c r="O19" s="48"/>
    </row>
    <row r="20" spans="1:15">
      <c r="A20" s="33" t="s">
        <v>57</v>
      </c>
      <c r="B20" s="34" t="s">
        <v>58</v>
      </c>
      <c r="C20" s="34" t="s">
        <v>35</v>
      </c>
      <c r="D20" s="35">
        <f t="shared" si="0"/>
        <v>1</v>
      </c>
      <c r="E20" s="34">
        <v>5</v>
      </c>
      <c r="F20" s="34" t="s">
        <v>36</v>
      </c>
      <c r="G20" s="38">
        <f t="shared" si="1"/>
        <v>0</v>
      </c>
      <c r="H20" s="39">
        <v>1054.00000184309</v>
      </c>
      <c r="I20" s="34"/>
      <c r="J20" s="34"/>
      <c r="K20" s="34"/>
      <c r="L20" s="39"/>
      <c r="M20" s="39"/>
      <c r="N20" s="48"/>
      <c r="O20" s="48"/>
    </row>
    <row r="21" spans="1:15">
      <c r="A21" s="33" t="s">
        <v>77</v>
      </c>
      <c r="B21" s="34" t="s">
        <v>78</v>
      </c>
      <c r="C21" s="34" t="s">
        <v>35</v>
      </c>
      <c r="D21" s="35">
        <f t="shared" si="0"/>
        <v>1</v>
      </c>
      <c r="E21" s="34">
        <v>4</v>
      </c>
      <c r="F21" s="34" t="s">
        <v>36</v>
      </c>
      <c r="G21" s="38">
        <f t="shared" si="1"/>
        <v>0</v>
      </c>
      <c r="H21" s="39">
        <v>1713.00000124611</v>
      </c>
      <c r="I21" s="34"/>
      <c r="J21" s="34"/>
      <c r="K21" s="34"/>
      <c r="L21" s="39"/>
      <c r="M21" s="39"/>
      <c r="N21" s="48"/>
      <c r="O21" s="48"/>
    </row>
    <row r="22" spans="1:15">
      <c r="A22" s="33" t="s">
        <v>59</v>
      </c>
      <c r="B22" s="34" t="s">
        <v>60</v>
      </c>
      <c r="C22" s="34" t="s">
        <v>35</v>
      </c>
      <c r="D22" s="35">
        <f t="shared" si="0"/>
        <v>1</v>
      </c>
      <c r="E22" s="34">
        <v>3</v>
      </c>
      <c r="F22" s="34" t="s">
        <v>36</v>
      </c>
      <c r="G22" s="38">
        <f t="shared" si="1"/>
        <v>0</v>
      </c>
      <c r="H22" s="39">
        <v>170.000000763685</v>
      </c>
      <c r="I22" s="34"/>
      <c r="J22" s="34"/>
      <c r="K22" s="34"/>
      <c r="L22" s="39"/>
      <c r="M22" s="39"/>
      <c r="N22" s="48"/>
      <c r="O22" s="48"/>
    </row>
    <row r="23" spans="1:15">
      <c r="A23" s="33" t="s">
        <v>65</v>
      </c>
      <c r="B23" s="34" t="s">
        <v>66</v>
      </c>
      <c r="C23" s="34" t="s">
        <v>36</v>
      </c>
      <c r="D23" s="35">
        <f t="shared" si="0"/>
        <v>0</v>
      </c>
      <c r="E23" s="34">
        <v>1</v>
      </c>
      <c r="F23" s="34" t="s">
        <v>36</v>
      </c>
      <c r="G23" s="38">
        <f t="shared" si="1"/>
        <v>0</v>
      </c>
      <c r="H23" s="39">
        <v>347.000000020489</v>
      </c>
      <c r="I23" s="34"/>
      <c r="J23" s="34"/>
      <c r="K23" s="34"/>
      <c r="L23" s="39"/>
      <c r="M23" s="39"/>
      <c r="N23" s="48"/>
      <c r="O23" s="48"/>
    </row>
    <row r="24" spans="1:15">
      <c r="A24" s="33" t="s">
        <v>79</v>
      </c>
      <c r="B24" s="34" t="s">
        <v>80</v>
      </c>
      <c r="C24" s="34" t="s">
        <v>35</v>
      </c>
      <c r="D24" s="35">
        <f t="shared" si="0"/>
        <v>1</v>
      </c>
      <c r="E24" s="34">
        <v>4</v>
      </c>
      <c r="F24" s="34" t="s">
        <v>36</v>
      </c>
      <c r="G24" s="38">
        <f t="shared" si="1"/>
        <v>0</v>
      </c>
      <c r="H24" s="39">
        <v>1166.99999619741</v>
      </c>
      <c r="I24" s="34"/>
      <c r="J24" s="34"/>
      <c r="K24" s="34"/>
      <c r="L24" s="39"/>
      <c r="M24" s="39"/>
      <c r="N24" s="48"/>
      <c r="O24" s="48"/>
    </row>
    <row r="25" spans="1:15">
      <c r="A25" s="33" t="s">
        <v>65</v>
      </c>
      <c r="B25" s="34" t="s">
        <v>66</v>
      </c>
      <c r="C25" s="34" t="s">
        <v>35</v>
      </c>
      <c r="D25" s="35">
        <f t="shared" si="0"/>
        <v>1</v>
      </c>
      <c r="E25" s="34">
        <v>4</v>
      </c>
      <c r="F25" s="34" t="s">
        <v>36</v>
      </c>
      <c r="G25" s="38">
        <f t="shared" si="1"/>
        <v>0</v>
      </c>
      <c r="H25" s="39">
        <v>396.999999764375</v>
      </c>
      <c r="I25" s="34"/>
      <c r="J25" s="34"/>
      <c r="K25" s="34"/>
      <c r="L25" s="39"/>
      <c r="M25" s="39"/>
      <c r="N25" s="48"/>
      <c r="O25" s="48"/>
    </row>
    <row r="26" spans="1:15">
      <c r="A26" s="33" t="s">
        <v>67</v>
      </c>
      <c r="B26" s="34" t="s">
        <v>68</v>
      </c>
      <c r="C26" s="34" t="s">
        <v>35</v>
      </c>
      <c r="D26" s="35">
        <f t="shared" si="0"/>
        <v>1</v>
      </c>
      <c r="E26" s="34">
        <v>3</v>
      </c>
      <c r="F26" s="34" t="s">
        <v>36</v>
      </c>
      <c r="G26" s="38">
        <f t="shared" si="1"/>
        <v>0</v>
      </c>
      <c r="H26" s="39">
        <v>666.99999938719</v>
      </c>
      <c r="I26" s="34"/>
      <c r="J26" s="34"/>
      <c r="K26" s="34"/>
      <c r="L26" s="39"/>
      <c r="M26" s="39"/>
      <c r="N26" s="48"/>
      <c r="O26" s="48"/>
    </row>
    <row r="27" spans="1:15">
      <c r="A27" s="33" t="s">
        <v>77</v>
      </c>
      <c r="B27" s="34" t="s">
        <v>78</v>
      </c>
      <c r="C27" s="34" t="s">
        <v>36</v>
      </c>
      <c r="D27" s="35">
        <f t="shared" si="0"/>
        <v>0</v>
      </c>
      <c r="E27" s="34">
        <v>1</v>
      </c>
      <c r="F27" s="34" t="s">
        <v>35</v>
      </c>
      <c r="G27" s="38">
        <f t="shared" si="1"/>
        <v>1</v>
      </c>
      <c r="H27" s="39">
        <v>1147.00000346638</v>
      </c>
      <c r="I27" s="34"/>
      <c r="J27" s="34"/>
      <c r="K27" s="34"/>
      <c r="L27" s="39"/>
      <c r="M27" s="39"/>
      <c r="N27" s="48"/>
      <c r="O27" s="48"/>
    </row>
    <row r="28" spans="1:15">
      <c r="A28" s="33" t="s">
        <v>65</v>
      </c>
      <c r="B28" s="34" t="s">
        <v>66</v>
      </c>
      <c r="C28" s="34" t="s">
        <v>35</v>
      </c>
      <c r="D28" s="35">
        <f t="shared" si="0"/>
        <v>1</v>
      </c>
      <c r="E28" s="34">
        <v>5</v>
      </c>
      <c r="F28" s="34" t="s">
        <v>36</v>
      </c>
      <c r="G28" s="38">
        <f t="shared" si="1"/>
        <v>0</v>
      </c>
      <c r="H28" s="39">
        <v>563.999993540347</v>
      </c>
      <c r="I28" s="34"/>
      <c r="J28" s="34"/>
      <c r="K28" s="34"/>
      <c r="L28" s="39"/>
      <c r="M28" s="39"/>
      <c r="N28" s="48"/>
      <c r="O28" s="48"/>
    </row>
    <row r="29" spans="1:15">
      <c r="A29" s="33" t="s">
        <v>75</v>
      </c>
      <c r="B29" s="34" t="s">
        <v>76</v>
      </c>
      <c r="C29" s="34" t="s">
        <v>36</v>
      </c>
      <c r="D29" s="35">
        <f t="shared" si="0"/>
        <v>0</v>
      </c>
      <c r="E29" s="34">
        <v>3</v>
      </c>
      <c r="F29" s="34" t="s">
        <v>36</v>
      </c>
      <c r="G29" s="38">
        <f t="shared" si="1"/>
        <v>0</v>
      </c>
      <c r="H29" s="39">
        <v>1526.00000530947</v>
      </c>
      <c r="I29" s="34"/>
      <c r="J29" s="34"/>
      <c r="K29" s="34"/>
      <c r="L29" s="39"/>
      <c r="M29" s="39"/>
      <c r="N29" s="48"/>
      <c r="O29" s="48"/>
    </row>
    <row r="30" spans="1:15">
      <c r="A30" s="33" t="s">
        <v>69</v>
      </c>
      <c r="B30" s="34" t="s">
        <v>70</v>
      </c>
      <c r="C30" s="34" t="s">
        <v>36</v>
      </c>
      <c r="D30" s="35">
        <f t="shared" si="0"/>
        <v>0</v>
      </c>
      <c r="E30" s="34">
        <v>2</v>
      </c>
      <c r="F30" s="34" t="s">
        <v>36</v>
      </c>
      <c r="G30" s="38">
        <f t="shared" si="1"/>
        <v>0</v>
      </c>
      <c r="H30" s="39">
        <v>1332.000003336</v>
      </c>
      <c r="I30" s="34"/>
      <c r="J30" s="34"/>
      <c r="K30" s="34"/>
      <c r="L30" s="39"/>
      <c r="M30" s="39"/>
      <c r="N30" s="48"/>
      <c r="O30" s="48"/>
    </row>
    <row r="31" spans="1:15">
      <c r="A31" s="33" t="s">
        <v>69</v>
      </c>
      <c r="B31" s="34" t="s">
        <v>70</v>
      </c>
      <c r="C31" s="34" t="s">
        <v>35</v>
      </c>
      <c r="D31" s="35">
        <f t="shared" si="0"/>
        <v>1</v>
      </c>
      <c r="E31" s="34">
        <v>5</v>
      </c>
      <c r="F31" s="34" t="s">
        <v>36</v>
      </c>
      <c r="G31" s="38">
        <f t="shared" si="1"/>
        <v>0</v>
      </c>
      <c r="H31" s="39">
        <v>383.000002778135</v>
      </c>
      <c r="I31" s="34"/>
      <c r="J31" s="34"/>
      <c r="K31" s="34"/>
      <c r="L31" s="39"/>
      <c r="M31" s="39"/>
      <c r="N31" s="48"/>
      <c r="O31" s="48"/>
    </row>
    <row r="32" spans="1:15">
      <c r="A32" s="33" t="s">
        <v>75</v>
      </c>
      <c r="B32" s="34" t="s">
        <v>76</v>
      </c>
      <c r="C32" s="34" t="s">
        <v>35</v>
      </c>
      <c r="D32" s="35">
        <f t="shared" si="0"/>
        <v>1</v>
      </c>
      <c r="E32" s="34">
        <v>3</v>
      </c>
      <c r="F32" s="34" t="s">
        <v>36</v>
      </c>
      <c r="G32" s="38">
        <f t="shared" si="1"/>
        <v>0</v>
      </c>
      <c r="H32" s="39">
        <v>272.000004490837</v>
      </c>
      <c r="I32" s="34"/>
      <c r="J32" s="34"/>
      <c r="K32" s="34"/>
      <c r="L32" s="39"/>
      <c r="M32" s="39"/>
      <c r="N32" s="48"/>
      <c r="O32" s="48"/>
    </row>
    <row r="33" spans="1:15">
      <c r="A33" s="33" t="s">
        <v>67</v>
      </c>
      <c r="B33" s="34" t="s">
        <v>68</v>
      </c>
      <c r="C33" s="34" t="s">
        <v>35</v>
      </c>
      <c r="D33" s="35">
        <f t="shared" si="0"/>
        <v>1</v>
      </c>
      <c r="E33" s="34">
        <v>3</v>
      </c>
      <c r="F33" s="34" t="s">
        <v>36</v>
      </c>
      <c r="G33" s="38">
        <f t="shared" si="1"/>
        <v>0</v>
      </c>
      <c r="H33" s="39">
        <v>475.999994971789</v>
      </c>
      <c r="I33" s="34"/>
      <c r="J33" s="34"/>
      <c r="K33" s="34"/>
      <c r="L33" s="39"/>
      <c r="M33" s="39"/>
      <c r="N33" s="48"/>
      <c r="O33" s="48"/>
    </row>
    <row r="34" spans="1:15">
      <c r="A34" s="33" t="s">
        <v>57</v>
      </c>
      <c r="B34" s="34" t="s">
        <v>58</v>
      </c>
      <c r="C34" s="34" t="s">
        <v>35</v>
      </c>
      <c r="D34" s="35">
        <f t="shared" si="0"/>
        <v>1</v>
      </c>
      <c r="E34" s="34">
        <v>3</v>
      </c>
      <c r="F34" s="34" t="s">
        <v>36</v>
      </c>
      <c r="G34" s="38">
        <f t="shared" si="1"/>
        <v>0</v>
      </c>
      <c r="H34" s="39">
        <v>149.999999231659</v>
      </c>
      <c r="I34" s="34"/>
      <c r="J34" s="34"/>
      <c r="K34" s="34"/>
      <c r="L34" s="39"/>
      <c r="M34" s="39"/>
      <c r="N34" s="48"/>
      <c r="O34" s="48"/>
    </row>
    <row r="35" spans="1:15">
      <c r="A35" s="33" t="s">
        <v>71</v>
      </c>
      <c r="B35" s="34" t="s">
        <v>72</v>
      </c>
      <c r="C35" s="34" t="s">
        <v>35</v>
      </c>
      <c r="D35" s="35">
        <f t="shared" si="0"/>
        <v>1</v>
      </c>
      <c r="E35" s="34">
        <v>3</v>
      </c>
      <c r="F35" s="34" t="s">
        <v>36</v>
      </c>
      <c r="G35" s="38">
        <f t="shared" si="1"/>
        <v>0</v>
      </c>
      <c r="H35" s="39">
        <v>288.999999663793</v>
      </c>
      <c r="I35" s="34"/>
      <c r="J35" s="34"/>
      <c r="K35" s="34"/>
      <c r="L35" s="39"/>
      <c r="M35" s="39"/>
      <c r="N35" s="48"/>
      <c r="O35" s="48"/>
    </row>
    <row r="36" spans="1:15">
      <c r="A36" s="33" t="s">
        <v>59</v>
      </c>
      <c r="B36" s="34" t="s">
        <v>60</v>
      </c>
      <c r="C36" s="34" t="s">
        <v>36</v>
      </c>
      <c r="D36" s="35">
        <f t="shared" si="0"/>
        <v>0</v>
      </c>
      <c r="E36" s="34">
        <v>1</v>
      </c>
      <c r="F36" s="34" t="s">
        <v>36</v>
      </c>
      <c r="G36" s="38">
        <f t="shared" si="1"/>
        <v>0</v>
      </c>
      <c r="H36" s="39">
        <v>1690.00000089873</v>
      </c>
      <c r="I36" s="34"/>
      <c r="J36" s="34"/>
      <c r="K36" s="34"/>
      <c r="L36" s="39"/>
      <c r="M36" s="39"/>
      <c r="N36" s="48"/>
      <c r="O36" s="48"/>
    </row>
    <row r="37" spans="1:15">
      <c r="A37" s="33" t="s">
        <v>75</v>
      </c>
      <c r="B37" s="34" t="s">
        <v>76</v>
      </c>
      <c r="C37" s="34" t="s">
        <v>36</v>
      </c>
      <c r="D37" s="35">
        <f t="shared" si="0"/>
        <v>0</v>
      </c>
      <c r="E37" s="34">
        <v>3</v>
      </c>
      <c r="F37" s="34" t="s">
        <v>35</v>
      </c>
      <c r="G37" s="38">
        <f t="shared" si="1"/>
        <v>1</v>
      </c>
      <c r="H37" s="39">
        <v>375.999995484017</v>
      </c>
      <c r="I37" s="34"/>
      <c r="J37" s="34"/>
      <c r="K37" s="34"/>
      <c r="L37" s="39"/>
      <c r="M37" s="39"/>
      <c r="N37" s="48"/>
      <c r="O37" s="48"/>
    </row>
    <row r="38" spans="1:15">
      <c r="A38" s="33" t="s">
        <v>63</v>
      </c>
      <c r="B38" s="34" t="s">
        <v>64</v>
      </c>
      <c r="C38" s="34" t="s">
        <v>36</v>
      </c>
      <c r="D38" s="35">
        <f t="shared" si="0"/>
        <v>0</v>
      </c>
      <c r="E38" s="34">
        <v>2</v>
      </c>
      <c r="F38" s="34" t="s">
        <v>36</v>
      </c>
      <c r="G38" s="38">
        <f t="shared" si="1"/>
        <v>0</v>
      </c>
      <c r="H38" s="39">
        <v>1671.99999606237</v>
      </c>
      <c r="I38" s="34"/>
      <c r="J38" s="34"/>
      <c r="K38" s="34"/>
      <c r="L38" s="39"/>
      <c r="M38" s="39"/>
      <c r="N38" s="48"/>
      <c r="O38" s="48"/>
    </row>
    <row r="39" spans="1:15">
      <c r="A39" s="33" t="s">
        <v>79</v>
      </c>
      <c r="B39" s="34" t="s">
        <v>80</v>
      </c>
      <c r="C39" s="34" t="s">
        <v>35</v>
      </c>
      <c r="D39" s="35">
        <f t="shared" si="0"/>
        <v>1</v>
      </c>
      <c r="E39" s="34">
        <v>4</v>
      </c>
      <c r="F39" s="34" t="s">
        <v>36</v>
      </c>
      <c r="G39" s="38">
        <f t="shared" si="1"/>
        <v>0</v>
      </c>
      <c r="H39" s="39">
        <v>1410.99999791477</v>
      </c>
      <c r="I39" s="34"/>
      <c r="J39" s="34"/>
      <c r="K39" s="34"/>
      <c r="L39" s="39"/>
      <c r="M39" s="39"/>
      <c r="N39" s="48"/>
      <c r="O39" s="48"/>
    </row>
    <row r="40" spans="1:15">
      <c r="A40" s="33" t="s">
        <v>69</v>
      </c>
      <c r="B40" s="34" t="s">
        <v>70</v>
      </c>
      <c r="C40" s="34" t="s">
        <v>35</v>
      </c>
      <c r="D40" s="35">
        <f t="shared" si="0"/>
        <v>1</v>
      </c>
      <c r="E40" s="34">
        <v>4</v>
      </c>
      <c r="F40" s="34" t="s">
        <v>36</v>
      </c>
      <c r="G40" s="38">
        <f t="shared" si="1"/>
        <v>0</v>
      </c>
      <c r="H40" s="39">
        <v>1786.99999339879</v>
      </c>
      <c r="I40" s="34"/>
      <c r="J40" s="34"/>
      <c r="K40" s="34"/>
      <c r="L40" s="39"/>
      <c r="M40" s="39"/>
      <c r="N40" s="48"/>
      <c r="O40" s="48"/>
    </row>
    <row r="41" spans="1:15">
      <c r="A41" s="33" t="s">
        <v>61</v>
      </c>
      <c r="B41" s="34" t="s">
        <v>62</v>
      </c>
      <c r="C41" s="34" t="s">
        <v>35</v>
      </c>
      <c r="D41" s="35">
        <f t="shared" si="0"/>
        <v>1</v>
      </c>
      <c r="E41" s="34">
        <v>5</v>
      </c>
      <c r="F41" s="34" t="s">
        <v>36</v>
      </c>
      <c r="G41" s="38">
        <f t="shared" si="1"/>
        <v>0</v>
      </c>
      <c r="H41" s="39">
        <v>1281.00000147242</v>
      </c>
      <c r="I41" s="34"/>
      <c r="J41" s="34"/>
      <c r="K41" s="34"/>
      <c r="L41" s="39"/>
      <c r="M41" s="39"/>
      <c r="N41" s="48"/>
      <c r="O41" s="48"/>
    </row>
    <row r="42" spans="1:15">
      <c r="A42" s="33" t="s">
        <v>57</v>
      </c>
      <c r="B42" s="34" t="s">
        <v>58</v>
      </c>
      <c r="C42" s="34" t="s">
        <v>35</v>
      </c>
      <c r="D42" s="35">
        <f t="shared" si="0"/>
        <v>1</v>
      </c>
      <c r="E42" s="34">
        <v>5</v>
      </c>
      <c r="F42" s="34" t="s">
        <v>36</v>
      </c>
      <c r="G42" s="38">
        <f t="shared" si="1"/>
        <v>0</v>
      </c>
      <c r="H42" s="39">
        <v>1510.99999740254</v>
      </c>
      <c r="I42" s="34"/>
      <c r="J42" s="34"/>
      <c r="K42" s="34"/>
      <c r="L42" s="39"/>
      <c r="M42" s="39"/>
      <c r="N42" s="48"/>
      <c r="O42" s="48"/>
    </row>
    <row r="43" spans="1:15">
      <c r="A43" s="33" t="s">
        <v>81</v>
      </c>
      <c r="B43" s="34" t="s">
        <v>82</v>
      </c>
      <c r="C43" s="34" t="s">
        <v>35</v>
      </c>
      <c r="D43" s="35">
        <f t="shared" si="0"/>
        <v>1</v>
      </c>
      <c r="E43" s="34">
        <v>4</v>
      </c>
      <c r="F43" s="34" t="s">
        <v>36</v>
      </c>
      <c r="G43" s="38">
        <f t="shared" si="1"/>
        <v>0</v>
      </c>
      <c r="H43" s="39">
        <v>315.000005741604</v>
      </c>
      <c r="I43" s="34"/>
      <c r="J43" s="34"/>
      <c r="K43" s="34"/>
      <c r="L43" s="39"/>
      <c r="M43" s="39"/>
      <c r="N43" s="48"/>
      <c r="O43" s="48"/>
    </row>
    <row r="44" spans="1:15">
      <c r="A44" s="33" t="s">
        <v>71</v>
      </c>
      <c r="B44" s="34" t="s">
        <v>72</v>
      </c>
      <c r="C44" s="34" t="s">
        <v>35</v>
      </c>
      <c r="D44" s="35">
        <f t="shared" si="0"/>
        <v>1</v>
      </c>
      <c r="E44" s="34">
        <v>3</v>
      </c>
      <c r="F44" s="34" t="s">
        <v>36</v>
      </c>
      <c r="G44" s="38">
        <f t="shared" si="1"/>
        <v>0</v>
      </c>
      <c r="H44" s="39">
        <v>1421.00000402424</v>
      </c>
      <c r="I44" s="34"/>
      <c r="J44" s="34"/>
      <c r="K44" s="34"/>
      <c r="L44" s="39"/>
      <c r="M44" s="39"/>
      <c r="N44" s="48"/>
      <c r="O44" s="48"/>
    </row>
    <row r="45" spans="1:15">
      <c r="A45" s="33" t="s">
        <v>67</v>
      </c>
      <c r="B45" s="34" t="s">
        <v>68</v>
      </c>
      <c r="C45" s="34" t="s">
        <v>35</v>
      </c>
      <c r="D45" s="35">
        <f t="shared" si="0"/>
        <v>1</v>
      </c>
      <c r="E45" s="34">
        <v>5</v>
      </c>
      <c r="F45" s="34" t="s">
        <v>36</v>
      </c>
      <c r="G45" s="38">
        <f t="shared" si="1"/>
        <v>0</v>
      </c>
      <c r="H45" s="39">
        <v>1247.00000295416</v>
      </c>
      <c r="I45" s="34"/>
      <c r="J45" s="34"/>
      <c r="K45" s="34"/>
      <c r="L45" s="39"/>
      <c r="M45" s="39"/>
      <c r="N45" s="48"/>
      <c r="O45" s="48"/>
    </row>
    <row r="46" spans="1:15">
      <c r="A46" s="33" t="s">
        <v>73</v>
      </c>
      <c r="B46" s="34" t="s">
        <v>74</v>
      </c>
      <c r="C46" s="34" t="s">
        <v>35</v>
      </c>
      <c r="D46" s="35">
        <f t="shared" si="0"/>
        <v>1</v>
      </c>
      <c r="E46" s="34">
        <v>3</v>
      </c>
      <c r="F46" s="34" t="s">
        <v>36</v>
      </c>
      <c r="G46" s="38">
        <f t="shared" si="1"/>
        <v>0</v>
      </c>
      <c r="H46" s="39">
        <v>640.999992680736</v>
      </c>
      <c r="I46" s="34"/>
      <c r="J46" s="34"/>
      <c r="K46" s="34"/>
      <c r="L46" s="39"/>
      <c r="M46" s="39"/>
      <c r="N46" s="48"/>
      <c r="O46" s="48"/>
    </row>
    <row r="47" spans="1:15">
      <c r="A47" s="33" t="s">
        <v>53</v>
      </c>
      <c r="B47" s="34" t="s">
        <v>54</v>
      </c>
      <c r="C47" s="34" t="s">
        <v>35</v>
      </c>
      <c r="D47" s="35">
        <f t="shared" si="0"/>
        <v>1</v>
      </c>
      <c r="E47" s="34">
        <v>3</v>
      </c>
      <c r="F47" s="34" t="s">
        <v>36</v>
      </c>
      <c r="G47" s="38">
        <f t="shared" si="1"/>
        <v>0</v>
      </c>
      <c r="H47" s="39">
        <v>361.000005179085</v>
      </c>
      <c r="I47" s="34"/>
      <c r="J47" s="34"/>
      <c r="K47" s="34"/>
      <c r="L47" s="39"/>
      <c r="M47" s="39"/>
      <c r="N47" s="48"/>
      <c r="O47" s="48"/>
    </row>
    <row r="48" spans="1:15">
      <c r="A48" s="33" t="s">
        <v>73</v>
      </c>
      <c r="B48" s="34" t="s">
        <v>74</v>
      </c>
      <c r="C48" s="34" t="s">
        <v>35</v>
      </c>
      <c r="D48" s="35">
        <f t="shared" si="0"/>
        <v>1</v>
      </c>
      <c r="E48" s="34">
        <v>3</v>
      </c>
      <c r="F48" s="34" t="s">
        <v>36</v>
      </c>
      <c r="G48" s="38">
        <f t="shared" si="1"/>
        <v>0</v>
      </c>
      <c r="H48" s="39">
        <v>845.999994082376</v>
      </c>
      <c r="I48" s="34"/>
      <c r="J48" s="34"/>
      <c r="K48" s="34"/>
      <c r="L48" s="39"/>
      <c r="M48" s="39"/>
      <c r="N48" s="48"/>
      <c r="O48" s="48"/>
    </row>
    <row r="49" spans="1:15">
      <c r="A49" s="33" t="s">
        <v>81</v>
      </c>
      <c r="B49" s="34" t="s">
        <v>82</v>
      </c>
      <c r="C49" s="34" t="s">
        <v>35</v>
      </c>
      <c r="D49" s="35">
        <f t="shared" si="0"/>
        <v>1</v>
      </c>
      <c r="E49" s="34">
        <v>3</v>
      </c>
      <c r="F49" s="34" t="s">
        <v>36</v>
      </c>
      <c r="G49" s="38">
        <f t="shared" si="1"/>
        <v>0</v>
      </c>
      <c r="H49" s="39">
        <v>507.99999742303</v>
      </c>
      <c r="I49" s="34"/>
      <c r="J49" s="34"/>
      <c r="K49" s="34"/>
      <c r="L49" s="39"/>
      <c r="M49" s="39"/>
      <c r="N49" s="48"/>
      <c r="O49" s="48"/>
    </row>
    <row r="50" spans="1:15">
      <c r="A50" s="33" t="s">
        <v>73</v>
      </c>
      <c r="B50" s="34" t="s">
        <v>74</v>
      </c>
      <c r="C50" s="34" t="s">
        <v>35</v>
      </c>
      <c r="D50" s="35">
        <f t="shared" si="0"/>
        <v>1</v>
      </c>
      <c r="E50" s="34">
        <v>3</v>
      </c>
      <c r="F50" s="34" t="s">
        <v>36</v>
      </c>
      <c r="G50" s="38">
        <f t="shared" si="1"/>
        <v>0</v>
      </c>
      <c r="H50" s="39">
        <v>1204.00000170339</v>
      </c>
      <c r="I50" s="34"/>
      <c r="J50" s="34"/>
      <c r="K50" s="34"/>
      <c r="L50" s="39"/>
      <c r="M50" s="39"/>
      <c r="N50" s="48"/>
      <c r="O50" s="48"/>
    </row>
    <row r="51" spans="1:15">
      <c r="A51" s="33" t="s">
        <v>71</v>
      </c>
      <c r="B51" s="34" t="s">
        <v>72</v>
      </c>
      <c r="C51" s="34" t="s">
        <v>36</v>
      </c>
      <c r="D51" s="35">
        <f t="shared" si="0"/>
        <v>0</v>
      </c>
      <c r="E51" s="34">
        <v>2</v>
      </c>
      <c r="F51" s="34" t="s">
        <v>36</v>
      </c>
      <c r="G51" s="38">
        <f t="shared" si="1"/>
        <v>0</v>
      </c>
      <c r="H51" s="39">
        <v>1599.0000047721</v>
      </c>
      <c r="I51" s="34"/>
      <c r="J51" s="34"/>
      <c r="K51" s="34"/>
      <c r="L51" s="39"/>
      <c r="M51" s="39"/>
      <c r="N51" s="48"/>
      <c r="O51" s="48"/>
    </row>
    <row r="52" spans="1:15">
      <c r="A52" s="33" t="s">
        <v>67</v>
      </c>
      <c r="B52" s="34" t="s">
        <v>68</v>
      </c>
      <c r="C52" s="34" t="s">
        <v>35</v>
      </c>
      <c r="D52" s="35">
        <f t="shared" si="0"/>
        <v>1</v>
      </c>
      <c r="E52" s="34">
        <v>3</v>
      </c>
      <c r="F52" s="34" t="s">
        <v>36</v>
      </c>
      <c r="G52" s="38">
        <f t="shared" si="1"/>
        <v>0</v>
      </c>
      <c r="H52" s="39">
        <v>1165.99999407772</v>
      </c>
      <c r="I52" s="34"/>
      <c r="J52" s="34"/>
      <c r="K52" s="34"/>
      <c r="L52" s="39"/>
      <c r="M52" s="39"/>
      <c r="N52" s="48"/>
      <c r="O52" s="48"/>
    </row>
    <row r="53" spans="1:15">
      <c r="A53" s="33" t="s">
        <v>71</v>
      </c>
      <c r="B53" s="34" t="s">
        <v>72</v>
      </c>
      <c r="C53" s="34" t="s">
        <v>36</v>
      </c>
      <c r="D53" s="35">
        <f t="shared" si="0"/>
        <v>0</v>
      </c>
      <c r="E53" s="34">
        <v>2</v>
      </c>
      <c r="F53" s="34" t="s">
        <v>36</v>
      </c>
      <c r="G53" s="38">
        <f t="shared" si="1"/>
        <v>0</v>
      </c>
      <c r="H53" s="39">
        <v>737.000000663102</v>
      </c>
      <c r="I53" s="34"/>
      <c r="J53" s="34"/>
      <c r="K53" s="34"/>
      <c r="L53" s="39"/>
      <c r="M53" s="39"/>
      <c r="N53" s="48"/>
      <c r="O53" s="48"/>
    </row>
    <row r="54" spans="1:15">
      <c r="A54" s="33" t="s">
        <v>63</v>
      </c>
      <c r="B54" s="34" t="s">
        <v>64</v>
      </c>
      <c r="C54" s="34" t="s">
        <v>35</v>
      </c>
      <c r="D54" s="35">
        <f t="shared" si="0"/>
        <v>1</v>
      </c>
      <c r="E54" s="34">
        <v>4</v>
      </c>
      <c r="F54" s="34" t="s">
        <v>36</v>
      </c>
      <c r="G54" s="38">
        <f t="shared" si="1"/>
        <v>0</v>
      </c>
      <c r="H54" s="39">
        <v>1627.00000691693</v>
      </c>
      <c r="I54" s="34"/>
      <c r="J54" s="34"/>
      <c r="K54" s="34"/>
      <c r="L54" s="39"/>
      <c r="M54" s="39"/>
      <c r="N54" s="48"/>
      <c r="O54" s="48"/>
    </row>
    <row r="55" spans="1:15">
      <c r="A55" s="33" t="s">
        <v>63</v>
      </c>
      <c r="B55" s="34" t="s">
        <v>64</v>
      </c>
      <c r="C55" s="34" t="s">
        <v>36</v>
      </c>
      <c r="D55" s="35">
        <f t="shared" si="0"/>
        <v>0</v>
      </c>
      <c r="E55" s="34">
        <v>2</v>
      </c>
      <c r="F55" s="34" t="s">
        <v>36</v>
      </c>
      <c r="G55" s="38">
        <f t="shared" si="1"/>
        <v>0</v>
      </c>
      <c r="H55" s="39">
        <v>1563.99999533314</v>
      </c>
      <c r="I55" s="34"/>
      <c r="J55" s="34"/>
      <c r="K55" s="34"/>
      <c r="L55" s="39"/>
      <c r="M55" s="39"/>
      <c r="N55" s="48"/>
      <c r="O55" s="48"/>
    </row>
    <row r="56" spans="1:15">
      <c r="A56" s="33" t="s">
        <v>59</v>
      </c>
      <c r="B56" s="34" t="s">
        <v>60</v>
      </c>
      <c r="C56" s="34" t="s">
        <v>35</v>
      </c>
      <c r="D56" s="35">
        <f t="shared" si="0"/>
        <v>1</v>
      </c>
      <c r="E56" s="34">
        <v>5</v>
      </c>
      <c r="F56" s="34" t="s">
        <v>36</v>
      </c>
      <c r="G56" s="38">
        <f t="shared" si="1"/>
        <v>0</v>
      </c>
      <c r="H56" s="39">
        <v>1780.999997654</v>
      </c>
      <c r="I56" s="34"/>
      <c r="J56" s="34"/>
      <c r="K56" s="34"/>
      <c r="L56" s="39"/>
      <c r="M56" s="39"/>
      <c r="N56" s="48"/>
      <c r="O56" s="48"/>
    </row>
    <row r="57" spans="1:15">
      <c r="A57" s="33" t="s">
        <v>55</v>
      </c>
      <c r="B57" s="34" t="s">
        <v>56</v>
      </c>
      <c r="C57" s="34" t="s">
        <v>35</v>
      </c>
      <c r="D57" s="35">
        <f t="shared" si="0"/>
        <v>1</v>
      </c>
      <c r="E57" s="34">
        <v>4</v>
      </c>
      <c r="F57" s="34" t="s">
        <v>36</v>
      </c>
      <c r="G57" s="38">
        <f t="shared" si="1"/>
        <v>0</v>
      </c>
      <c r="H57" s="39">
        <v>1004.99999604654</v>
      </c>
      <c r="I57" s="34"/>
      <c r="J57" s="34"/>
      <c r="K57" s="34"/>
      <c r="L57" s="39"/>
      <c r="M57" s="39"/>
      <c r="N57" s="48"/>
      <c r="O57" s="48"/>
    </row>
    <row r="58" spans="1:15">
      <c r="A58" s="33" t="s">
        <v>69</v>
      </c>
      <c r="B58" s="34" t="s">
        <v>70</v>
      </c>
      <c r="C58" s="34" t="s">
        <v>36</v>
      </c>
      <c r="D58" s="35">
        <f t="shared" si="0"/>
        <v>0</v>
      </c>
      <c r="E58" s="34">
        <v>3</v>
      </c>
      <c r="F58" s="34" t="s">
        <v>36</v>
      </c>
      <c r="G58" s="38">
        <f t="shared" si="1"/>
        <v>0</v>
      </c>
      <c r="H58" s="39">
        <v>1763.00000099</v>
      </c>
      <c r="I58" s="34"/>
      <c r="J58" s="34"/>
      <c r="K58" s="34"/>
      <c r="L58" s="39"/>
      <c r="M58" s="39"/>
      <c r="N58" s="48"/>
      <c r="O58" s="48"/>
    </row>
    <row r="59" spans="1:15">
      <c r="A59" s="33" t="s">
        <v>69</v>
      </c>
      <c r="B59" s="34" t="s">
        <v>70</v>
      </c>
      <c r="C59" s="34" t="s">
        <v>35</v>
      </c>
      <c r="D59" s="35">
        <f t="shared" si="0"/>
        <v>1</v>
      </c>
      <c r="E59" s="34">
        <v>3</v>
      </c>
      <c r="F59" s="34" t="s">
        <v>36</v>
      </c>
      <c r="G59" s="38">
        <f t="shared" si="1"/>
        <v>0</v>
      </c>
      <c r="H59" s="39">
        <v>142.000006791204</v>
      </c>
      <c r="I59" s="34"/>
      <c r="J59" s="34"/>
      <c r="K59" s="34"/>
      <c r="L59" s="39"/>
      <c r="M59" s="39"/>
      <c r="N59" s="48"/>
      <c r="O59" s="48"/>
    </row>
    <row r="60" spans="1:15">
      <c r="A60" s="33" t="s">
        <v>61</v>
      </c>
      <c r="B60" s="34" t="s">
        <v>62</v>
      </c>
      <c r="C60" s="34" t="s">
        <v>35</v>
      </c>
      <c r="D60" s="35">
        <f t="shared" si="0"/>
        <v>1</v>
      </c>
      <c r="E60" s="34">
        <v>5</v>
      </c>
      <c r="F60" s="34" t="s">
        <v>36</v>
      </c>
      <c r="G60" s="38">
        <f t="shared" si="1"/>
        <v>0</v>
      </c>
      <c r="H60" s="39">
        <v>1011.99999453966</v>
      </c>
      <c r="I60" s="34"/>
      <c r="J60" s="34"/>
      <c r="K60" s="34"/>
      <c r="L60" s="39"/>
      <c r="M60" s="39"/>
      <c r="N60" s="48"/>
      <c r="O60" s="48"/>
    </row>
    <row r="61" spans="1:15">
      <c r="A61" s="33" t="s">
        <v>71</v>
      </c>
      <c r="B61" s="34" t="s">
        <v>72</v>
      </c>
      <c r="C61" s="34" t="s">
        <v>35</v>
      </c>
      <c r="D61" s="35">
        <f t="shared" si="0"/>
        <v>1</v>
      </c>
      <c r="E61" s="34">
        <v>3</v>
      </c>
      <c r="F61" s="34" t="s">
        <v>36</v>
      </c>
      <c r="G61" s="38">
        <f t="shared" si="1"/>
        <v>0</v>
      </c>
      <c r="H61" s="39">
        <v>1244.99999808613</v>
      </c>
      <c r="I61" s="34"/>
      <c r="J61" s="34"/>
      <c r="K61" s="34"/>
      <c r="L61" s="39"/>
      <c r="M61" s="39"/>
      <c r="N61" s="48"/>
      <c r="O61" s="48"/>
    </row>
    <row r="62" spans="1:15">
      <c r="A62" s="33" t="s">
        <v>57</v>
      </c>
      <c r="B62" s="34" t="s">
        <v>58</v>
      </c>
      <c r="C62" s="34" t="s">
        <v>35</v>
      </c>
      <c r="D62" s="35">
        <f t="shared" si="0"/>
        <v>1</v>
      </c>
      <c r="E62" s="34">
        <v>4</v>
      </c>
      <c r="F62" s="34" t="s">
        <v>36</v>
      </c>
      <c r="G62" s="38">
        <f t="shared" si="1"/>
        <v>0</v>
      </c>
      <c r="H62" s="39">
        <v>1641.99999722186</v>
      </c>
      <c r="I62" s="34"/>
      <c r="J62" s="34"/>
      <c r="K62" s="34"/>
      <c r="L62" s="39"/>
      <c r="M62" s="39"/>
      <c r="N62" s="48"/>
      <c r="O62" s="48"/>
    </row>
    <row r="63" spans="1:15">
      <c r="A63" s="33" t="s">
        <v>75</v>
      </c>
      <c r="B63" s="34" t="s">
        <v>76</v>
      </c>
      <c r="C63" s="34" t="s">
        <v>36</v>
      </c>
      <c r="D63" s="35">
        <f t="shared" si="0"/>
        <v>0</v>
      </c>
      <c r="E63" s="34">
        <v>2</v>
      </c>
      <c r="F63" s="34" t="s">
        <v>35</v>
      </c>
      <c r="G63" s="38">
        <f t="shared" si="1"/>
        <v>1</v>
      </c>
      <c r="H63" s="39">
        <v>1385.99999458529</v>
      </c>
      <c r="I63" s="34"/>
      <c r="J63" s="34"/>
      <c r="K63" s="34"/>
      <c r="L63" s="39"/>
      <c r="M63" s="39"/>
      <c r="N63" s="48"/>
      <c r="O63" s="48"/>
    </row>
    <row r="64" spans="1:15">
      <c r="A64" s="33" t="s">
        <v>79</v>
      </c>
      <c r="B64" s="34" t="s">
        <v>80</v>
      </c>
      <c r="C64" s="34" t="s">
        <v>35</v>
      </c>
      <c r="D64" s="35">
        <f t="shared" si="0"/>
        <v>1</v>
      </c>
      <c r="E64" s="34">
        <v>5</v>
      </c>
      <c r="F64" s="34" t="s">
        <v>36</v>
      </c>
      <c r="G64" s="38">
        <f t="shared" si="1"/>
        <v>0</v>
      </c>
      <c r="H64" s="39">
        <v>1561.99999989476</v>
      </c>
      <c r="I64" s="34"/>
      <c r="J64" s="34"/>
      <c r="K64" s="34"/>
      <c r="L64" s="39"/>
      <c r="M64" s="39"/>
      <c r="N64" s="48"/>
      <c r="O64" s="48"/>
    </row>
    <row r="65" spans="1:15">
      <c r="A65" s="33" t="s">
        <v>77</v>
      </c>
      <c r="B65" s="34" t="s">
        <v>78</v>
      </c>
      <c r="C65" s="34" t="s">
        <v>35</v>
      </c>
      <c r="D65" s="35">
        <f t="shared" si="0"/>
        <v>1</v>
      </c>
      <c r="E65" s="34">
        <v>5</v>
      </c>
      <c r="F65" s="34" t="s">
        <v>36</v>
      </c>
      <c r="G65" s="38">
        <f t="shared" si="1"/>
        <v>0</v>
      </c>
      <c r="H65" s="39">
        <v>1760.99999612197</v>
      </c>
      <c r="I65" s="34"/>
      <c r="J65" s="34"/>
      <c r="K65" s="34"/>
      <c r="L65" s="39"/>
      <c r="M65" s="39"/>
      <c r="N65" s="48"/>
      <c r="O65" s="48"/>
    </row>
    <row r="66" spans="1:15">
      <c r="A66" s="33" t="s">
        <v>77</v>
      </c>
      <c r="B66" s="34" t="s">
        <v>78</v>
      </c>
      <c r="C66" s="34" t="s">
        <v>35</v>
      </c>
      <c r="D66" s="35">
        <f t="shared" ref="D66:D129" si="7">IF(C66="Y",1,0)</f>
        <v>1</v>
      </c>
      <c r="E66" s="34">
        <v>4</v>
      </c>
      <c r="F66" s="34" t="s">
        <v>36</v>
      </c>
      <c r="G66" s="38">
        <f t="shared" si="1"/>
        <v>0</v>
      </c>
      <c r="H66" s="39">
        <v>1071.99999913573</v>
      </c>
      <c r="I66" s="34"/>
      <c r="J66" s="34"/>
      <c r="K66" s="34"/>
      <c r="L66" s="39"/>
      <c r="M66" s="39"/>
      <c r="N66" s="48"/>
      <c r="O66" s="48"/>
    </row>
    <row r="67" spans="1:15">
      <c r="A67" s="33" t="s">
        <v>69</v>
      </c>
      <c r="B67" s="34" t="s">
        <v>70</v>
      </c>
      <c r="C67" s="34" t="s">
        <v>35</v>
      </c>
      <c r="D67" s="35">
        <f t="shared" si="7"/>
        <v>1</v>
      </c>
      <c r="E67" s="34">
        <v>5</v>
      </c>
      <c r="F67" s="34" t="s">
        <v>36</v>
      </c>
      <c r="G67" s="38">
        <f t="shared" ref="G67:G130" si="8">IF(F67="Y",1,0)</f>
        <v>0</v>
      </c>
      <c r="H67" s="39">
        <v>1117.99999920186</v>
      </c>
      <c r="I67" s="34"/>
      <c r="J67" s="34"/>
      <c r="K67" s="34"/>
      <c r="L67" s="39"/>
      <c r="M67" s="39"/>
      <c r="N67" s="48"/>
      <c r="O67" s="48"/>
    </row>
    <row r="68" spans="1:15">
      <c r="A68" s="33" t="s">
        <v>63</v>
      </c>
      <c r="B68" s="34" t="s">
        <v>64</v>
      </c>
      <c r="C68" s="34" t="s">
        <v>36</v>
      </c>
      <c r="D68" s="35">
        <f t="shared" si="7"/>
        <v>0</v>
      </c>
      <c r="E68" s="34">
        <v>3</v>
      </c>
      <c r="F68" s="34" t="s">
        <v>36</v>
      </c>
      <c r="G68" s="38">
        <f t="shared" si="8"/>
        <v>0</v>
      </c>
      <c r="H68" s="39">
        <v>1064.99999184161</v>
      </c>
      <c r="I68" s="34"/>
      <c r="J68" s="34"/>
      <c r="K68" s="34"/>
      <c r="L68" s="39"/>
      <c r="M68" s="39"/>
      <c r="N68" s="48"/>
      <c r="O68" s="48"/>
    </row>
    <row r="69" spans="1:15">
      <c r="A69" s="33" t="s">
        <v>53</v>
      </c>
      <c r="B69" s="34" t="s">
        <v>54</v>
      </c>
      <c r="C69" s="34" t="s">
        <v>35</v>
      </c>
      <c r="D69" s="35">
        <f t="shared" si="7"/>
        <v>1</v>
      </c>
      <c r="E69" s="34">
        <v>4</v>
      </c>
      <c r="F69" s="34" t="s">
        <v>36</v>
      </c>
      <c r="G69" s="38">
        <f t="shared" si="8"/>
        <v>0</v>
      </c>
      <c r="H69" s="39">
        <v>1146.99999466538</v>
      </c>
      <c r="I69" s="34"/>
      <c r="J69" s="34"/>
      <c r="K69" s="34"/>
      <c r="L69" s="39"/>
      <c r="M69" s="39"/>
      <c r="N69" s="48"/>
      <c r="O69" s="48"/>
    </row>
    <row r="70" spans="1:15">
      <c r="A70" s="33" t="s">
        <v>67</v>
      </c>
      <c r="B70" s="34" t="s">
        <v>68</v>
      </c>
      <c r="C70" s="34" t="s">
        <v>36</v>
      </c>
      <c r="D70" s="35">
        <f t="shared" si="7"/>
        <v>0</v>
      </c>
      <c r="E70" s="34">
        <v>2</v>
      </c>
      <c r="F70" s="34" t="s">
        <v>36</v>
      </c>
      <c r="G70" s="38">
        <f t="shared" si="8"/>
        <v>0</v>
      </c>
      <c r="H70" s="39">
        <v>453.999997372739</v>
      </c>
      <c r="I70" s="34"/>
      <c r="J70" s="34"/>
      <c r="K70" s="34"/>
      <c r="L70" s="39"/>
      <c r="M70" s="39"/>
      <c r="N70" s="48"/>
      <c r="O70" s="48"/>
    </row>
    <row r="71" spans="1:15">
      <c r="A71" s="33" t="s">
        <v>77</v>
      </c>
      <c r="B71" s="34" t="s">
        <v>78</v>
      </c>
      <c r="C71" s="34" t="s">
        <v>36</v>
      </c>
      <c r="D71" s="35">
        <f t="shared" si="7"/>
        <v>0</v>
      </c>
      <c r="E71" s="34">
        <v>1</v>
      </c>
      <c r="F71" s="34" t="s">
        <v>35</v>
      </c>
      <c r="G71" s="38">
        <f t="shared" si="8"/>
        <v>1</v>
      </c>
      <c r="H71" s="39">
        <v>264.999997825362</v>
      </c>
      <c r="I71" s="34"/>
      <c r="J71" s="34"/>
      <c r="K71" s="34"/>
      <c r="L71" s="39"/>
      <c r="M71" s="39"/>
      <c r="N71" s="48"/>
      <c r="O71" s="48"/>
    </row>
    <row r="72" spans="1:15">
      <c r="A72" s="33" t="s">
        <v>61</v>
      </c>
      <c r="B72" s="34" t="s">
        <v>62</v>
      </c>
      <c r="C72" s="34" t="s">
        <v>35</v>
      </c>
      <c r="D72" s="35">
        <f t="shared" si="7"/>
        <v>1</v>
      </c>
      <c r="E72" s="34">
        <v>4</v>
      </c>
      <c r="F72" s="34" t="s">
        <v>36</v>
      </c>
      <c r="G72" s="38">
        <f t="shared" si="8"/>
        <v>0</v>
      </c>
      <c r="H72" s="39">
        <v>657.999996654689</v>
      </c>
      <c r="I72" s="34"/>
      <c r="J72" s="34"/>
      <c r="K72" s="34"/>
      <c r="L72" s="39"/>
      <c r="M72" s="39"/>
      <c r="N72" s="48"/>
      <c r="O72" s="48"/>
    </row>
    <row r="73" spans="1:15">
      <c r="A73" s="33" t="s">
        <v>73</v>
      </c>
      <c r="B73" s="34" t="s">
        <v>74</v>
      </c>
      <c r="C73" s="34" t="s">
        <v>35</v>
      </c>
      <c r="D73" s="35">
        <f t="shared" si="7"/>
        <v>1</v>
      </c>
      <c r="E73" s="34">
        <v>5</v>
      </c>
      <c r="F73" s="34" t="s">
        <v>36</v>
      </c>
      <c r="G73" s="38">
        <f t="shared" si="8"/>
        <v>0</v>
      </c>
      <c r="H73" s="39">
        <v>576.999996579252</v>
      </c>
      <c r="I73" s="34"/>
      <c r="J73" s="34"/>
      <c r="K73" s="34"/>
      <c r="L73" s="39"/>
      <c r="M73" s="39"/>
      <c r="N73" s="48"/>
      <c r="O73" s="48"/>
    </row>
    <row r="74" spans="1:15">
      <c r="A74" s="33" t="s">
        <v>53</v>
      </c>
      <c r="B74" s="34" t="s">
        <v>54</v>
      </c>
      <c r="C74" s="34" t="s">
        <v>36</v>
      </c>
      <c r="D74" s="35">
        <f t="shared" si="7"/>
        <v>0</v>
      </c>
      <c r="E74" s="34">
        <v>2</v>
      </c>
      <c r="F74" s="34" t="s">
        <v>35</v>
      </c>
      <c r="G74" s="38">
        <f t="shared" si="8"/>
        <v>1</v>
      </c>
      <c r="H74" s="39">
        <v>1721.00000123028</v>
      </c>
      <c r="I74" s="34"/>
      <c r="J74" s="34"/>
      <c r="K74" s="34"/>
      <c r="L74" s="39"/>
      <c r="M74" s="39"/>
      <c r="N74" s="48"/>
      <c r="O74" s="48"/>
    </row>
    <row r="75" spans="1:15">
      <c r="A75" s="33" t="s">
        <v>63</v>
      </c>
      <c r="B75" s="34" t="s">
        <v>64</v>
      </c>
      <c r="C75" s="34" t="s">
        <v>35</v>
      </c>
      <c r="D75" s="35">
        <f t="shared" si="7"/>
        <v>1</v>
      </c>
      <c r="E75" s="34">
        <v>4</v>
      </c>
      <c r="F75" s="34" t="s">
        <v>36</v>
      </c>
      <c r="G75" s="38">
        <f t="shared" si="8"/>
        <v>0</v>
      </c>
      <c r="H75" s="39">
        <v>838.999996217899</v>
      </c>
      <c r="I75" s="34"/>
      <c r="J75" s="34"/>
      <c r="K75" s="34"/>
      <c r="L75" s="39"/>
      <c r="M75" s="39"/>
      <c r="N75" s="48"/>
      <c r="O75" s="48"/>
    </row>
    <row r="76" spans="1:15">
      <c r="A76" s="33" t="s">
        <v>77</v>
      </c>
      <c r="B76" s="34" t="s">
        <v>78</v>
      </c>
      <c r="C76" s="34" t="s">
        <v>36</v>
      </c>
      <c r="D76" s="35">
        <f t="shared" si="7"/>
        <v>0</v>
      </c>
      <c r="E76" s="34">
        <v>1</v>
      </c>
      <c r="F76" s="34" t="s">
        <v>36</v>
      </c>
      <c r="G76" s="38">
        <f t="shared" si="8"/>
        <v>0</v>
      </c>
      <c r="H76" s="39">
        <v>263.000001758337</v>
      </c>
      <c r="I76" s="34"/>
      <c r="J76" s="34"/>
      <c r="K76" s="34"/>
      <c r="L76" s="39"/>
      <c r="M76" s="39"/>
      <c r="N76" s="48"/>
      <c r="O76" s="48"/>
    </row>
    <row r="77" spans="1:15">
      <c r="A77" s="33" t="s">
        <v>57</v>
      </c>
      <c r="B77" s="34" t="s">
        <v>58</v>
      </c>
      <c r="C77" s="34" t="s">
        <v>35</v>
      </c>
      <c r="D77" s="35">
        <f t="shared" si="7"/>
        <v>1</v>
      </c>
      <c r="E77" s="34">
        <v>4</v>
      </c>
      <c r="F77" s="34" t="s">
        <v>36</v>
      </c>
      <c r="G77" s="38">
        <f t="shared" si="8"/>
        <v>0</v>
      </c>
      <c r="H77" s="39">
        <v>1471.00000376813</v>
      </c>
      <c r="I77" s="34"/>
      <c r="J77" s="34"/>
      <c r="K77" s="34"/>
      <c r="L77" s="39"/>
      <c r="M77" s="39"/>
      <c r="N77" s="48"/>
      <c r="O77" s="48"/>
    </row>
    <row r="78" spans="1:15">
      <c r="A78" s="33" t="s">
        <v>71</v>
      </c>
      <c r="B78" s="34" t="s">
        <v>72</v>
      </c>
      <c r="C78" s="34" t="s">
        <v>36</v>
      </c>
      <c r="D78" s="35">
        <f t="shared" si="7"/>
        <v>0</v>
      </c>
      <c r="E78" s="34">
        <v>1</v>
      </c>
      <c r="F78" s="34" t="s">
        <v>35</v>
      </c>
      <c r="G78" s="38">
        <f t="shared" si="8"/>
        <v>1</v>
      </c>
      <c r="H78" s="39">
        <v>537.999995634891</v>
      </c>
      <c r="I78" s="34"/>
      <c r="J78" s="34"/>
      <c r="K78" s="34"/>
      <c r="L78" s="39"/>
      <c r="M78" s="39"/>
      <c r="N78" s="48"/>
      <c r="O78" s="48"/>
    </row>
    <row r="79" spans="1:15">
      <c r="A79" s="33" t="s">
        <v>81</v>
      </c>
      <c r="B79" s="34" t="s">
        <v>82</v>
      </c>
      <c r="C79" s="34" t="s">
        <v>36</v>
      </c>
      <c r="D79" s="35">
        <f t="shared" si="7"/>
        <v>0</v>
      </c>
      <c r="E79" s="34">
        <v>3</v>
      </c>
      <c r="F79" s="34" t="s">
        <v>36</v>
      </c>
      <c r="G79" s="38">
        <f t="shared" si="8"/>
        <v>0</v>
      </c>
      <c r="H79" s="39">
        <v>398.999995202757</v>
      </c>
      <c r="I79" s="34"/>
      <c r="J79" s="34"/>
      <c r="K79" s="34"/>
      <c r="L79" s="39"/>
      <c r="M79" s="39"/>
      <c r="N79" s="48"/>
      <c r="O79" s="48"/>
    </row>
    <row r="80" spans="1:15">
      <c r="A80" s="33" t="s">
        <v>59</v>
      </c>
      <c r="B80" s="34" t="s">
        <v>60</v>
      </c>
      <c r="C80" s="34" t="s">
        <v>35</v>
      </c>
      <c r="D80" s="35">
        <f t="shared" si="7"/>
        <v>1</v>
      </c>
      <c r="E80" s="34">
        <v>5</v>
      </c>
      <c r="F80" s="34" t="s">
        <v>36</v>
      </c>
      <c r="G80" s="38">
        <f t="shared" si="8"/>
        <v>0</v>
      </c>
      <c r="H80" s="39">
        <v>955.99999842234</v>
      </c>
      <c r="I80" s="34"/>
      <c r="J80" s="34"/>
      <c r="K80" s="34"/>
      <c r="L80" s="39"/>
      <c r="M80" s="39"/>
      <c r="N80" s="48"/>
      <c r="O80" s="48"/>
    </row>
    <row r="81" spans="1:15">
      <c r="A81" s="33" t="s">
        <v>67</v>
      </c>
      <c r="B81" s="34" t="s">
        <v>68</v>
      </c>
      <c r="C81" s="34" t="s">
        <v>35</v>
      </c>
      <c r="D81" s="35">
        <f t="shared" si="7"/>
        <v>1</v>
      </c>
      <c r="E81" s="34">
        <v>5</v>
      </c>
      <c r="F81" s="34" t="s">
        <v>36</v>
      </c>
      <c r="G81" s="38">
        <f t="shared" si="8"/>
        <v>0</v>
      </c>
      <c r="H81" s="39">
        <v>1772.00000309385</v>
      </c>
      <c r="I81" s="34"/>
      <c r="J81" s="34"/>
      <c r="K81" s="34"/>
      <c r="L81" s="39"/>
      <c r="M81" s="39"/>
      <c r="N81" s="48"/>
      <c r="O81" s="48"/>
    </row>
    <row r="82" spans="1:15">
      <c r="A82" s="33" t="s">
        <v>55</v>
      </c>
      <c r="B82" s="34" t="s">
        <v>56</v>
      </c>
      <c r="C82" s="34" t="s">
        <v>35</v>
      </c>
      <c r="D82" s="35">
        <f t="shared" si="7"/>
        <v>1</v>
      </c>
      <c r="E82" s="34">
        <v>4</v>
      </c>
      <c r="F82" s="34" t="s">
        <v>36</v>
      </c>
      <c r="G82" s="38">
        <f t="shared" si="8"/>
        <v>0</v>
      </c>
      <c r="H82" s="39">
        <v>1394.00000337046</v>
      </c>
      <c r="I82" s="34"/>
      <c r="J82" s="34"/>
      <c r="K82" s="34"/>
      <c r="L82" s="39"/>
      <c r="M82" s="39"/>
      <c r="N82" s="48"/>
      <c r="O82" s="48"/>
    </row>
    <row r="83" spans="1:15">
      <c r="A83" s="33" t="s">
        <v>57</v>
      </c>
      <c r="B83" s="34" t="s">
        <v>58</v>
      </c>
      <c r="C83" s="34" t="s">
        <v>35</v>
      </c>
      <c r="D83" s="35">
        <f t="shared" si="7"/>
        <v>1</v>
      </c>
      <c r="E83" s="34">
        <v>4</v>
      </c>
      <c r="F83" s="34" t="s">
        <v>36</v>
      </c>
      <c r="G83" s="38">
        <f t="shared" si="8"/>
        <v>0</v>
      </c>
      <c r="H83" s="39">
        <v>717.000007303432</v>
      </c>
      <c r="I83" s="34"/>
      <c r="J83" s="34"/>
      <c r="K83" s="34"/>
      <c r="L83" s="39"/>
      <c r="M83" s="39"/>
      <c r="N83" s="48"/>
      <c r="O83" s="48"/>
    </row>
    <row r="84" spans="1:15">
      <c r="A84" s="33" t="s">
        <v>53</v>
      </c>
      <c r="B84" s="34" t="s">
        <v>54</v>
      </c>
      <c r="C84" s="34" t="s">
        <v>35</v>
      </c>
      <c r="D84" s="35">
        <f t="shared" si="7"/>
        <v>1</v>
      </c>
      <c r="E84" s="34">
        <v>3</v>
      </c>
      <c r="F84" s="34" t="s">
        <v>36</v>
      </c>
      <c r="G84" s="38">
        <f t="shared" si="8"/>
        <v>0</v>
      </c>
      <c r="H84" s="39">
        <v>704.000004264526</v>
      </c>
      <c r="I84" s="34"/>
      <c r="J84" s="34"/>
      <c r="K84" s="34"/>
      <c r="L84" s="39"/>
      <c r="M84" s="39"/>
      <c r="N84" s="48"/>
      <c r="O84" s="48"/>
    </row>
    <row r="85" spans="1:15">
      <c r="A85" s="33" t="s">
        <v>53</v>
      </c>
      <c r="B85" s="34" t="s">
        <v>54</v>
      </c>
      <c r="C85" s="34" t="s">
        <v>35</v>
      </c>
      <c r="D85" s="35">
        <f t="shared" si="7"/>
        <v>1</v>
      </c>
      <c r="E85" s="34">
        <v>3</v>
      </c>
      <c r="F85" s="34" t="s">
        <v>36</v>
      </c>
      <c r="G85" s="38">
        <f t="shared" si="8"/>
        <v>0</v>
      </c>
      <c r="H85" s="39">
        <v>444.000000692904</v>
      </c>
      <c r="I85" s="34"/>
      <c r="J85" s="34"/>
      <c r="K85" s="34"/>
      <c r="L85" s="39"/>
      <c r="M85" s="39"/>
      <c r="N85" s="48"/>
      <c r="O85" s="48"/>
    </row>
    <row r="86" spans="1:15">
      <c r="A86" s="33" t="s">
        <v>65</v>
      </c>
      <c r="B86" s="34" t="s">
        <v>66</v>
      </c>
      <c r="C86" s="34" t="s">
        <v>35</v>
      </c>
      <c r="D86" s="35">
        <f t="shared" si="7"/>
        <v>1</v>
      </c>
      <c r="E86" s="34">
        <v>3</v>
      </c>
      <c r="F86" s="34" t="s">
        <v>36</v>
      </c>
      <c r="G86" s="38">
        <f t="shared" si="8"/>
        <v>0</v>
      </c>
      <c r="H86" s="39">
        <v>957.000001170672</v>
      </c>
      <c r="I86" s="34"/>
      <c r="J86" s="34"/>
      <c r="K86" s="34"/>
      <c r="L86" s="39"/>
      <c r="M86" s="39"/>
      <c r="N86" s="48"/>
      <c r="O86" s="48"/>
    </row>
    <row r="87" spans="1:15">
      <c r="A87" s="33" t="s">
        <v>71</v>
      </c>
      <c r="B87" s="34" t="s">
        <v>72</v>
      </c>
      <c r="C87" s="34" t="s">
        <v>35</v>
      </c>
      <c r="D87" s="35">
        <f t="shared" si="7"/>
        <v>1</v>
      </c>
      <c r="E87" s="34">
        <v>3</v>
      </c>
      <c r="F87" s="34" t="s">
        <v>36</v>
      </c>
      <c r="G87" s="38">
        <f t="shared" si="8"/>
        <v>0</v>
      </c>
      <c r="H87" s="39">
        <v>1190.99999803584</v>
      </c>
      <c r="I87" s="34"/>
      <c r="J87" s="34"/>
      <c r="K87" s="34"/>
      <c r="L87" s="39"/>
      <c r="M87" s="39"/>
      <c r="N87" s="48"/>
      <c r="O87" s="48"/>
    </row>
    <row r="88" spans="1:15">
      <c r="A88" s="33" t="s">
        <v>53</v>
      </c>
      <c r="B88" s="34" t="s">
        <v>54</v>
      </c>
      <c r="C88" s="34" t="s">
        <v>35</v>
      </c>
      <c r="D88" s="35">
        <f t="shared" si="7"/>
        <v>1</v>
      </c>
      <c r="E88" s="34">
        <v>4</v>
      </c>
      <c r="F88" s="34" t="s">
        <v>36</v>
      </c>
      <c r="G88" s="38">
        <f t="shared" si="8"/>
        <v>0</v>
      </c>
      <c r="H88" s="39">
        <v>1526.99999862816</v>
      </c>
      <c r="I88" s="34"/>
      <c r="J88" s="34"/>
      <c r="K88" s="34"/>
      <c r="L88" s="39"/>
      <c r="M88" s="39"/>
      <c r="N88" s="48"/>
      <c r="O88" s="48"/>
    </row>
    <row r="89" spans="1:15">
      <c r="A89" s="33" t="s">
        <v>65</v>
      </c>
      <c r="B89" s="34" t="s">
        <v>66</v>
      </c>
      <c r="C89" s="34" t="s">
        <v>35</v>
      </c>
      <c r="D89" s="35">
        <f t="shared" si="7"/>
        <v>1</v>
      </c>
      <c r="E89" s="34">
        <v>4</v>
      </c>
      <c r="F89" s="34" t="s">
        <v>36</v>
      </c>
      <c r="G89" s="38">
        <f t="shared" si="8"/>
        <v>0</v>
      </c>
      <c r="H89" s="39">
        <v>1287.00000601821</v>
      </c>
      <c r="I89" s="34"/>
      <c r="J89" s="34"/>
      <c r="K89" s="34"/>
      <c r="L89" s="39"/>
      <c r="M89" s="39"/>
      <c r="N89" s="48"/>
      <c r="O89" s="48"/>
    </row>
    <row r="90" spans="1:15">
      <c r="A90" s="33" t="s">
        <v>69</v>
      </c>
      <c r="B90" s="34" t="s">
        <v>70</v>
      </c>
      <c r="C90" s="34" t="s">
        <v>35</v>
      </c>
      <c r="D90" s="35">
        <f t="shared" si="7"/>
        <v>1</v>
      </c>
      <c r="E90" s="34">
        <v>4</v>
      </c>
      <c r="F90" s="34" t="s">
        <v>36</v>
      </c>
      <c r="G90" s="38">
        <f t="shared" si="8"/>
        <v>0</v>
      </c>
      <c r="H90" s="39">
        <v>64.9999988498166</v>
      </c>
      <c r="I90" s="34"/>
      <c r="J90" s="34"/>
      <c r="K90" s="34"/>
      <c r="L90" s="39"/>
      <c r="M90" s="39"/>
      <c r="N90" s="48"/>
      <c r="O90" s="48"/>
    </row>
    <row r="91" spans="1:15">
      <c r="A91" s="33" t="s">
        <v>69</v>
      </c>
      <c r="B91" s="34" t="s">
        <v>70</v>
      </c>
      <c r="C91" s="34" t="s">
        <v>35</v>
      </c>
      <c r="D91" s="35">
        <f t="shared" si="7"/>
        <v>1</v>
      </c>
      <c r="E91" s="34">
        <v>4</v>
      </c>
      <c r="F91" s="34" t="s">
        <v>36</v>
      </c>
      <c r="G91" s="38">
        <f t="shared" si="8"/>
        <v>0</v>
      </c>
      <c r="H91" s="39">
        <v>718.999994569458</v>
      </c>
      <c r="I91" s="34"/>
      <c r="J91" s="34"/>
      <c r="K91" s="34"/>
      <c r="L91" s="39"/>
      <c r="M91" s="39"/>
      <c r="N91" s="48"/>
      <c r="O91" s="48"/>
    </row>
    <row r="92" spans="1:15">
      <c r="A92" s="33" t="s">
        <v>55</v>
      </c>
      <c r="B92" s="34" t="s">
        <v>56</v>
      </c>
      <c r="C92" s="34" t="s">
        <v>35</v>
      </c>
      <c r="D92" s="35">
        <f t="shared" si="7"/>
        <v>1</v>
      </c>
      <c r="E92" s="34">
        <v>3</v>
      </c>
      <c r="F92" s="34" t="s">
        <v>36</v>
      </c>
      <c r="G92" s="38">
        <f t="shared" si="8"/>
        <v>0</v>
      </c>
      <c r="H92" s="39">
        <v>1721.00000185892</v>
      </c>
      <c r="I92" s="34"/>
      <c r="J92" s="34"/>
      <c r="K92" s="34"/>
      <c r="L92" s="39"/>
      <c r="M92" s="39"/>
      <c r="N92" s="48"/>
      <c r="O92" s="48"/>
    </row>
    <row r="93" spans="1:15">
      <c r="A93" s="33" t="s">
        <v>75</v>
      </c>
      <c r="B93" s="34" t="s">
        <v>76</v>
      </c>
      <c r="C93" s="34" t="s">
        <v>35</v>
      </c>
      <c r="D93" s="35">
        <f t="shared" si="7"/>
        <v>1</v>
      </c>
      <c r="E93" s="34">
        <v>4</v>
      </c>
      <c r="F93" s="34" t="s">
        <v>36</v>
      </c>
      <c r="G93" s="38">
        <f t="shared" si="8"/>
        <v>0</v>
      </c>
      <c r="H93" s="39">
        <v>1789.99999221414</v>
      </c>
      <c r="I93" s="34"/>
      <c r="J93" s="34"/>
      <c r="K93" s="34"/>
      <c r="L93" s="39"/>
      <c r="M93" s="39"/>
      <c r="N93" s="48"/>
      <c r="O93" s="48"/>
    </row>
    <row r="94" spans="1:15">
      <c r="A94" s="33" t="s">
        <v>79</v>
      </c>
      <c r="B94" s="34" t="s">
        <v>80</v>
      </c>
      <c r="C94" s="34" t="s">
        <v>36</v>
      </c>
      <c r="D94" s="35">
        <f t="shared" si="7"/>
        <v>0</v>
      </c>
      <c r="E94" s="34">
        <v>2</v>
      </c>
      <c r="F94" s="34" t="s">
        <v>35</v>
      </c>
      <c r="G94" s="38">
        <f t="shared" si="8"/>
        <v>1</v>
      </c>
      <c r="H94" s="39">
        <v>1659.99999451451</v>
      </c>
      <c r="I94" s="34"/>
      <c r="J94" s="34"/>
      <c r="K94" s="34"/>
      <c r="L94" s="39"/>
      <c r="M94" s="39"/>
      <c r="N94" s="48"/>
      <c r="O94" s="48"/>
    </row>
    <row r="95" spans="1:15">
      <c r="A95" s="33" t="s">
        <v>79</v>
      </c>
      <c r="B95" s="34" t="s">
        <v>80</v>
      </c>
      <c r="C95" s="34" t="s">
        <v>36</v>
      </c>
      <c r="D95" s="35">
        <f t="shared" si="7"/>
        <v>0</v>
      </c>
      <c r="E95" s="34">
        <v>3</v>
      </c>
      <c r="F95" s="34" t="s">
        <v>35</v>
      </c>
      <c r="G95" s="38">
        <f t="shared" si="8"/>
        <v>1</v>
      </c>
      <c r="H95" s="39">
        <v>1530.99999893457</v>
      </c>
      <c r="I95" s="34"/>
      <c r="J95" s="34"/>
      <c r="K95" s="34"/>
      <c r="L95" s="39"/>
      <c r="M95" s="39"/>
      <c r="N95" s="48"/>
      <c r="O95" s="48"/>
    </row>
    <row r="96" spans="1:15">
      <c r="A96" s="33" t="s">
        <v>67</v>
      </c>
      <c r="B96" s="34" t="s">
        <v>68</v>
      </c>
      <c r="C96" s="34" t="s">
        <v>35</v>
      </c>
      <c r="D96" s="35">
        <f t="shared" si="7"/>
        <v>1</v>
      </c>
      <c r="E96" s="34">
        <v>3</v>
      </c>
      <c r="F96" s="34" t="s">
        <v>36</v>
      </c>
      <c r="G96" s="38">
        <f t="shared" si="8"/>
        <v>0</v>
      </c>
      <c r="H96" s="39">
        <v>1617.00000206474</v>
      </c>
      <c r="I96" s="34"/>
      <c r="J96" s="34"/>
      <c r="K96" s="34"/>
      <c r="L96" s="39"/>
      <c r="M96" s="39"/>
      <c r="N96" s="48"/>
      <c r="O96" s="48"/>
    </row>
    <row r="97" spans="1:15">
      <c r="A97" s="33" t="s">
        <v>55</v>
      </c>
      <c r="B97" s="34" t="s">
        <v>56</v>
      </c>
      <c r="C97" s="34" t="s">
        <v>35</v>
      </c>
      <c r="D97" s="35">
        <f t="shared" si="7"/>
        <v>1</v>
      </c>
      <c r="E97" s="34">
        <v>5</v>
      </c>
      <c r="F97" s="34" t="s">
        <v>36</v>
      </c>
      <c r="G97" s="38">
        <f t="shared" si="8"/>
        <v>0</v>
      </c>
      <c r="H97" s="39">
        <v>827.000003471039</v>
      </c>
      <c r="I97" s="34"/>
      <c r="J97" s="34"/>
      <c r="K97" s="34"/>
      <c r="L97" s="39"/>
      <c r="M97" s="39"/>
      <c r="N97" s="48"/>
      <c r="O97" s="48"/>
    </row>
    <row r="98" spans="1:15">
      <c r="A98" s="33" t="s">
        <v>63</v>
      </c>
      <c r="B98" s="34" t="s">
        <v>64</v>
      </c>
      <c r="C98" s="34" t="s">
        <v>35</v>
      </c>
      <c r="D98" s="35">
        <f t="shared" si="7"/>
        <v>1</v>
      </c>
      <c r="E98" s="34">
        <v>3</v>
      </c>
      <c r="F98" s="34" t="s">
        <v>36</v>
      </c>
      <c r="G98" s="38">
        <f t="shared" si="8"/>
        <v>0</v>
      </c>
      <c r="H98" s="39">
        <v>1308.00000149757</v>
      </c>
      <c r="I98" s="34"/>
      <c r="J98" s="34"/>
      <c r="K98" s="34"/>
      <c r="L98" s="39"/>
      <c r="M98" s="39"/>
      <c r="N98" s="48"/>
      <c r="O98" s="48"/>
    </row>
    <row r="99" spans="1:15">
      <c r="A99" s="33" t="s">
        <v>65</v>
      </c>
      <c r="B99" s="34" t="s">
        <v>66</v>
      </c>
      <c r="C99" s="34" t="s">
        <v>35</v>
      </c>
      <c r="D99" s="35">
        <f t="shared" si="7"/>
        <v>1</v>
      </c>
      <c r="E99" s="34">
        <v>3</v>
      </c>
      <c r="F99" s="34" t="s">
        <v>36</v>
      </c>
      <c r="G99" s="38">
        <f t="shared" si="8"/>
        <v>0</v>
      </c>
      <c r="H99" s="39">
        <v>1425.00000370201</v>
      </c>
      <c r="I99" s="34"/>
      <c r="J99" s="34"/>
      <c r="K99" s="34"/>
      <c r="L99" s="39"/>
      <c r="M99" s="39"/>
      <c r="N99" s="48"/>
      <c r="O99" s="48"/>
    </row>
    <row r="100" spans="1:15">
      <c r="A100" s="33" t="s">
        <v>73</v>
      </c>
      <c r="B100" s="34" t="s">
        <v>74</v>
      </c>
      <c r="C100" s="34" t="s">
        <v>35</v>
      </c>
      <c r="D100" s="35">
        <f t="shared" si="7"/>
        <v>1</v>
      </c>
      <c r="E100" s="34">
        <v>4</v>
      </c>
      <c r="F100" s="34" t="s">
        <v>36</v>
      </c>
      <c r="G100" s="38">
        <f t="shared" si="8"/>
        <v>0</v>
      </c>
      <c r="H100" s="39">
        <v>1472.99999857787</v>
      </c>
      <c r="I100" s="34"/>
      <c r="J100" s="34"/>
      <c r="K100" s="34"/>
      <c r="L100" s="39"/>
      <c r="M100" s="39"/>
      <c r="N100" s="48"/>
      <c r="O100" s="48"/>
    </row>
    <row r="101" spans="1:15">
      <c r="A101" s="33" t="s">
        <v>57</v>
      </c>
      <c r="B101" s="34" t="s">
        <v>58</v>
      </c>
      <c r="C101" s="34" t="s">
        <v>35</v>
      </c>
      <c r="D101" s="35">
        <f t="shared" si="7"/>
        <v>1</v>
      </c>
      <c r="E101" s="34">
        <v>3</v>
      </c>
      <c r="F101" s="34" t="s">
        <v>36</v>
      </c>
      <c r="G101" s="38">
        <f t="shared" si="8"/>
        <v>0</v>
      </c>
      <c r="H101" s="39">
        <v>1237.00000564568</v>
      </c>
      <c r="I101" s="34"/>
      <c r="J101" s="34"/>
      <c r="K101" s="34"/>
      <c r="L101" s="39"/>
      <c r="M101" s="39"/>
      <c r="N101" s="48"/>
      <c r="O101" s="48"/>
    </row>
    <row r="102" spans="1:15">
      <c r="A102" s="33" t="s">
        <v>77</v>
      </c>
      <c r="B102" s="34" t="s">
        <v>78</v>
      </c>
      <c r="C102" s="34" t="s">
        <v>35</v>
      </c>
      <c r="D102" s="35">
        <f t="shared" si="7"/>
        <v>1</v>
      </c>
      <c r="E102" s="34">
        <v>3</v>
      </c>
      <c r="F102" s="34" t="s">
        <v>36</v>
      </c>
      <c r="G102" s="38">
        <f t="shared" si="8"/>
        <v>0</v>
      </c>
      <c r="H102" s="39">
        <v>1585.99999293219</v>
      </c>
      <c r="I102" s="34"/>
      <c r="J102" s="34"/>
      <c r="K102" s="34"/>
      <c r="L102" s="39"/>
      <c r="M102" s="39"/>
      <c r="N102" s="48"/>
      <c r="O102" s="48"/>
    </row>
    <row r="103" spans="1:15">
      <c r="A103" s="33" t="s">
        <v>53</v>
      </c>
      <c r="B103" s="34" t="s">
        <v>54</v>
      </c>
      <c r="C103" s="34" t="s">
        <v>35</v>
      </c>
      <c r="D103" s="35">
        <f t="shared" si="7"/>
        <v>1</v>
      </c>
      <c r="E103" s="34">
        <v>3</v>
      </c>
      <c r="F103" s="34" t="s">
        <v>36</v>
      </c>
      <c r="G103" s="38">
        <f t="shared" si="8"/>
        <v>0</v>
      </c>
      <c r="H103" s="39">
        <v>1536.00000198931</v>
      </c>
      <c r="I103" s="34"/>
      <c r="J103" s="34"/>
      <c r="K103" s="34"/>
      <c r="L103" s="39"/>
      <c r="M103" s="39"/>
      <c r="N103" s="48"/>
      <c r="O103" s="48"/>
    </row>
    <row r="104" spans="1:15">
      <c r="A104" s="33" t="s">
        <v>77</v>
      </c>
      <c r="B104" s="34" t="s">
        <v>78</v>
      </c>
      <c r="C104" s="34" t="s">
        <v>36</v>
      </c>
      <c r="D104" s="35">
        <f t="shared" si="7"/>
        <v>0</v>
      </c>
      <c r="E104" s="34">
        <v>3</v>
      </c>
      <c r="F104" s="34" t="s">
        <v>35</v>
      </c>
      <c r="G104" s="38">
        <f t="shared" si="8"/>
        <v>1</v>
      </c>
      <c r="H104" s="39">
        <v>664.000001200475</v>
      </c>
      <c r="I104" s="34"/>
      <c r="J104" s="34"/>
      <c r="K104" s="34"/>
      <c r="L104" s="39"/>
      <c r="M104" s="39"/>
      <c r="N104" s="48"/>
      <c r="O104" s="48"/>
    </row>
    <row r="105" spans="1:15">
      <c r="A105" s="33" t="s">
        <v>69</v>
      </c>
      <c r="B105" s="34" t="s">
        <v>70</v>
      </c>
      <c r="C105" s="34" t="s">
        <v>35</v>
      </c>
      <c r="D105" s="35">
        <f t="shared" si="7"/>
        <v>1</v>
      </c>
      <c r="E105" s="34">
        <v>4</v>
      </c>
      <c r="F105" s="34" t="s">
        <v>36</v>
      </c>
      <c r="G105" s="38">
        <f t="shared" si="8"/>
        <v>0</v>
      </c>
      <c r="H105" s="39">
        <v>1760.00000280328</v>
      </c>
      <c r="I105" s="34"/>
      <c r="J105" s="34"/>
      <c r="K105" s="34"/>
      <c r="L105" s="39"/>
      <c r="M105" s="39"/>
      <c r="N105" s="48"/>
      <c r="O105" s="48"/>
    </row>
    <row r="106" spans="1:15">
      <c r="A106" s="33" t="s">
        <v>63</v>
      </c>
      <c r="B106" s="34" t="s">
        <v>64</v>
      </c>
      <c r="C106" s="34" t="s">
        <v>35</v>
      </c>
      <c r="D106" s="35">
        <f t="shared" si="7"/>
        <v>1</v>
      </c>
      <c r="E106" s="34">
        <v>3</v>
      </c>
      <c r="F106" s="34" t="s">
        <v>36</v>
      </c>
      <c r="G106" s="38">
        <f t="shared" si="8"/>
        <v>0</v>
      </c>
      <c r="H106" s="39">
        <v>1603.99999902584</v>
      </c>
      <c r="I106" s="34"/>
      <c r="J106" s="34"/>
      <c r="K106" s="34"/>
      <c r="L106" s="39"/>
      <c r="M106" s="39"/>
      <c r="N106" s="48"/>
      <c r="O106" s="48"/>
    </row>
    <row r="107" spans="1:15">
      <c r="A107" s="33" t="s">
        <v>67</v>
      </c>
      <c r="B107" s="34" t="s">
        <v>68</v>
      </c>
      <c r="C107" s="34" t="s">
        <v>35</v>
      </c>
      <c r="D107" s="35">
        <f t="shared" si="7"/>
        <v>1</v>
      </c>
      <c r="E107" s="34">
        <v>3</v>
      </c>
      <c r="F107" s="34" t="s">
        <v>36</v>
      </c>
      <c r="G107" s="38">
        <f t="shared" si="8"/>
        <v>0</v>
      </c>
      <c r="H107" s="39">
        <v>1436.99999644887</v>
      </c>
      <c r="I107" s="34"/>
      <c r="J107" s="34"/>
      <c r="K107" s="34"/>
      <c r="L107" s="39"/>
      <c r="M107" s="39"/>
      <c r="N107" s="48"/>
      <c r="O107" s="48"/>
    </row>
    <row r="108" spans="1:15">
      <c r="A108" s="33" t="s">
        <v>53</v>
      </c>
      <c r="B108" s="34" t="s">
        <v>54</v>
      </c>
      <c r="C108" s="34" t="s">
        <v>36</v>
      </c>
      <c r="D108" s="35">
        <f t="shared" si="7"/>
        <v>0</v>
      </c>
      <c r="E108" s="34">
        <v>2</v>
      </c>
      <c r="F108" s="34" t="s">
        <v>35</v>
      </c>
      <c r="G108" s="38">
        <f t="shared" si="8"/>
        <v>1</v>
      </c>
      <c r="H108" s="39">
        <v>1209.00000350084</v>
      </c>
      <c r="I108" s="34"/>
      <c r="J108" s="34"/>
      <c r="K108" s="34"/>
      <c r="L108" s="39"/>
      <c r="M108" s="39"/>
      <c r="N108" s="48"/>
      <c r="O108" s="48"/>
    </row>
    <row r="109" spans="1:15">
      <c r="A109" s="33" t="s">
        <v>67</v>
      </c>
      <c r="B109" s="34" t="s">
        <v>68</v>
      </c>
      <c r="C109" s="34" t="s">
        <v>36</v>
      </c>
      <c r="D109" s="35">
        <f t="shared" si="7"/>
        <v>0</v>
      </c>
      <c r="E109" s="34">
        <v>3</v>
      </c>
      <c r="F109" s="34" t="s">
        <v>36</v>
      </c>
      <c r="G109" s="38">
        <f t="shared" si="8"/>
        <v>0</v>
      </c>
      <c r="H109" s="39">
        <v>151.999995298684</v>
      </c>
      <c r="I109" s="34"/>
      <c r="J109" s="34"/>
      <c r="K109" s="34"/>
      <c r="L109" s="39"/>
      <c r="M109" s="39"/>
      <c r="N109" s="48"/>
      <c r="O109" s="48"/>
    </row>
    <row r="110" spans="1:15">
      <c r="A110" s="33" t="s">
        <v>73</v>
      </c>
      <c r="B110" s="34" t="s">
        <v>74</v>
      </c>
      <c r="C110" s="34" t="s">
        <v>35</v>
      </c>
      <c r="D110" s="35">
        <f t="shared" si="7"/>
        <v>1</v>
      </c>
      <c r="E110" s="34">
        <v>4</v>
      </c>
      <c r="F110" s="34" t="s">
        <v>36</v>
      </c>
      <c r="G110" s="38">
        <f t="shared" si="8"/>
        <v>0</v>
      </c>
      <c r="H110" s="39">
        <v>1548.00000290852</v>
      </c>
      <c r="I110" s="34"/>
      <c r="J110" s="34"/>
      <c r="K110" s="34"/>
      <c r="L110" s="39"/>
      <c r="M110" s="39"/>
      <c r="N110" s="48"/>
      <c r="O110" s="48"/>
    </row>
    <row r="111" spans="1:15">
      <c r="A111" s="33" t="s">
        <v>55</v>
      </c>
      <c r="B111" s="34" t="s">
        <v>56</v>
      </c>
      <c r="C111" s="34" t="s">
        <v>35</v>
      </c>
      <c r="D111" s="35">
        <f t="shared" si="7"/>
        <v>1</v>
      </c>
      <c r="E111" s="34">
        <v>5</v>
      </c>
      <c r="F111" s="34" t="s">
        <v>36</v>
      </c>
      <c r="G111" s="38">
        <f t="shared" si="8"/>
        <v>0</v>
      </c>
      <c r="H111" s="39">
        <v>969.99999540858</v>
      </c>
      <c r="I111" s="34"/>
      <c r="J111" s="34"/>
      <c r="K111" s="34"/>
      <c r="L111" s="39"/>
      <c r="M111" s="39"/>
      <c r="N111" s="48"/>
      <c r="O111" s="48"/>
    </row>
    <row r="112" spans="1:15">
      <c r="A112" s="33" t="s">
        <v>69</v>
      </c>
      <c r="B112" s="34" t="s">
        <v>70</v>
      </c>
      <c r="C112" s="34" t="s">
        <v>35</v>
      </c>
      <c r="D112" s="35">
        <f t="shared" si="7"/>
        <v>1</v>
      </c>
      <c r="E112" s="34">
        <v>3</v>
      </c>
      <c r="F112" s="34" t="s">
        <v>36</v>
      </c>
      <c r="G112" s="38">
        <f t="shared" si="8"/>
        <v>0</v>
      </c>
      <c r="H112" s="39">
        <v>310.000003315508</v>
      </c>
      <c r="I112" s="34"/>
      <c r="J112" s="34"/>
      <c r="K112" s="34"/>
      <c r="L112" s="39"/>
      <c r="M112" s="39"/>
      <c r="N112" s="48"/>
      <c r="O112" s="48"/>
    </row>
    <row r="113" spans="1:15">
      <c r="A113" s="33" t="s">
        <v>55</v>
      </c>
      <c r="B113" s="34" t="s">
        <v>56</v>
      </c>
      <c r="C113" s="34" t="s">
        <v>36</v>
      </c>
      <c r="D113" s="35">
        <f t="shared" si="7"/>
        <v>0</v>
      </c>
      <c r="E113" s="34">
        <v>1</v>
      </c>
      <c r="F113" s="34" t="s">
        <v>35</v>
      </c>
      <c r="G113" s="38">
        <f t="shared" si="8"/>
        <v>1</v>
      </c>
      <c r="H113" s="39">
        <v>1671.00000211503</v>
      </c>
      <c r="I113" s="34"/>
      <c r="J113" s="34"/>
      <c r="K113" s="34"/>
      <c r="L113" s="39"/>
      <c r="M113" s="39"/>
      <c r="N113" s="48"/>
      <c r="O113" s="48"/>
    </row>
    <row r="114" spans="1:15">
      <c r="A114" s="33" t="s">
        <v>65</v>
      </c>
      <c r="B114" s="34" t="s">
        <v>66</v>
      </c>
      <c r="C114" s="34" t="s">
        <v>35</v>
      </c>
      <c r="D114" s="35">
        <f t="shared" si="7"/>
        <v>1</v>
      </c>
      <c r="E114" s="34">
        <v>3</v>
      </c>
      <c r="F114" s="34" t="s">
        <v>36</v>
      </c>
      <c r="G114" s="38">
        <f t="shared" si="8"/>
        <v>0</v>
      </c>
      <c r="H114" s="39">
        <v>1279.99999872409</v>
      </c>
      <c r="I114" s="34"/>
      <c r="J114" s="34"/>
      <c r="K114" s="34"/>
      <c r="L114" s="39"/>
      <c r="M114" s="39"/>
      <c r="N114" s="48"/>
      <c r="O114" s="48"/>
    </row>
    <row r="115" spans="1:15">
      <c r="A115" s="33" t="s">
        <v>57</v>
      </c>
      <c r="B115" s="34" t="s">
        <v>58</v>
      </c>
      <c r="C115" s="34" t="s">
        <v>36</v>
      </c>
      <c r="D115" s="35">
        <f t="shared" si="7"/>
        <v>0</v>
      </c>
      <c r="E115" s="34">
        <v>1</v>
      </c>
      <c r="F115" s="34" t="s">
        <v>36</v>
      </c>
      <c r="G115" s="38">
        <f t="shared" si="8"/>
        <v>0</v>
      </c>
      <c r="H115" s="39">
        <v>792.999996151775</v>
      </c>
      <c r="I115" s="34"/>
      <c r="J115" s="34"/>
      <c r="K115" s="34"/>
      <c r="L115" s="39"/>
      <c r="M115" s="39"/>
      <c r="N115" s="48"/>
      <c r="O115" s="48"/>
    </row>
    <row r="116" spans="1:15">
      <c r="A116" s="33" t="s">
        <v>59</v>
      </c>
      <c r="B116" s="34" t="s">
        <v>60</v>
      </c>
      <c r="C116" s="34" t="s">
        <v>35</v>
      </c>
      <c r="D116" s="35">
        <f t="shared" si="7"/>
        <v>1</v>
      </c>
      <c r="E116" s="34">
        <v>5</v>
      </c>
      <c r="F116" s="34" t="s">
        <v>36</v>
      </c>
      <c r="G116" s="38">
        <f t="shared" si="8"/>
        <v>0</v>
      </c>
      <c r="H116" s="39">
        <v>1035.00000305939</v>
      </c>
      <c r="I116" s="34"/>
      <c r="J116" s="34"/>
      <c r="K116" s="34"/>
      <c r="L116" s="39"/>
      <c r="M116" s="39"/>
      <c r="N116" s="48"/>
      <c r="O116" s="48"/>
    </row>
    <row r="117" spans="1:15">
      <c r="A117" s="33" t="s">
        <v>55</v>
      </c>
      <c r="B117" s="34" t="s">
        <v>56</v>
      </c>
      <c r="C117" s="34" t="s">
        <v>35</v>
      </c>
      <c r="D117" s="35">
        <f t="shared" si="7"/>
        <v>1</v>
      </c>
      <c r="E117" s="34">
        <v>3</v>
      </c>
      <c r="F117" s="34" t="s">
        <v>36</v>
      </c>
      <c r="G117" s="38">
        <f t="shared" si="8"/>
        <v>0</v>
      </c>
      <c r="H117" s="39">
        <v>1377.00000002515</v>
      </c>
      <c r="I117" s="34"/>
      <c r="J117" s="34"/>
      <c r="K117" s="34"/>
      <c r="L117" s="39"/>
      <c r="M117" s="39"/>
      <c r="N117" s="48"/>
      <c r="O117" s="48"/>
    </row>
    <row r="118" spans="1:15">
      <c r="A118" s="33" t="s">
        <v>73</v>
      </c>
      <c r="B118" s="34" t="s">
        <v>74</v>
      </c>
      <c r="C118" s="34" t="s">
        <v>36</v>
      </c>
      <c r="D118" s="35">
        <f t="shared" si="7"/>
        <v>0</v>
      </c>
      <c r="E118" s="34">
        <v>3</v>
      </c>
      <c r="F118" s="34" t="s">
        <v>35</v>
      </c>
      <c r="G118" s="38">
        <f t="shared" si="8"/>
        <v>1</v>
      </c>
      <c r="H118" s="39">
        <v>225.000002933666</v>
      </c>
      <c r="I118" s="34"/>
      <c r="J118" s="34"/>
      <c r="K118" s="34"/>
      <c r="L118" s="39"/>
      <c r="M118" s="39"/>
      <c r="N118" s="48"/>
      <c r="O118" s="48"/>
    </row>
    <row r="119" spans="1:15">
      <c r="A119" s="33" t="s">
        <v>75</v>
      </c>
      <c r="B119" s="34" t="s">
        <v>76</v>
      </c>
      <c r="C119" s="34" t="s">
        <v>35</v>
      </c>
      <c r="D119" s="35">
        <f t="shared" si="7"/>
        <v>1</v>
      </c>
      <c r="E119" s="34">
        <v>3</v>
      </c>
      <c r="F119" s="34" t="s">
        <v>36</v>
      </c>
      <c r="G119" s="38">
        <f t="shared" si="8"/>
        <v>0</v>
      </c>
      <c r="H119" s="39">
        <v>1145.99999254569</v>
      </c>
      <c r="I119" s="34"/>
      <c r="J119" s="34"/>
      <c r="K119" s="34"/>
      <c r="L119" s="39"/>
      <c r="M119" s="39"/>
      <c r="N119" s="48"/>
      <c r="O119" s="48"/>
    </row>
    <row r="120" spans="1:15">
      <c r="A120" s="33" t="s">
        <v>79</v>
      </c>
      <c r="B120" s="34" t="s">
        <v>80</v>
      </c>
      <c r="C120" s="34" t="s">
        <v>35</v>
      </c>
      <c r="D120" s="35">
        <f t="shared" si="7"/>
        <v>1</v>
      </c>
      <c r="E120" s="34">
        <v>3</v>
      </c>
      <c r="F120" s="34" t="s">
        <v>36</v>
      </c>
      <c r="G120" s="38">
        <f t="shared" si="8"/>
        <v>0</v>
      </c>
      <c r="H120" s="39">
        <v>526.999996835366</v>
      </c>
      <c r="I120" s="34"/>
      <c r="J120" s="34"/>
      <c r="K120" s="34"/>
      <c r="L120" s="39"/>
      <c r="M120" s="39"/>
      <c r="N120" s="48"/>
      <c r="O120" s="48"/>
    </row>
    <row r="121" spans="1:15">
      <c r="A121" s="33" t="s">
        <v>69</v>
      </c>
      <c r="B121" s="34" t="s">
        <v>70</v>
      </c>
      <c r="C121" s="34" t="s">
        <v>35</v>
      </c>
      <c r="D121" s="35">
        <f t="shared" si="7"/>
        <v>1</v>
      </c>
      <c r="E121" s="34">
        <v>3</v>
      </c>
      <c r="F121" s="34" t="s">
        <v>36</v>
      </c>
      <c r="G121" s="38">
        <f t="shared" si="8"/>
        <v>0</v>
      </c>
      <c r="H121" s="39">
        <v>826.000001351349</v>
      </c>
      <c r="I121" s="34"/>
      <c r="J121" s="34"/>
      <c r="K121" s="34"/>
      <c r="L121" s="39"/>
      <c r="M121" s="39"/>
      <c r="N121" s="48"/>
      <c r="O121" s="48"/>
    </row>
    <row r="122" spans="1:15">
      <c r="A122" s="33" t="s">
        <v>59</v>
      </c>
      <c r="B122" s="34" t="s">
        <v>60</v>
      </c>
      <c r="C122" s="34" t="s">
        <v>36</v>
      </c>
      <c r="D122" s="35">
        <f t="shared" si="7"/>
        <v>0</v>
      </c>
      <c r="E122" s="34">
        <v>2</v>
      </c>
      <c r="F122" s="34" t="s">
        <v>35</v>
      </c>
      <c r="G122" s="38">
        <f t="shared" si="8"/>
        <v>1</v>
      </c>
      <c r="H122" s="39">
        <v>1198.99999864865</v>
      </c>
      <c r="I122" s="34"/>
      <c r="J122" s="34"/>
      <c r="K122" s="34"/>
      <c r="L122" s="39"/>
      <c r="M122" s="39"/>
      <c r="N122" s="48"/>
      <c r="O122" s="48"/>
    </row>
    <row r="123" spans="1:15">
      <c r="A123" s="33" t="s">
        <v>63</v>
      </c>
      <c r="B123" s="34" t="s">
        <v>64</v>
      </c>
      <c r="C123" s="34" t="s">
        <v>35</v>
      </c>
      <c r="D123" s="35">
        <f t="shared" si="7"/>
        <v>1</v>
      </c>
      <c r="E123" s="34">
        <v>3</v>
      </c>
      <c r="F123" s="34" t="s">
        <v>36</v>
      </c>
      <c r="G123" s="38">
        <f t="shared" si="8"/>
        <v>0</v>
      </c>
      <c r="H123" s="39">
        <v>699.000001838431</v>
      </c>
      <c r="I123" s="34"/>
      <c r="J123" s="34"/>
      <c r="K123" s="34"/>
      <c r="L123" s="39"/>
      <c r="M123" s="39"/>
      <c r="N123" s="48"/>
      <c r="O123" s="48"/>
    </row>
    <row r="124" spans="1:15">
      <c r="A124" s="33" t="s">
        <v>79</v>
      </c>
      <c r="B124" s="34" t="s">
        <v>80</v>
      </c>
      <c r="C124" s="34" t="s">
        <v>35</v>
      </c>
      <c r="D124" s="35">
        <f t="shared" si="7"/>
        <v>1</v>
      </c>
      <c r="E124" s="34">
        <v>5</v>
      </c>
      <c r="F124" s="34" t="s">
        <v>36</v>
      </c>
      <c r="G124" s="38">
        <f t="shared" si="8"/>
        <v>0</v>
      </c>
      <c r="H124" s="39">
        <v>812.000004365109</v>
      </c>
      <c r="I124" s="34"/>
      <c r="J124" s="34"/>
      <c r="K124" s="34"/>
      <c r="L124" s="39"/>
      <c r="M124" s="39"/>
      <c r="N124" s="48"/>
      <c r="O124" s="48"/>
    </row>
    <row r="125" spans="1:15">
      <c r="A125" s="33" t="s">
        <v>77</v>
      </c>
      <c r="B125" s="34" t="s">
        <v>78</v>
      </c>
      <c r="C125" s="34" t="s">
        <v>35</v>
      </c>
      <c r="D125" s="35">
        <f t="shared" si="7"/>
        <v>1</v>
      </c>
      <c r="E125" s="34">
        <v>4</v>
      </c>
      <c r="F125" s="34" t="s">
        <v>36</v>
      </c>
      <c r="G125" s="38">
        <f t="shared" si="8"/>
        <v>0</v>
      </c>
      <c r="H125" s="39">
        <v>1406.99999823701</v>
      </c>
      <c r="I125" s="34"/>
      <c r="J125" s="34"/>
      <c r="K125" s="34"/>
      <c r="L125" s="39"/>
      <c r="M125" s="39"/>
      <c r="N125" s="48"/>
      <c r="O125" s="48"/>
    </row>
    <row r="126" spans="1:15">
      <c r="A126" s="33" t="s">
        <v>81</v>
      </c>
      <c r="B126" s="34" t="s">
        <v>82</v>
      </c>
      <c r="C126" s="34" t="s">
        <v>35</v>
      </c>
      <c r="D126" s="35">
        <f t="shared" si="7"/>
        <v>1</v>
      </c>
      <c r="E126" s="34">
        <v>3</v>
      </c>
      <c r="F126" s="34" t="s">
        <v>36</v>
      </c>
      <c r="G126" s="38">
        <f t="shared" si="8"/>
        <v>0</v>
      </c>
      <c r="H126" s="39">
        <v>352.999995765276</v>
      </c>
      <c r="I126" s="34"/>
      <c r="J126" s="34"/>
      <c r="K126" s="34"/>
      <c r="L126" s="39"/>
      <c r="M126" s="39"/>
      <c r="N126" s="48"/>
      <c r="O126" s="48"/>
    </row>
    <row r="127" spans="1:15">
      <c r="A127" s="33" t="s">
        <v>57</v>
      </c>
      <c r="B127" s="34" t="s">
        <v>58</v>
      </c>
      <c r="C127" s="34" t="s">
        <v>35</v>
      </c>
      <c r="D127" s="35">
        <f t="shared" si="7"/>
        <v>1</v>
      </c>
      <c r="E127" s="34">
        <v>4</v>
      </c>
      <c r="F127" s="34" t="s">
        <v>36</v>
      </c>
      <c r="G127" s="38">
        <f t="shared" si="8"/>
        <v>0</v>
      </c>
      <c r="H127" s="39">
        <v>919.000002346002</v>
      </c>
      <c r="I127" s="34"/>
      <c r="J127" s="34"/>
      <c r="K127" s="34"/>
      <c r="L127" s="39"/>
      <c r="M127" s="39"/>
      <c r="N127" s="48"/>
      <c r="O127" s="48"/>
    </row>
    <row r="128" spans="1:15">
      <c r="A128" s="33" t="s">
        <v>63</v>
      </c>
      <c r="B128" s="34" t="s">
        <v>64</v>
      </c>
      <c r="C128" s="34" t="s">
        <v>36</v>
      </c>
      <c r="D128" s="35">
        <f t="shared" si="7"/>
        <v>0</v>
      </c>
      <c r="E128" s="34">
        <v>2</v>
      </c>
      <c r="F128" s="34" t="s">
        <v>35</v>
      </c>
      <c r="G128" s="38">
        <f t="shared" si="8"/>
        <v>1</v>
      </c>
      <c r="H128" s="39">
        <v>377.999999723397</v>
      </c>
      <c r="I128" s="34"/>
      <c r="J128" s="34"/>
      <c r="K128" s="34"/>
      <c r="L128" s="39"/>
      <c r="M128" s="39"/>
      <c r="N128" s="48"/>
      <c r="O128" s="48"/>
    </row>
    <row r="129" spans="1:15">
      <c r="A129" s="33" t="s">
        <v>73</v>
      </c>
      <c r="B129" s="34" t="s">
        <v>74</v>
      </c>
      <c r="C129" s="34" t="s">
        <v>36</v>
      </c>
      <c r="D129" s="35">
        <f t="shared" si="7"/>
        <v>0</v>
      </c>
      <c r="E129" s="34">
        <v>3</v>
      </c>
      <c r="F129" s="34" t="s">
        <v>35</v>
      </c>
      <c r="G129" s="38">
        <f t="shared" si="8"/>
        <v>1</v>
      </c>
      <c r="H129" s="39">
        <v>501.000007730909</v>
      </c>
      <c r="I129" s="34"/>
      <c r="J129" s="34"/>
      <c r="K129" s="34"/>
      <c r="L129" s="39"/>
      <c r="M129" s="39"/>
      <c r="N129" s="48"/>
      <c r="O129" s="48"/>
    </row>
    <row r="130" spans="1:15">
      <c r="A130" s="33" t="s">
        <v>73</v>
      </c>
      <c r="B130" s="34" t="s">
        <v>74</v>
      </c>
      <c r="C130" s="34" t="s">
        <v>35</v>
      </c>
      <c r="D130" s="35">
        <f t="shared" ref="D130:D193" si="9">IF(C130="Y",1,0)</f>
        <v>1</v>
      </c>
      <c r="E130" s="34">
        <v>3</v>
      </c>
      <c r="F130" s="34" t="s">
        <v>36</v>
      </c>
      <c r="G130" s="38">
        <f t="shared" si="8"/>
        <v>0</v>
      </c>
      <c r="H130" s="39">
        <v>869.000002602115</v>
      </c>
      <c r="I130" s="34"/>
      <c r="J130" s="34"/>
      <c r="K130" s="34"/>
      <c r="L130" s="39"/>
      <c r="M130" s="39"/>
      <c r="N130" s="48"/>
      <c r="O130" s="48"/>
    </row>
    <row r="131" spans="1:15">
      <c r="A131" s="33" t="s">
        <v>63</v>
      </c>
      <c r="B131" s="34" t="s">
        <v>64</v>
      </c>
      <c r="C131" s="34" t="s">
        <v>35</v>
      </c>
      <c r="D131" s="35">
        <f t="shared" si="9"/>
        <v>1</v>
      </c>
      <c r="E131" s="34">
        <v>5</v>
      </c>
      <c r="F131" s="34" t="s">
        <v>36</v>
      </c>
      <c r="G131" s="38">
        <f t="shared" ref="G131:G194" si="10">IF(F131="Y",1,0)</f>
        <v>0</v>
      </c>
      <c r="H131" s="39">
        <v>75.0000037020072</v>
      </c>
      <c r="I131" s="34"/>
      <c r="J131" s="34"/>
      <c r="K131" s="34"/>
      <c r="L131" s="39"/>
      <c r="M131" s="39"/>
      <c r="N131" s="48"/>
      <c r="O131" s="48"/>
    </row>
    <row r="132" spans="1:15">
      <c r="A132" s="33" t="s">
        <v>65</v>
      </c>
      <c r="B132" s="34" t="s">
        <v>66</v>
      </c>
      <c r="C132" s="34" t="s">
        <v>35</v>
      </c>
      <c r="D132" s="35">
        <f t="shared" si="9"/>
        <v>1</v>
      </c>
      <c r="E132" s="34">
        <v>4</v>
      </c>
      <c r="F132" s="34" t="s">
        <v>36</v>
      </c>
      <c r="G132" s="38">
        <f t="shared" si="10"/>
        <v>0</v>
      </c>
      <c r="H132" s="39">
        <v>1578.99999443907</v>
      </c>
      <c r="I132" s="34"/>
      <c r="J132" s="34"/>
      <c r="K132" s="34"/>
      <c r="L132" s="39"/>
      <c r="M132" s="39"/>
      <c r="N132" s="48"/>
      <c r="O132" s="48"/>
    </row>
    <row r="133" spans="1:15">
      <c r="A133" s="33" t="s">
        <v>77</v>
      </c>
      <c r="B133" s="34" t="s">
        <v>78</v>
      </c>
      <c r="C133" s="34" t="s">
        <v>35</v>
      </c>
      <c r="D133" s="35">
        <f t="shared" si="9"/>
        <v>1</v>
      </c>
      <c r="E133" s="34">
        <v>3</v>
      </c>
      <c r="F133" s="34" t="s">
        <v>36</v>
      </c>
      <c r="G133" s="38">
        <f t="shared" si="10"/>
        <v>0</v>
      </c>
      <c r="H133" s="39">
        <v>914.999993238598</v>
      </c>
      <c r="I133" s="34"/>
      <c r="J133" s="34"/>
      <c r="K133" s="34"/>
      <c r="L133" s="39"/>
      <c r="M133" s="39"/>
      <c r="N133" s="48"/>
      <c r="O133" s="48"/>
    </row>
    <row r="134" spans="1:15">
      <c r="A134" s="33" t="s">
        <v>63</v>
      </c>
      <c r="B134" s="34" t="s">
        <v>64</v>
      </c>
      <c r="C134" s="34" t="s">
        <v>35</v>
      </c>
      <c r="D134" s="35">
        <f t="shared" si="9"/>
        <v>1</v>
      </c>
      <c r="E134" s="34">
        <v>4</v>
      </c>
      <c r="F134" s="34" t="s">
        <v>36</v>
      </c>
      <c r="G134" s="38">
        <f t="shared" si="10"/>
        <v>0</v>
      </c>
      <c r="H134" s="39">
        <v>801.000006194226</v>
      </c>
      <c r="I134" s="34"/>
      <c r="J134" s="34"/>
      <c r="K134" s="34"/>
      <c r="L134" s="39"/>
      <c r="M134" s="39"/>
      <c r="N134" s="48"/>
      <c r="O134" s="48"/>
    </row>
    <row r="135" spans="1:15">
      <c r="A135" s="33" t="s">
        <v>75</v>
      </c>
      <c r="B135" s="34" t="s">
        <v>76</v>
      </c>
      <c r="C135" s="34" t="s">
        <v>36</v>
      </c>
      <c r="D135" s="35">
        <f t="shared" si="9"/>
        <v>0</v>
      </c>
      <c r="E135" s="34">
        <v>3</v>
      </c>
      <c r="F135" s="34" t="s">
        <v>36</v>
      </c>
      <c r="G135" s="38">
        <f t="shared" si="10"/>
        <v>0</v>
      </c>
      <c r="H135" s="39">
        <v>1586.99999568053</v>
      </c>
      <c r="I135" s="34"/>
      <c r="J135" s="34"/>
      <c r="K135" s="34"/>
      <c r="L135" s="39"/>
      <c r="M135" s="39"/>
      <c r="N135" s="48"/>
      <c r="O135" s="48"/>
    </row>
    <row r="136" spans="1:15">
      <c r="A136" s="33" t="s">
        <v>75</v>
      </c>
      <c r="B136" s="34" t="s">
        <v>76</v>
      </c>
      <c r="C136" s="34" t="s">
        <v>35</v>
      </c>
      <c r="D136" s="35">
        <f t="shared" si="9"/>
        <v>1</v>
      </c>
      <c r="E136" s="34">
        <v>3</v>
      </c>
      <c r="F136" s="34" t="s">
        <v>36</v>
      </c>
      <c r="G136" s="38">
        <f t="shared" si="10"/>
        <v>0</v>
      </c>
      <c r="H136" s="39">
        <v>1737.00000308454</v>
      </c>
      <c r="I136" s="34"/>
      <c r="J136" s="34"/>
      <c r="K136" s="34"/>
      <c r="L136" s="39"/>
      <c r="M136" s="39"/>
      <c r="N136" s="48"/>
      <c r="O136" s="48"/>
    </row>
    <row r="137" spans="1:15">
      <c r="A137" s="33" t="s">
        <v>77</v>
      </c>
      <c r="B137" s="34" t="s">
        <v>78</v>
      </c>
      <c r="C137" s="34" t="s">
        <v>35</v>
      </c>
      <c r="D137" s="35">
        <f t="shared" si="9"/>
        <v>1</v>
      </c>
      <c r="E137" s="34">
        <v>5</v>
      </c>
      <c r="F137" s="34" t="s">
        <v>36</v>
      </c>
      <c r="G137" s="38">
        <f t="shared" si="10"/>
        <v>0</v>
      </c>
      <c r="H137" s="39">
        <v>1345.99999969359</v>
      </c>
      <c r="I137" s="34"/>
      <c r="J137" s="34"/>
      <c r="K137" s="34"/>
      <c r="L137" s="39"/>
      <c r="M137" s="39"/>
      <c r="N137" s="48"/>
      <c r="O137" s="48"/>
    </row>
    <row r="138" spans="1:15">
      <c r="A138" s="33" t="s">
        <v>53</v>
      </c>
      <c r="B138" s="34" t="s">
        <v>54</v>
      </c>
      <c r="C138" s="34" t="s">
        <v>35</v>
      </c>
      <c r="D138" s="35">
        <f t="shared" si="9"/>
        <v>1</v>
      </c>
      <c r="E138" s="34">
        <v>4</v>
      </c>
      <c r="F138" s="34" t="s">
        <v>36</v>
      </c>
      <c r="G138" s="38">
        <f t="shared" si="10"/>
        <v>0</v>
      </c>
      <c r="H138" s="39">
        <v>706.999993650243</v>
      </c>
      <c r="I138" s="34"/>
      <c r="J138" s="34"/>
      <c r="K138" s="34"/>
      <c r="L138" s="39"/>
      <c r="M138" s="39"/>
      <c r="N138" s="48"/>
      <c r="O138" s="48"/>
    </row>
    <row r="139" spans="1:15">
      <c r="A139" s="33" t="s">
        <v>63</v>
      </c>
      <c r="B139" s="34" t="s">
        <v>64</v>
      </c>
      <c r="C139" s="34" t="s">
        <v>36</v>
      </c>
      <c r="D139" s="35">
        <f t="shared" si="9"/>
        <v>0</v>
      </c>
      <c r="E139" s="34">
        <v>2</v>
      </c>
      <c r="F139" s="34" t="s">
        <v>36</v>
      </c>
      <c r="G139" s="38">
        <f t="shared" si="10"/>
        <v>0</v>
      </c>
      <c r="H139" s="39">
        <v>210.999997146428</v>
      </c>
      <c r="I139" s="34"/>
      <c r="J139" s="34"/>
      <c r="K139" s="34"/>
      <c r="L139" s="39"/>
      <c r="M139" s="39"/>
      <c r="N139" s="48"/>
      <c r="O139" s="48"/>
    </row>
    <row r="140" spans="1:15">
      <c r="A140" s="33" t="s">
        <v>79</v>
      </c>
      <c r="B140" s="34" t="s">
        <v>80</v>
      </c>
      <c r="C140" s="34" t="s">
        <v>35</v>
      </c>
      <c r="D140" s="35">
        <f t="shared" si="9"/>
        <v>1</v>
      </c>
      <c r="E140" s="34">
        <v>5</v>
      </c>
      <c r="F140" s="34" t="s">
        <v>36</v>
      </c>
      <c r="G140" s="38">
        <f t="shared" si="10"/>
        <v>0</v>
      </c>
      <c r="H140" s="39">
        <v>1097.99999704119</v>
      </c>
      <c r="I140" s="34"/>
      <c r="J140" s="34"/>
      <c r="K140" s="34"/>
      <c r="L140" s="39"/>
      <c r="M140" s="39"/>
      <c r="N140" s="48"/>
      <c r="O140" s="48"/>
    </row>
    <row r="141" spans="1:15">
      <c r="A141" s="33" t="s">
        <v>53</v>
      </c>
      <c r="B141" s="34" t="s">
        <v>54</v>
      </c>
      <c r="C141" s="34" t="s">
        <v>35</v>
      </c>
      <c r="D141" s="35">
        <f t="shared" si="9"/>
        <v>1</v>
      </c>
      <c r="E141" s="34">
        <v>4</v>
      </c>
      <c r="F141" s="34" t="s">
        <v>36</v>
      </c>
      <c r="G141" s="38">
        <f t="shared" si="10"/>
        <v>0</v>
      </c>
      <c r="H141" s="39">
        <v>1085.99999612197</v>
      </c>
      <c r="I141" s="34"/>
      <c r="J141" s="34"/>
      <c r="K141" s="34"/>
      <c r="L141" s="39"/>
      <c r="M141" s="39"/>
      <c r="N141" s="48"/>
      <c r="O141" s="48"/>
    </row>
    <row r="142" spans="1:15">
      <c r="A142" s="33" t="s">
        <v>71</v>
      </c>
      <c r="B142" s="34" t="s">
        <v>72</v>
      </c>
      <c r="C142" s="34" t="s">
        <v>35</v>
      </c>
      <c r="D142" s="35">
        <f t="shared" si="9"/>
        <v>1</v>
      </c>
      <c r="E142" s="34">
        <v>3</v>
      </c>
      <c r="F142" s="34" t="s">
        <v>36</v>
      </c>
      <c r="G142" s="38">
        <f t="shared" si="10"/>
        <v>0</v>
      </c>
      <c r="H142" s="39">
        <v>140.000002551824</v>
      </c>
      <c r="I142" s="34"/>
      <c r="J142" s="34"/>
      <c r="K142" s="34"/>
      <c r="L142" s="39"/>
      <c r="M142" s="39"/>
      <c r="N142" s="48"/>
      <c r="O142" s="48"/>
    </row>
    <row r="143" spans="1:15">
      <c r="A143" s="33" t="s">
        <v>69</v>
      </c>
      <c r="B143" s="34" t="s">
        <v>70</v>
      </c>
      <c r="C143" s="34" t="s">
        <v>35</v>
      </c>
      <c r="D143" s="35">
        <f t="shared" si="9"/>
        <v>1</v>
      </c>
      <c r="E143" s="34">
        <v>3</v>
      </c>
      <c r="F143" s="34" t="s">
        <v>36</v>
      </c>
      <c r="G143" s="38">
        <f t="shared" si="10"/>
        <v>0</v>
      </c>
      <c r="H143" s="39">
        <v>1645.99999752827</v>
      </c>
      <c r="I143" s="34"/>
      <c r="J143" s="34"/>
      <c r="K143" s="34"/>
      <c r="L143" s="39"/>
      <c r="M143" s="39"/>
      <c r="N143" s="48"/>
      <c r="O143" s="48"/>
    </row>
    <row r="144" spans="1:15">
      <c r="A144" s="33" t="s">
        <v>69</v>
      </c>
      <c r="B144" s="34" t="s">
        <v>70</v>
      </c>
      <c r="C144" s="34" t="s">
        <v>35</v>
      </c>
      <c r="D144" s="35">
        <f t="shared" si="9"/>
        <v>1</v>
      </c>
      <c r="E144" s="34">
        <v>4</v>
      </c>
      <c r="F144" s="34" t="s">
        <v>36</v>
      </c>
      <c r="G144" s="38">
        <f t="shared" si="10"/>
        <v>0</v>
      </c>
      <c r="H144" s="39">
        <v>1541.99999836273</v>
      </c>
      <c r="I144" s="34"/>
      <c r="J144" s="34"/>
      <c r="K144" s="34"/>
      <c r="L144" s="39"/>
      <c r="M144" s="39"/>
      <c r="N144" s="48"/>
      <c r="O144" s="48"/>
    </row>
    <row r="145" spans="1:15">
      <c r="A145" s="33" t="s">
        <v>67</v>
      </c>
      <c r="B145" s="34" t="s">
        <v>68</v>
      </c>
      <c r="C145" s="34" t="s">
        <v>35</v>
      </c>
      <c r="D145" s="35">
        <f t="shared" si="9"/>
        <v>1</v>
      </c>
      <c r="E145" s="34">
        <v>3</v>
      </c>
      <c r="F145" s="34" t="s">
        <v>36</v>
      </c>
      <c r="G145" s="38">
        <f t="shared" si="10"/>
        <v>0</v>
      </c>
      <c r="H145" s="39">
        <v>1510.99999803118</v>
      </c>
      <c r="I145" s="34"/>
      <c r="J145" s="34"/>
      <c r="K145" s="34"/>
      <c r="L145" s="39"/>
      <c r="M145" s="39"/>
      <c r="N145" s="48"/>
      <c r="O145" s="48"/>
    </row>
    <row r="146" spans="1:15">
      <c r="A146" s="33" t="s">
        <v>53</v>
      </c>
      <c r="B146" s="34" t="s">
        <v>54</v>
      </c>
      <c r="C146" s="34" t="s">
        <v>35</v>
      </c>
      <c r="D146" s="35">
        <f t="shared" si="9"/>
        <v>1</v>
      </c>
      <c r="E146" s="34">
        <v>3</v>
      </c>
      <c r="F146" s="34" t="s">
        <v>36</v>
      </c>
      <c r="G146" s="38">
        <f t="shared" si="10"/>
        <v>0</v>
      </c>
      <c r="H146" s="39">
        <v>1433.00000431482</v>
      </c>
      <c r="I146" s="34"/>
      <c r="J146" s="34"/>
      <c r="K146" s="34"/>
      <c r="L146" s="39"/>
      <c r="M146" s="39"/>
      <c r="N146" s="48"/>
      <c r="O146" s="48"/>
    </row>
    <row r="147" spans="1:15">
      <c r="A147" s="33" t="s">
        <v>65</v>
      </c>
      <c r="B147" s="34" t="s">
        <v>66</v>
      </c>
      <c r="C147" s="34" t="s">
        <v>35</v>
      </c>
      <c r="D147" s="35">
        <f t="shared" si="9"/>
        <v>1</v>
      </c>
      <c r="E147" s="34">
        <v>5</v>
      </c>
      <c r="F147" s="34" t="s">
        <v>36</v>
      </c>
      <c r="G147" s="38">
        <f t="shared" si="10"/>
        <v>0</v>
      </c>
      <c r="H147" s="39">
        <v>340.999994846061</v>
      </c>
      <c r="I147" s="34"/>
      <c r="J147" s="34"/>
      <c r="K147" s="34"/>
      <c r="L147" s="39"/>
      <c r="M147" s="39"/>
      <c r="N147" s="48"/>
      <c r="O147" s="48"/>
    </row>
    <row r="148" spans="1:15">
      <c r="A148" s="33" t="s">
        <v>79</v>
      </c>
      <c r="B148" s="34" t="s">
        <v>80</v>
      </c>
      <c r="C148" s="34" t="s">
        <v>36</v>
      </c>
      <c r="D148" s="35">
        <f t="shared" si="9"/>
        <v>0</v>
      </c>
      <c r="E148" s="34">
        <v>3</v>
      </c>
      <c r="F148" s="34" t="s">
        <v>35</v>
      </c>
      <c r="G148" s="38">
        <f t="shared" si="10"/>
        <v>1</v>
      </c>
      <c r="H148" s="39">
        <v>749.000001582317</v>
      </c>
      <c r="I148" s="34"/>
      <c r="J148" s="34"/>
      <c r="K148" s="34"/>
      <c r="L148" s="39"/>
      <c r="M148" s="39"/>
      <c r="N148" s="48"/>
      <c r="O148" s="48"/>
    </row>
    <row r="149" spans="1:15">
      <c r="A149" s="33" t="s">
        <v>63</v>
      </c>
      <c r="B149" s="34" t="s">
        <v>64</v>
      </c>
      <c r="C149" s="34" t="s">
        <v>35</v>
      </c>
      <c r="D149" s="35">
        <f t="shared" si="9"/>
        <v>1</v>
      </c>
      <c r="E149" s="34">
        <v>3</v>
      </c>
      <c r="F149" s="34" t="s">
        <v>36</v>
      </c>
      <c r="G149" s="38">
        <f t="shared" si="10"/>
        <v>0</v>
      </c>
      <c r="H149" s="39">
        <v>806.000007991679</v>
      </c>
      <c r="I149" s="34"/>
      <c r="J149" s="34"/>
      <c r="K149" s="34"/>
      <c r="L149" s="39"/>
      <c r="M149" s="39"/>
      <c r="N149" s="48"/>
      <c r="O149" s="48"/>
    </row>
    <row r="150" spans="1:15">
      <c r="A150" s="33" t="s">
        <v>75</v>
      </c>
      <c r="B150" s="34" t="s">
        <v>76</v>
      </c>
      <c r="C150" s="34" t="s">
        <v>35</v>
      </c>
      <c r="D150" s="35">
        <f t="shared" si="9"/>
        <v>1</v>
      </c>
      <c r="E150" s="34">
        <v>4</v>
      </c>
      <c r="F150" s="34" t="s">
        <v>36</v>
      </c>
      <c r="G150" s="38">
        <f t="shared" si="10"/>
        <v>0</v>
      </c>
      <c r="H150" s="39">
        <v>1019.99999515247</v>
      </c>
      <c r="I150" s="34"/>
      <c r="J150" s="34"/>
      <c r="K150" s="34"/>
      <c r="L150" s="39"/>
      <c r="M150" s="39"/>
      <c r="N150" s="48"/>
      <c r="O150" s="48"/>
    </row>
    <row r="151" spans="1:15">
      <c r="A151" s="33" t="s">
        <v>75</v>
      </c>
      <c r="B151" s="34" t="s">
        <v>76</v>
      </c>
      <c r="C151" s="34" t="s">
        <v>35</v>
      </c>
      <c r="D151" s="35">
        <f t="shared" si="9"/>
        <v>1</v>
      </c>
      <c r="E151" s="34">
        <v>4</v>
      </c>
      <c r="F151" s="34" t="s">
        <v>36</v>
      </c>
      <c r="G151" s="38">
        <f t="shared" si="10"/>
        <v>0</v>
      </c>
      <c r="H151" s="39">
        <v>467.999994358979</v>
      </c>
      <c r="I151" s="34"/>
      <c r="J151" s="34"/>
      <c r="K151" s="34"/>
      <c r="L151" s="39"/>
      <c r="M151" s="39"/>
      <c r="N151" s="48"/>
      <c r="O151" s="48"/>
    </row>
    <row r="152" spans="1:15">
      <c r="A152" s="33" t="s">
        <v>75</v>
      </c>
      <c r="B152" s="34" t="s">
        <v>76</v>
      </c>
      <c r="C152" s="34" t="s">
        <v>35</v>
      </c>
      <c r="D152" s="35">
        <f t="shared" si="9"/>
        <v>1</v>
      </c>
      <c r="E152" s="34">
        <v>3</v>
      </c>
      <c r="F152" s="34" t="s">
        <v>36</v>
      </c>
      <c r="G152" s="38">
        <f t="shared" si="10"/>
        <v>0</v>
      </c>
      <c r="H152" s="39">
        <v>642.999997548759</v>
      </c>
      <c r="I152" s="34"/>
      <c r="J152" s="34"/>
      <c r="K152" s="34"/>
      <c r="L152" s="39"/>
      <c r="M152" s="39"/>
      <c r="N152" s="48"/>
      <c r="O152" s="48"/>
    </row>
    <row r="153" spans="1:15">
      <c r="A153" s="33" t="s">
        <v>79</v>
      </c>
      <c r="B153" s="34" t="s">
        <v>80</v>
      </c>
      <c r="C153" s="34" t="s">
        <v>36</v>
      </c>
      <c r="D153" s="35">
        <f t="shared" si="9"/>
        <v>0</v>
      </c>
      <c r="E153" s="34">
        <v>3</v>
      </c>
      <c r="F153" s="34" t="s">
        <v>36</v>
      </c>
      <c r="G153" s="38">
        <f t="shared" si="10"/>
        <v>0</v>
      </c>
      <c r="H153" s="39">
        <v>1732.0000000298</v>
      </c>
      <c r="I153" s="34"/>
      <c r="J153" s="34"/>
      <c r="K153" s="34"/>
      <c r="L153" s="39"/>
      <c r="M153" s="39"/>
      <c r="N153" s="48"/>
      <c r="O153" s="48"/>
    </row>
    <row r="154" spans="1:15">
      <c r="A154" s="33" t="s">
        <v>59</v>
      </c>
      <c r="B154" s="34" t="s">
        <v>60</v>
      </c>
      <c r="C154" s="34" t="s">
        <v>36</v>
      </c>
      <c r="D154" s="35">
        <f t="shared" si="9"/>
        <v>0</v>
      </c>
      <c r="E154" s="34">
        <v>2</v>
      </c>
      <c r="F154" s="34" t="s">
        <v>35</v>
      </c>
      <c r="G154" s="38">
        <f t="shared" si="10"/>
        <v>1</v>
      </c>
      <c r="H154" s="39">
        <v>712.000004877336</v>
      </c>
      <c r="I154" s="34"/>
      <c r="J154" s="34"/>
      <c r="K154" s="34"/>
      <c r="L154" s="39"/>
      <c r="M154" s="39"/>
      <c r="N154" s="48"/>
      <c r="O154" s="48"/>
    </row>
    <row r="155" spans="1:15">
      <c r="A155" s="33" t="s">
        <v>61</v>
      </c>
      <c r="B155" s="34" t="s">
        <v>62</v>
      </c>
      <c r="C155" s="34" t="s">
        <v>35</v>
      </c>
      <c r="D155" s="35">
        <f t="shared" si="9"/>
        <v>1</v>
      </c>
      <c r="E155" s="34">
        <v>5</v>
      </c>
      <c r="F155" s="34" t="s">
        <v>36</v>
      </c>
      <c r="G155" s="38">
        <f t="shared" si="10"/>
        <v>0</v>
      </c>
      <c r="H155" s="39">
        <v>70.0000012759119</v>
      </c>
      <c r="I155" s="34"/>
      <c r="J155" s="34"/>
      <c r="K155" s="34"/>
      <c r="L155" s="39"/>
      <c r="M155" s="39"/>
      <c r="N155" s="48"/>
      <c r="O155" s="48"/>
    </row>
    <row r="156" spans="1:15">
      <c r="A156" s="33" t="s">
        <v>71</v>
      </c>
      <c r="B156" s="34" t="s">
        <v>72</v>
      </c>
      <c r="C156" s="34" t="s">
        <v>36</v>
      </c>
      <c r="D156" s="35">
        <f t="shared" si="9"/>
        <v>0</v>
      </c>
      <c r="E156" s="34">
        <v>2</v>
      </c>
      <c r="F156" s="34" t="s">
        <v>35</v>
      </c>
      <c r="G156" s="38">
        <f t="shared" si="10"/>
        <v>1</v>
      </c>
      <c r="H156" s="39">
        <v>1648.99999634363</v>
      </c>
      <c r="I156" s="34"/>
      <c r="J156" s="34"/>
      <c r="K156" s="34"/>
      <c r="L156" s="39"/>
      <c r="M156" s="39"/>
      <c r="N156" s="48"/>
      <c r="O156" s="48"/>
    </row>
    <row r="157" spans="1:15">
      <c r="A157" s="33" t="s">
        <v>77</v>
      </c>
      <c r="B157" s="34" t="s">
        <v>78</v>
      </c>
      <c r="C157" s="34" t="s">
        <v>36</v>
      </c>
      <c r="D157" s="35">
        <f t="shared" si="9"/>
        <v>0</v>
      </c>
      <c r="E157" s="34">
        <v>2</v>
      </c>
      <c r="F157" s="34" t="s">
        <v>36</v>
      </c>
      <c r="G157" s="38">
        <f t="shared" si="10"/>
        <v>0</v>
      </c>
      <c r="H157" s="39">
        <v>1082.99999793526</v>
      </c>
      <c r="I157" s="34"/>
      <c r="J157" s="34"/>
      <c r="K157" s="34"/>
      <c r="L157" s="39"/>
      <c r="M157" s="39"/>
      <c r="N157" s="48"/>
      <c r="O157" s="48"/>
    </row>
    <row r="158" spans="1:15">
      <c r="A158" s="33" t="s">
        <v>69</v>
      </c>
      <c r="B158" s="34" t="s">
        <v>70</v>
      </c>
      <c r="C158" s="34" t="s">
        <v>35</v>
      </c>
      <c r="D158" s="35">
        <f t="shared" si="9"/>
        <v>1</v>
      </c>
      <c r="E158" s="34">
        <v>5</v>
      </c>
      <c r="F158" s="34" t="s">
        <v>36</v>
      </c>
      <c r="G158" s="38">
        <f t="shared" si="10"/>
        <v>0</v>
      </c>
      <c r="H158" s="39">
        <v>1427.99999308772</v>
      </c>
      <c r="I158" s="34"/>
      <c r="J158" s="34"/>
      <c r="K158" s="34"/>
      <c r="L158" s="39"/>
      <c r="M158" s="39"/>
      <c r="N158" s="48"/>
      <c r="O158" s="48"/>
    </row>
    <row r="159" spans="1:15">
      <c r="A159" s="33" t="s">
        <v>75</v>
      </c>
      <c r="B159" s="34" t="s">
        <v>76</v>
      </c>
      <c r="C159" s="34" t="s">
        <v>35</v>
      </c>
      <c r="D159" s="35">
        <f t="shared" si="9"/>
        <v>1</v>
      </c>
      <c r="E159" s="34">
        <v>3</v>
      </c>
      <c r="F159" s="34" t="s">
        <v>36</v>
      </c>
      <c r="G159" s="38">
        <f t="shared" si="10"/>
        <v>0</v>
      </c>
      <c r="H159" s="39">
        <v>858.999997121282</v>
      </c>
      <c r="I159" s="34"/>
      <c r="J159" s="34"/>
      <c r="K159" s="34"/>
      <c r="L159" s="39"/>
      <c r="M159" s="39"/>
      <c r="N159" s="48"/>
      <c r="O159" s="48"/>
    </row>
    <row r="160" spans="1:15">
      <c r="A160" s="33" t="s">
        <v>69</v>
      </c>
      <c r="B160" s="34" t="s">
        <v>70</v>
      </c>
      <c r="C160" s="34" t="s">
        <v>36</v>
      </c>
      <c r="D160" s="35">
        <f t="shared" si="9"/>
        <v>0</v>
      </c>
      <c r="E160" s="34">
        <v>3</v>
      </c>
      <c r="F160" s="34" t="s">
        <v>36</v>
      </c>
      <c r="G160" s="38">
        <f t="shared" si="10"/>
        <v>0</v>
      </c>
      <c r="H160" s="39">
        <v>1561.00000594743</v>
      </c>
      <c r="I160" s="34"/>
      <c r="J160" s="34"/>
      <c r="K160" s="34"/>
      <c r="L160" s="39"/>
      <c r="M160" s="39"/>
      <c r="N160" s="48"/>
      <c r="O160" s="48"/>
    </row>
    <row r="161" spans="1:15">
      <c r="A161" s="33" t="s">
        <v>53</v>
      </c>
      <c r="B161" s="34" t="s">
        <v>54</v>
      </c>
      <c r="C161" s="34" t="s">
        <v>35</v>
      </c>
      <c r="D161" s="35">
        <f t="shared" si="9"/>
        <v>1</v>
      </c>
      <c r="E161" s="34">
        <v>4</v>
      </c>
      <c r="F161" s="34" t="s">
        <v>36</v>
      </c>
      <c r="G161" s="38">
        <f t="shared" si="10"/>
        <v>0</v>
      </c>
      <c r="H161" s="39">
        <v>1352.99999818671</v>
      </c>
      <c r="I161" s="34"/>
      <c r="J161" s="34"/>
      <c r="K161" s="34"/>
      <c r="L161" s="39"/>
      <c r="M161" s="39"/>
      <c r="N161" s="48"/>
      <c r="O161" s="48"/>
    </row>
    <row r="162" spans="1:15">
      <c r="A162" s="33" t="s">
        <v>55</v>
      </c>
      <c r="B162" s="34" t="s">
        <v>56</v>
      </c>
      <c r="C162" s="34" t="s">
        <v>35</v>
      </c>
      <c r="D162" s="35">
        <f t="shared" si="9"/>
        <v>1</v>
      </c>
      <c r="E162" s="34">
        <v>5</v>
      </c>
      <c r="F162" s="34" t="s">
        <v>36</v>
      </c>
      <c r="G162" s="38">
        <f t="shared" si="10"/>
        <v>0</v>
      </c>
      <c r="H162" s="39">
        <v>468.000002531335</v>
      </c>
      <c r="I162" s="34"/>
      <c r="J162" s="34"/>
      <c r="K162" s="34"/>
      <c r="L162" s="39"/>
      <c r="M162" s="39"/>
      <c r="N162" s="48"/>
      <c r="O162" s="48"/>
    </row>
    <row r="163" spans="1:15">
      <c r="A163" s="33" t="s">
        <v>73</v>
      </c>
      <c r="B163" s="34" t="s">
        <v>74</v>
      </c>
      <c r="C163" s="34" t="s">
        <v>35</v>
      </c>
      <c r="D163" s="35">
        <f t="shared" si="9"/>
        <v>1</v>
      </c>
      <c r="E163" s="34">
        <v>3</v>
      </c>
      <c r="F163" s="34" t="s">
        <v>36</v>
      </c>
      <c r="G163" s="38">
        <f t="shared" si="10"/>
        <v>0</v>
      </c>
      <c r="H163" s="39">
        <v>450.999999186024</v>
      </c>
      <c r="I163" s="34"/>
      <c r="J163" s="34"/>
      <c r="K163" s="34"/>
      <c r="L163" s="39"/>
      <c r="M163" s="39"/>
      <c r="N163" s="48"/>
      <c r="O163" s="48"/>
    </row>
    <row r="164" spans="1:15">
      <c r="A164" s="33" t="s">
        <v>63</v>
      </c>
      <c r="B164" s="34" t="s">
        <v>64</v>
      </c>
      <c r="C164" s="34" t="s">
        <v>35</v>
      </c>
      <c r="D164" s="35">
        <f t="shared" si="9"/>
        <v>1</v>
      </c>
      <c r="E164" s="34">
        <v>4</v>
      </c>
      <c r="F164" s="34" t="s">
        <v>36</v>
      </c>
      <c r="G164" s="38">
        <f t="shared" si="10"/>
        <v>0</v>
      </c>
      <c r="H164" s="39">
        <v>1582.00000079814</v>
      </c>
      <c r="I164" s="34"/>
      <c r="J164" s="34"/>
      <c r="K164" s="34"/>
      <c r="L164" s="39"/>
      <c r="M164" s="39"/>
      <c r="N164" s="48"/>
      <c r="O164" s="48"/>
    </row>
    <row r="165" spans="1:15">
      <c r="A165" s="33" t="s">
        <v>69</v>
      </c>
      <c r="B165" s="34" t="s">
        <v>70</v>
      </c>
      <c r="C165" s="34" t="s">
        <v>35</v>
      </c>
      <c r="D165" s="35">
        <f t="shared" si="9"/>
        <v>1</v>
      </c>
      <c r="E165" s="34">
        <v>3</v>
      </c>
      <c r="F165" s="34" t="s">
        <v>36</v>
      </c>
      <c r="G165" s="38">
        <f t="shared" si="10"/>
        <v>0</v>
      </c>
      <c r="H165" s="39">
        <v>229.000003240071</v>
      </c>
      <c r="I165" s="34"/>
      <c r="J165" s="34"/>
      <c r="K165" s="34"/>
      <c r="L165" s="39"/>
      <c r="M165" s="39"/>
      <c r="N165" s="48"/>
      <c r="O165" s="48"/>
    </row>
    <row r="166" spans="1:15">
      <c r="A166" s="33" t="s">
        <v>75</v>
      </c>
      <c r="B166" s="34" t="s">
        <v>76</v>
      </c>
      <c r="C166" s="34" t="s">
        <v>35</v>
      </c>
      <c r="D166" s="35">
        <f t="shared" si="9"/>
        <v>1</v>
      </c>
      <c r="E166" s="34">
        <v>3</v>
      </c>
      <c r="F166" s="34" t="s">
        <v>36</v>
      </c>
      <c r="G166" s="38">
        <f t="shared" si="10"/>
        <v>0</v>
      </c>
      <c r="H166" s="39">
        <v>731.000004289672</v>
      </c>
      <c r="I166" s="34"/>
      <c r="J166" s="34"/>
      <c r="K166" s="34"/>
      <c r="L166" s="39"/>
      <c r="M166" s="39"/>
      <c r="N166" s="48"/>
      <c r="O166" s="48"/>
    </row>
    <row r="167" spans="1:15">
      <c r="A167" s="33" t="s">
        <v>71</v>
      </c>
      <c r="B167" s="34" t="s">
        <v>72</v>
      </c>
      <c r="C167" s="34" t="s">
        <v>35</v>
      </c>
      <c r="D167" s="35">
        <f t="shared" si="9"/>
        <v>1</v>
      </c>
      <c r="E167" s="34">
        <v>3</v>
      </c>
      <c r="F167" s="34" t="s">
        <v>36</v>
      </c>
      <c r="G167" s="38">
        <f t="shared" si="10"/>
        <v>0</v>
      </c>
      <c r="H167" s="39">
        <v>1548.00000290852</v>
      </c>
      <c r="I167" s="34"/>
      <c r="J167" s="34"/>
      <c r="K167" s="34"/>
      <c r="L167" s="39"/>
      <c r="M167" s="39"/>
      <c r="N167" s="48"/>
      <c r="O167" s="48"/>
    </row>
    <row r="168" spans="1:15">
      <c r="A168" s="33" t="s">
        <v>57</v>
      </c>
      <c r="B168" s="34" t="s">
        <v>58</v>
      </c>
      <c r="C168" s="34" t="s">
        <v>35</v>
      </c>
      <c r="D168" s="35">
        <f t="shared" si="9"/>
        <v>1</v>
      </c>
      <c r="E168" s="34">
        <v>4</v>
      </c>
      <c r="F168" s="34" t="s">
        <v>36</v>
      </c>
      <c r="G168" s="38">
        <f t="shared" si="10"/>
        <v>0</v>
      </c>
      <c r="H168" s="39">
        <v>1699.99999757856</v>
      </c>
      <c r="I168" s="34"/>
      <c r="J168" s="34"/>
      <c r="K168" s="34"/>
      <c r="L168" s="39"/>
      <c r="M168" s="39"/>
      <c r="N168" s="48"/>
      <c r="O168" s="48"/>
    </row>
    <row r="169" spans="1:15">
      <c r="A169" s="33" t="s">
        <v>55</v>
      </c>
      <c r="B169" s="34" t="s">
        <v>56</v>
      </c>
      <c r="C169" s="34" t="s">
        <v>36</v>
      </c>
      <c r="D169" s="35">
        <f t="shared" si="9"/>
        <v>0</v>
      </c>
      <c r="E169" s="34">
        <v>1</v>
      </c>
      <c r="F169" s="34" t="s">
        <v>35</v>
      </c>
      <c r="G169" s="38">
        <f t="shared" si="10"/>
        <v>1</v>
      </c>
      <c r="H169" s="39">
        <v>1381.00000033155</v>
      </c>
      <c r="I169" s="34"/>
      <c r="J169" s="34"/>
      <c r="K169" s="34"/>
      <c r="L169" s="39"/>
      <c r="M169" s="39"/>
      <c r="N169" s="48"/>
      <c r="O169" s="48"/>
    </row>
    <row r="170" spans="1:15">
      <c r="A170" s="33" t="s">
        <v>69</v>
      </c>
      <c r="B170" s="34" t="s">
        <v>70</v>
      </c>
      <c r="C170" s="34" t="s">
        <v>35</v>
      </c>
      <c r="D170" s="35">
        <f t="shared" si="9"/>
        <v>1</v>
      </c>
      <c r="E170" s="34">
        <v>4</v>
      </c>
      <c r="F170" s="34" t="s">
        <v>36</v>
      </c>
      <c r="G170" s="38">
        <f t="shared" si="10"/>
        <v>0</v>
      </c>
      <c r="H170" s="39">
        <v>1234.99999323394</v>
      </c>
      <c r="I170" s="34"/>
      <c r="J170" s="34"/>
      <c r="K170" s="34"/>
      <c r="L170" s="39"/>
      <c r="M170" s="39"/>
      <c r="N170" s="48"/>
      <c r="O170" s="48"/>
    </row>
    <row r="171" spans="1:15">
      <c r="A171" s="33" t="s">
        <v>65</v>
      </c>
      <c r="B171" s="34" t="s">
        <v>66</v>
      </c>
      <c r="C171" s="34" t="s">
        <v>35</v>
      </c>
      <c r="D171" s="35">
        <f t="shared" si="9"/>
        <v>1</v>
      </c>
      <c r="E171" s="34">
        <v>5</v>
      </c>
      <c r="F171" s="34" t="s">
        <v>36</v>
      </c>
      <c r="G171" s="38">
        <f t="shared" si="10"/>
        <v>0</v>
      </c>
      <c r="H171" s="39">
        <v>1082.00000461657</v>
      </c>
      <c r="I171" s="34"/>
      <c r="J171" s="34"/>
      <c r="K171" s="34"/>
      <c r="L171" s="39"/>
      <c r="M171" s="39"/>
      <c r="N171" s="48"/>
      <c r="O171" s="48"/>
    </row>
    <row r="172" spans="1:15">
      <c r="A172" s="33" t="s">
        <v>73</v>
      </c>
      <c r="B172" s="34" t="s">
        <v>74</v>
      </c>
      <c r="C172" s="34" t="s">
        <v>35</v>
      </c>
      <c r="D172" s="35">
        <f t="shared" si="9"/>
        <v>1</v>
      </c>
      <c r="E172" s="34">
        <v>5</v>
      </c>
      <c r="F172" s="34" t="s">
        <v>36</v>
      </c>
      <c r="G172" s="38">
        <f t="shared" si="10"/>
        <v>0</v>
      </c>
      <c r="H172" s="39">
        <v>1064.99999247026</v>
      </c>
      <c r="I172" s="34"/>
      <c r="J172" s="34"/>
      <c r="K172" s="34"/>
      <c r="L172" s="39"/>
      <c r="M172" s="39"/>
      <c r="N172" s="48"/>
      <c r="O172" s="48"/>
    </row>
    <row r="173" spans="1:15">
      <c r="A173" s="33" t="s">
        <v>73</v>
      </c>
      <c r="B173" s="34" t="s">
        <v>74</v>
      </c>
      <c r="C173" s="34" t="s">
        <v>35</v>
      </c>
      <c r="D173" s="35">
        <f t="shared" si="9"/>
        <v>1</v>
      </c>
      <c r="E173" s="34">
        <v>5</v>
      </c>
      <c r="F173" s="34" t="s">
        <v>36</v>
      </c>
      <c r="G173" s="38">
        <f t="shared" si="10"/>
        <v>0</v>
      </c>
      <c r="H173" s="39">
        <v>1512.99999346957</v>
      </c>
      <c r="I173" s="34"/>
      <c r="J173" s="34"/>
      <c r="K173" s="34"/>
      <c r="L173" s="39"/>
      <c r="M173" s="39"/>
      <c r="N173" s="48"/>
      <c r="O173" s="48"/>
    </row>
    <row r="174" spans="1:15">
      <c r="A174" s="33" t="s">
        <v>71</v>
      </c>
      <c r="B174" s="34" t="s">
        <v>72</v>
      </c>
      <c r="C174" s="34" t="s">
        <v>36</v>
      </c>
      <c r="D174" s="35">
        <f t="shared" si="9"/>
        <v>0</v>
      </c>
      <c r="E174" s="34">
        <v>2</v>
      </c>
      <c r="F174" s="34" t="s">
        <v>36</v>
      </c>
      <c r="G174" s="38">
        <f t="shared" si="10"/>
        <v>0</v>
      </c>
      <c r="H174" s="39">
        <v>1100.9999952279</v>
      </c>
      <c r="I174" s="34"/>
      <c r="J174" s="34"/>
      <c r="K174" s="34"/>
      <c r="L174" s="39"/>
      <c r="M174" s="39"/>
      <c r="N174" s="48"/>
      <c r="O174" s="48"/>
    </row>
    <row r="175" spans="1:15">
      <c r="A175" s="33" t="s">
        <v>75</v>
      </c>
      <c r="B175" s="34" t="s">
        <v>76</v>
      </c>
      <c r="C175" s="34" t="s">
        <v>35</v>
      </c>
      <c r="D175" s="35">
        <f t="shared" si="9"/>
        <v>1</v>
      </c>
      <c r="E175" s="34">
        <v>5</v>
      </c>
      <c r="F175" s="34" t="s">
        <v>36</v>
      </c>
      <c r="G175" s="38">
        <f t="shared" si="10"/>
        <v>0</v>
      </c>
      <c r="H175" s="39">
        <v>1189.00000196882</v>
      </c>
      <c r="I175" s="34"/>
      <c r="J175" s="34"/>
      <c r="K175" s="34"/>
      <c r="L175" s="39"/>
      <c r="M175" s="39"/>
      <c r="N175" s="48"/>
      <c r="O175" s="48"/>
    </row>
    <row r="176" spans="1:15">
      <c r="A176" s="33" t="s">
        <v>71</v>
      </c>
      <c r="B176" s="34" t="s">
        <v>72</v>
      </c>
      <c r="C176" s="34" t="s">
        <v>35</v>
      </c>
      <c r="D176" s="35">
        <f t="shared" si="9"/>
        <v>1</v>
      </c>
      <c r="E176" s="34">
        <v>4</v>
      </c>
      <c r="F176" s="34" t="s">
        <v>36</v>
      </c>
      <c r="G176" s="38">
        <f t="shared" si="10"/>
        <v>0</v>
      </c>
      <c r="H176" s="39">
        <v>897.999998065643</v>
      </c>
      <c r="I176" s="34"/>
      <c r="J176" s="34"/>
      <c r="K176" s="34"/>
      <c r="L176" s="39"/>
      <c r="M176" s="39"/>
      <c r="N176" s="48"/>
      <c r="O176" s="48"/>
    </row>
    <row r="177" spans="1:15">
      <c r="A177" s="33" t="s">
        <v>73</v>
      </c>
      <c r="B177" s="34" t="s">
        <v>74</v>
      </c>
      <c r="C177" s="34" t="s">
        <v>35</v>
      </c>
      <c r="D177" s="35">
        <f t="shared" si="9"/>
        <v>1</v>
      </c>
      <c r="E177" s="34">
        <v>3</v>
      </c>
      <c r="F177" s="34" t="s">
        <v>36</v>
      </c>
      <c r="G177" s="38">
        <f t="shared" si="10"/>
        <v>0</v>
      </c>
      <c r="H177" s="39">
        <v>1757.00000461657</v>
      </c>
      <c r="I177" s="34"/>
      <c r="J177" s="34"/>
      <c r="K177" s="34"/>
      <c r="L177" s="39"/>
      <c r="M177" s="39"/>
      <c r="N177" s="48"/>
      <c r="O177" s="48"/>
    </row>
    <row r="178" spans="1:15">
      <c r="A178" s="33" t="s">
        <v>79</v>
      </c>
      <c r="B178" s="34" t="s">
        <v>80</v>
      </c>
      <c r="C178" s="34" t="s">
        <v>35</v>
      </c>
      <c r="D178" s="35">
        <f t="shared" si="9"/>
        <v>1</v>
      </c>
      <c r="E178" s="34">
        <v>5</v>
      </c>
      <c r="F178" s="34" t="s">
        <v>36</v>
      </c>
      <c r="G178" s="38">
        <f t="shared" si="10"/>
        <v>0</v>
      </c>
      <c r="H178" s="39">
        <v>396.999999135733</v>
      </c>
      <c r="I178" s="34"/>
      <c r="J178" s="34"/>
      <c r="K178" s="34"/>
      <c r="L178" s="39"/>
      <c r="M178" s="39"/>
      <c r="N178" s="48"/>
      <c r="O178" s="48"/>
    </row>
    <row r="179" spans="1:15">
      <c r="A179" s="33" t="s">
        <v>81</v>
      </c>
      <c r="B179" s="34" t="s">
        <v>82</v>
      </c>
      <c r="C179" s="34" t="s">
        <v>35</v>
      </c>
      <c r="D179" s="35">
        <f t="shared" si="9"/>
        <v>1</v>
      </c>
      <c r="E179" s="34">
        <v>5</v>
      </c>
      <c r="F179" s="34" t="s">
        <v>36</v>
      </c>
      <c r="G179" s="38">
        <f t="shared" si="10"/>
        <v>0</v>
      </c>
      <c r="H179" s="39">
        <v>1360.00000485219</v>
      </c>
      <c r="I179" s="34"/>
      <c r="J179" s="34"/>
      <c r="K179" s="34"/>
      <c r="L179" s="39"/>
      <c r="M179" s="39"/>
      <c r="N179" s="48"/>
      <c r="O179" s="48"/>
    </row>
    <row r="180" spans="1:15">
      <c r="A180" s="33" t="s">
        <v>57</v>
      </c>
      <c r="B180" s="34" t="s">
        <v>58</v>
      </c>
      <c r="C180" s="34" t="s">
        <v>36</v>
      </c>
      <c r="D180" s="35">
        <f t="shared" si="9"/>
        <v>0</v>
      </c>
      <c r="E180" s="34">
        <v>1</v>
      </c>
      <c r="F180" s="34" t="s">
        <v>36</v>
      </c>
      <c r="G180" s="38">
        <f t="shared" si="10"/>
        <v>0</v>
      </c>
      <c r="H180" s="39">
        <v>375.000001536682</v>
      </c>
      <c r="I180" s="34"/>
      <c r="J180" s="34"/>
      <c r="K180" s="34"/>
      <c r="L180" s="39"/>
      <c r="M180" s="39"/>
      <c r="N180" s="48"/>
      <c r="O180" s="48"/>
    </row>
    <row r="181" spans="1:15">
      <c r="A181" s="33" t="s">
        <v>53</v>
      </c>
      <c r="B181" s="34" t="s">
        <v>54</v>
      </c>
      <c r="C181" s="34" t="s">
        <v>35</v>
      </c>
      <c r="D181" s="35">
        <f t="shared" si="9"/>
        <v>1</v>
      </c>
      <c r="E181" s="34">
        <v>5</v>
      </c>
      <c r="F181" s="34" t="s">
        <v>36</v>
      </c>
      <c r="G181" s="38">
        <f t="shared" si="10"/>
        <v>0</v>
      </c>
      <c r="H181" s="39">
        <v>1630.00000510365</v>
      </c>
      <c r="I181" s="34"/>
      <c r="J181" s="34"/>
      <c r="K181" s="34"/>
      <c r="L181" s="39"/>
      <c r="M181" s="39"/>
      <c r="N181" s="48"/>
      <c r="O181" s="48"/>
    </row>
    <row r="182" spans="1:15">
      <c r="A182" s="33" t="s">
        <v>67</v>
      </c>
      <c r="B182" s="34" t="s">
        <v>68</v>
      </c>
      <c r="C182" s="34" t="s">
        <v>35</v>
      </c>
      <c r="D182" s="35">
        <f t="shared" si="9"/>
        <v>1</v>
      </c>
      <c r="E182" s="34">
        <v>3</v>
      </c>
      <c r="F182" s="34" t="s">
        <v>36</v>
      </c>
      <c r="G182" s="38">
        <f t="shared" si="10"/>
        <v>0</v>
      </c>
      <c r="H182" s="39">
        <v>1708.00000699237</v>
      </c>
      <c r="I182" s="34"/>
      <c r="J182" s="34"/>
      <c r="K182" s="34"/>
      <c r="L182" s="39"/>
      <c r="M182" s="39"/>
      <c r="N182" s="48"/>
      <c r="O182" s="48"/>
    </row>
    <row r="183" spans="1:15">
      <c r="A183" s="33" t="s">
        <v>73</v>
      </c>
      <c r="B183" s="34" t="s">
        <v>74</v>
      </c>
      <c r="C183" s="34" t="s">
        <v>35</v>
      </c>
      <c r="D183" s="35">
        <f t="shared" si="9"/>
        <v>1</v>
      </c>
      <c r="E183" s="34">
        <v>4</v>
      </c>
      <c r="F183" s="34" t="s">
        <v>36</v>
      </c>
      <c r="G183" s="38">
        <f t="shared" si="10"/>
        <v>0</v>
      </c>
      <c r="H183" s="39">
        <v>756.000000075437</v>
      </c>
      <c r="I183" s="34"/>
      <c r="J183" s="34"/>
      <c r="K183" s="34"/>
      <c r="L183" s="39"/>
      <c r="M183" s="39"/>
      <c r="N183" s="48"/>
      <c r="O183" s="48"/>
    </row>
    <row r="184" spans="1:15">
      <c r="A184" s="33" t="s">
        <v>59</v>
      </c>
      <c r="B184" s="34" t="s">
        <v>60</v>
      </c>
      <c r="C184" s="34" t="s">
        <v>35</v>
      </c>
      <c r="D184" s="35">
        <f t="shared" si="9"/>
        <v>1</v>
      </c>
      <c r="E184" s="34">
        <v>3</v>
      </c>
      <c r="F184" s="34" t="s">
        <v>36</v>
      </c>
      <c r="G184" s="38">
        <f t="shared" si="10"/>
        <v>0</v>
      </c>
      <c r="H184" s="39">
        <v>276.999998115934</v>
      </c>
      <c r="I184" s="34"/>
      <c r="J184" s="34"/>
      <c r="K184" s="34"/>
      <c r="L184" s="39"/>
      <c r="M184" s="39"/>
      <c r="N184" s="48"/>
      <c r="O184" s="48"/>
    </row>
    <row r="185" spans="1:15">
      <c r="A185" s="33" t="s">
        <v>61</v>
      </c>
      <c r="B185" s="34" t="s">
        <v>62</v>
      </c>
      <c r="C185" s="34" t="s">
        <v>35</v>
      </c>
      <c r="D185" s="35">
        <f t="shared" si="9"/>
        <v>1</v>
      </c>
      <c r="E185" s="34">
        <v>5</v>
      </c>
      <c r="F185" s="34" t="s">
        <v>36</v>
      </c>
      <c r="G185" s="38">
        <f t="shared" si="10"/>
        <v>0</v>
      </c>
      <c r="H185" s="39">
        <v>1320.00000178814</v>
      </c>
      <c r="I185" s="34"/>
      <c r="J185" s="34"/>
      <c r="K185" s="34"/>
      <c r="L185" s="39"/>
      <c r="M185" s="39"/>
      <c r="N185" s="48"/>
      <c r="O185" s="48"/>
    </row>
    <row r="186" spans="1:15">
      <c r="A186" s="33" t="s">
        <v>69</v>
      </c>
      <c r="B186" s="34" t="s">
        <v>70</v>
      </c>
      <c r="C186" s="34" t="s">
        <v>36</v>
      </c>
      <c r="D186" s="35">
        <f t="shared" si="9"/>
        <v>0</v>
      </c>
      <c r="E186" s="34">
        <v>2</v>
      </c>
      <c r="F186" s="34" t="s">
        <v>35</v>
      </c>
      <c r="G186" s="38">
        <f t="shared" si="10"/>
        <v>1</v>
      </c>
      <c r="H186" s="39">
        <v>1015.99999484606</v>
      </c>
      <c r="I186" s="34"/>
      <c r="J186" s="34"/>
      <c r="K186" s="34"/>
      <c r="L186" s="39"/>
      <c r="M186" s="39"/>
      <c r="N186" s="48"/>
      <c r="O186" s="48"/>
    </row>
    <row r="187" spans="1:15">
      <c r="A187" s="33" t="s">
        <v>65</v>
      </c>
      <c r="B187" s="34" t="s">
        <v>66</v>
      </c>
      <c r="C187" s="34" t="s">
        <v>35</v>
      </c>
      <c r="D187" s="35">
        <f t="shared" si="9"/>
        <v>1</v>
      </c>
      <c r="E187" s="34">
        <v>3</v>
      </c>
      <c r="F187" s="34" t="s">
        <v>36</v>
      </c>
      <c r="G187" s="38">
        <f t="shared" si="10"/>
        <v>0</v>
      </c>
      <c r="H187" s="39">
        <v>635.999999055639</v>
      </c>
      <c r="I187" s="34"/>
      <c r="J187" s="34"/>
      <c r="K187" s="34"/>
      <c r="L187" s="39"/>
      <c r="M187" s="39"/>
      <c r="N187" s="48"/>
      <c r="O187" s="48"/>
    </row>
    <row r="188" spans="1:15">
      <c r="A188" s="33" t="s">
        <v>59</v>
      </c>
      <c r="B188" s="34" t="s">
        <v>60</v>
      </c>
      <c r="C188" s="34" t="s">
        <v>36</v>
      </c>
      <c r="D188" s="35">
        <f t="shared" si="9"/>
        <v>0</v>
      </c>
      <c r="E188" s="34">
        <v>3</v>
      </c>
      <c r="F188" s="34" t="s">
        <v>36</v>
      </c>
      <c r="G188" s="38">
        <f t="shared" si="10"/>
        <v>0</v>
      </c>
      <c r="H188" s="39">
        <v>1624.00000055786</v>
      </c>
      <c r="I188" s="34"/>
      <c r="J188" s="34"/>
      <c r="K188" s="34"/>
      <c r="L188" s="39"/>
      <c r="M188" s="39"/>
      <c r="N188" s="48"/>
      <c r="O188" s="48"/>
    </row>
    <row r="189" spans="1:15">
      <c r="A189" s="33" t="s">
        <v>75</v>
      </c>
      <c r="B189" s="34" t="s">
        <v>76</v>
      </c>
      <c r="C189" s="34" t="s">
        <v>35</v>
      </c>
      <c r="D189" s="35">
        <f t="shared" si="9"/>
        <v>1</v>
      </c>
      <c r="E189" s="34">
        <v>4</v>
      </c>
      <c r="F189" s="34" t="s">
        <v>36</v>
      </c>
      <c r="G189" s="38">
        <f t="shared" si="10"/>
        <v>0</v>
      </c>
      <c r="H189" s="39">
        <v>981.999996956438</v>
      </c>
      <c r="I189" s="34"/>
      <c r="J189" s="34"/>
      <c r="K189" s="34"/>
      <c r="L189" s="39"/>
      <c r="M189" s="39"/>
      <c r="N189" s="48"/>
      <c r="O189" s="48"/>
    </row>
    <row r="190" spans="1:15">
      <c r="A190" s="33" t="s">
        <v>69</v>
      </c>
      <c r="B190" s="34" t="s">
        <v>70</v>
      </c>
      <c r="C190" s="34" t="s">
        <v>36</v>
      </c>
      <c r="D190" s="35">
        <f t="shared" si="9"/>
        <v>0</v>
      </c>
      <c r="E190" s="34">
        <v>1</v>
      </c>
      <c r="F190" s="34" t="s">
        <v>36</v>
      </c>
      <c r="G190" s="38">
        <f t="shared" si="10"/>
        <v>0</v>
      </c>
      <c r="H190" s="39">
        <v>1606.00000326522</v>
      </c>
      <c r="I190" s="34"/>
      <c r="J190" s="34"/>
      <c r="K190" s="34"/>
      <c r="L190" s="39"/>
      <c r="M190" s="39"/>
      <c r="N190" s="48"/>
      <c r="O190" s="48"/>
    </row>
    <row r="191" spans="1:15">
      <c r="A191" s="33" t="s">
        <v>69</v>
      </c>
      <c r="B191" s="34" t="s">
        <v>70</v>
      </c>
      <c r="C191" s="34" t="s">
        <v>35</v>
      </c>
      <c r="D191" s="35">
        <f t="shared" si="9"/>
        <v>1</v>
      </c>
      <c r="E191" s="34">
        <v>4</v>
      </c>
      <c r="F191" s="34" t="s">
        <v>36</v>
      </c>
      <c r="G191" s="38">
        <f t="shared" si="10"/>
        <v>0</v>
      </c>
      <c r="H191" s="39">
        <v>365.00000548549</v>
      </c>
      <c r="I191" s="34"/>
      <c r="J191" s="34"/>
      <c r="K191" s="34"/>
      <c r="L191" s="39"/>
      <c r="M191" s="39"/>
      <c r="N191" s="48"/>
      <c r="O191" s="48"/>
    </row>
    <row r="192" spans="1:15">
      <c r="A192" s="33" t="s">
        <v>77</v>
      </c>
      <c r="B192" s="34" t="s">
        <v>78</v>
      </c>
      <c r="C192" s="34" t="s">
        <v>35</v>
      </c>
      <c r="D192" s="35">
        <f t="shared" si="9"/>
        <v>1</v>
      </c>
      <c r="E192" s="34">
        <v>4</v>
      </c>
      <c r="F192" s="34" t="s">
        <v>36</v>
      </c>
      <c r="G192" s="38">
        <f t="shared" si="10"/>
        <v>0</v>
      </c>
      <c r="H192" s="39">
        <v>1097.99999704119</v>
      </c>
      <c r="I192" s="34"/>
      <c r="J192" s="34"/>
      <c r="K192" s="34"/>
      <c r="L192" s="39"/>
      <c r="M192" s="39"/>
      <c r="N192" s="48"/>
      <c r="O192" s="48"/>
    </row>
    <row r="193" spans="1:15">
      <c r="A193" s="33" t="s">
        <v>79</v>
      </c>
      <c r="B193" s="34" t="s">
        <v>80</v>
      </c>
      <c r="C193" s="34" t="s">
        <v>35</v>
      </c>
      <c r="D193" s="35">
        <f t="shared" si="9"/>
        <v>1</v>
      </c>
      <c r="E193" s="34">
        <v>5</v>
      </c>
      <c r="F193" s="34" t="s">
        <v>36</v>
      </c>
      <c r="G193" s="38">
        <f t="shared" si="10"/>
        <v>0</v>
      </c>
      <c r="H193" s="39">
        <v>283.999996609055</v>
      </c>
      <c r="I193" s="34"/>
      <c r="J193" s="34"/>
      <c r="K193" s="34"/>
      <c r="L193" s="39"/>
      <c r="M193" s="39"/>
      <c r="N193" s="48"/>
      <c r="O193" s="48"/>
    </row>
    <row r="194" spans="1:15">
      <c r="A194" s="33" t="s">
        <v>55</v>
      </c>
      <c r="B194" s="34" t="s">
        <v>56</v>
      </c>
      <c r="C194" s="34" t="s">
        <v>35</v>
      </c>
      <c r="D194" s="35">
        <f t="shared" ref="D194:D257" si="11">IF(C194="Y",1,0)</f>
        <v>1</v>
      </c>
      <c r="E194" s="34">
        <v>5</v>
      </c>
      <c r="F194" s="34" t="s">
        <v>36</v>
      </c>
      <c r="G194" s="38">
        <f t="shared" si="10"/>
        <v>0</v>
      </c>
      <c r="H194" s="39">
        <v>1663.00000150222</v>
      </c>
      <c r="I194" s="34"/>
      <c r="J194" s="34"/>
      <c r="K194" s="34"/>
      <c r="L194" s="39"/>
      <c r="M194" s="39"/>
      <c r="N194" s="48"/>
      <c r="O194" s="48"/>
    </row>
    <row r="195" spans="1:15">
      <c r="A195" s="33" t="s">
        <v>77</v>
      </c>
      <c r="B195" s="34" t="s">
        <v>78</v>
      </c>
      <c r="C195" s="34" t="s">
        <v>36</v>
      </c>
      <c r="D195" s="35">
        <f t="shared" si="11"/>
        <v>0</v>
      </c>
      <c r="E195" s="34">
        <v>2</v>
      </c>
      <c r="F195" s="34" t="s">
        <v>36</v>
      </c>
      <c r="G195" s="38">
        <f t="shared" ref="G195:G258" si="12">IF(F195="Y",1,0)</f>
        <v>0</v>
      </c>
      <c r="H195" s="39">
        <v>1453.99999979418</v>
      </c>
      <c r="I195" s="34"/>
      <c r="J195" s="34"/>
      <c r="K195" s="34"/>
      <c r="L195" s="39"/>
      <c r="M195" s="39"/>
      <c r="N195" s="48"/>
      <c r="O195" s="48"/>
    </row>
    <row r="196" spans="1:15">
      <c r="A196" s="33" t="s">
        <v>59</v>
      </c>
      <c r="B196" s="34" t="s">
        <v>60</v>
      </c>
      <c r="C196" s="34" t="s">
        <v>36</v>
      </c>
      <c r="D196" s="35">
        <f t="shared" si="11"/>
        <v>0</v>
      </c>
      <c r="E196" s="34">
        <v>2</v>
      </c>
      <c r="F196" s="34" t="s">
        <v>35</v>
      </c>
      <c r="G196" s="38">
        <f t="shared" si="12"/>
        <v>1</v>
      </c>
      <c r="H196" s="39">
        <v>1647.0000002766</v>
      </c>
      <c r="I196" s="34"/>
      <c r="J196" s="34"/>
      <c r="K196" s="34"/>
      <c r="L196" s="39"/>
      <c r="M196" s="39"/>
      <c r="N196" s="48"/>
      <c r="O196" s="48"/>
    </row>
    <row r="197" spans="1:15">
      <c r="A197" s="33" t="s">
        <v>73</v>
      </c>
      <c r="B197" s="34" t="s">
        <v>74</v>
      </c>
      <c r="C197" s="34" t="s">
        <v>35</v>
      </c>
      <c r="D197" s="35">
        <f t="shared" si="11"/>
        <v>1</v>
      </c>
      <c r="E197" s="34">
        <v>5</v>
      </c>
      <c r="F197" s="34" t="s">
        <v>36</v>
      </c>
      <c r="G197" s="38">
        <f t="shared" si="12"/>
        <v>0</v>
      </c>
      <c r="H197" s="39">
        <v>1000.99999574013</v>
      </c>
      <c r="I197" s="34"/>
      <c r="J197" s="34"/>
      <c r="K197" s="34"/>
      <c r="L197" s="39"/>
      <c r="M197" s="39"/>
      <c r="N197" s="48"/>
      <c r="O197" s="48"/>
    </row>
    <row r="198" spans="1:15">
      <c r="A198" s="33" t="s">
        <v>53</v>
      </c>
      <c r="B198" s="34" t="s">
        <v>54</v>
      </c>
      <c r="C198" s="34" t="s">
        <v>35</v>
      </c>
      <c r="D198" s="35">
        <f t="shared" si="11"/>
        <v>1</v>
      </c>
      <c r="E198" s="34">
        <v>4</v>
      </c>
      <c r="F198" s="34" t="s">
        <v>36</v>
      </c>
      <c r="G198" s="38">
        <f t="shared" si="12"/>
        <v>0</v>
      </c>
      <c r="H198" s="39">
        <v>452.999995253049</v>
      </c>
      <c r="I198" s="34"/>
      <c r="J198" s="34"/>
      <c r="K198" s="34"/>
      <c r="L198" s="39"/>
      <c r="M198" s="39"/>
      <c r="N198" s="48"/>
      <c r="O198" s="48"/>
    </row>
    <row r="199" spans="1:15">
      <c r="A199" s="33" t="s">
        <v>63</v>
      </c>
      <c r="B199" s="34" t="s">
        <v>64</v>
      </c>
      <c r="C199" s="34" t="s">
        <v>35</v>
      </c>
      <c r="D199" s="35">
        <f t="shared" si="11"/>
        <v>1</v>
      </c>
      <c r="E199" s="34">
        <v>5</v>
      </c>
      <c r="F199" s="34" t="s">
        <v>36</v>
      </c>
      <c r="G199" s="38">
        <f t="shared" si="12"/>
        <v>0</v>
      </c>
      <c r="H199" s="39">
        <v>1061.00000096485</v>
      </c>
      <c r="I199" s="34"/>
      <c r="J199" s="34"/>
      <c r="K199" s="34"/>
      <c r="L199" s="39"/>
      <c r="M199" s="39"/>
      <c r="N199" s="48"/>
      <c r="O199" s="48"/>
    </row>
    <row r="200" spans="1:15">
      <c r="A200" s="33" t="s">
        <v>67</v>
      </c>
      <c r="B200" s="34" t="s">
        <v>68</v>
      </c>
      <c r="C200" s="34" t="s">
        <v>35</v>
      </c>
      <c r="D200" s="35">
        <f t="shared" si="11"/>
        <v>1</v>
      </c>
      <c r="E200" s="34">
        <v>4</v>
      </c>
      <c r="F200" s="34" t="s">
        <v>36</v>
      </c>
      <c r="G200" s="38">
        <f t="shared" si="12"/>
        <v>0</v>
      </c>
      <c r="H200" s="39">
        <v>1171.99999862351</v>
      </c>
      <c r="I200" s="34"/>
      <c r="J200" s="34"/>
      <c r="K200" s="34"/>
      <c r="L200" s="39"/>
      <c r="M200" s="39"/>
      <c r="N200" s="48"/>
      <c r="O200" s="48"/>
    </row>
    <row r="201" spans="1:15">
      <c r="A201" s="33" t="s">
        <v>71</v>
      </c>
      <c r="B201" s="34" t="s">
        <v>72</v>
      </c>
      <c r="C201" s="34" t="s">
        <v>35</v>
      </c>
      <c r="D201" s="35">
        <f t="shared" si="11"/>
        <v>1</v>
      </c>
      <c r="E201" s="34">
        <v>4</v>
      </c>
      <c r="F201" s="34" t="s">
        <v>36</v>
      </c>
      <c r="G201" s="38">
        <f t="shared" si="12"/>
        <v>0</v>
      </c>
      <c r="H201" s="39">
        <v>1403.00000610296</v>
      </c>
      <c r="I201" s="34"/>
      <c r="J201" s="34"/>
      <c r="K201" s="34"/>
      <c r="L201" s="39"/>
      <c r="M201" s="39"/>
      <c r="N201" s="48"/>
      <c r="O201" s="48"/>
    </row>
    <row r="202" spans="1:15">
      <c r="A202" s="33" t="s">
        <v>81</v>
      </c>
      <c r="B202" s="34" t="s">
        <v>82</v>
      </c>
      <c r="C202" s="34" t="s">
        <v>35</v>
      </c>
      <c r="D202" s="35">
        <f t="shared" si="11"/>
        <v>1</v>
      </c>
      <c r="E202" s="34">
        <v>3</v>
      </c>
      <c r="F202" s="34" t="s">
        <v>36</v>
      </c>
      <c r="G202" s="38">
        <f t="shared" si="12"/>
        <v>0</v>
      </c>
      <c r="H202" s="39">
        <v>1320.00000241678</v>
      </c>
      <c r="I202" s="34"/>
      <c r="J202" s="34"/>
      <c r="K202" s="34"/>
      <c r="L202" s="39"/>
      <c r="M202" s="39"/>
      <c r="N202" s="48"/>
      <c r="O202" s="48"/>
    </row>
    <row r="203" spans="1:15">
      <c r="A203" s="33" t="s">
        <v>53</v>
      </c>
      <c r="B203" s="34" t="s">
        <v>54</v>
      </c>
      <c r="C203" s="34" t="s">
        <v>35</v>
      </c>
      <c r="D203" s="35">
        <f t="shared" si="11"/>
        <v>1</v>
      </c>
      <c r="E203" s="34">
        <v>3</v>
      </c>
      <c r="F203" s="34" t="s">
        <v>36</v>
      </c>
      <c r="G203" s="38">
        <f t="shared" si="12"/>
        <v>0</v>
      </c>
      <c r="H203" s="39">
        <v>735.999998543411</v>
      </c>
      <c r="I203" s="34"/>
      <c r="J203" s="34"/>
      <c r="K203" s="34"/>
      <c r="L203" s="39"/>
      <c r="M203" s="39"/>
      <c r="N203" s="48"/>
      <c r="O203" s="48"/>
    </row>
    <row r="204" spans="1:15">
      <c r="A204" s="33" t="s">
        <v>59</v>
      </c>
      <c r="B204" s="34" t="s">
        <v>60</v>
      </c>
      <c r="C204" s="34" t="s">
        <v>36</v>
      </c>
      <c r="D204" s="35">
        <f t="shared" si="11"/>
        <v>0</v>
      </c>
      <c r="E204" s="34">
        <v>1</v>
      </c>
      <c r="F204" s="34" t="s">
        <v>35</v>
      </c>
      <c r="G204" s="38">
        <f t="shared" si="12"/>
        <v>1</v>
      </c>
      <c r="H204" s="39">
        <v>467.999994358979</v>
      </c>
      <c r="I204" s="34"/>
      <c r="J204" s="34"/>
      <c r="K204" s="34"/>
      <c r="L204" s="39"/>
      <c r="M204" s="39"/>
      <c r="N204" s="48"/>
      <c r="O204" s="48"/>
    </row>
    <row r="205" spans="1:15">
      <c r="A205" s="33" t="s">
        <v>65</v>
      </c>
      <c r="B205" s="34" t="s">
        <v>66</v>
      </c>
      <c r="C205" s="34" t="s">
        <v>35</v>
      </c>
      <c r="D205" s="35">
        <f t="shared" si="11"/>
        <v>1</v>
      </c>
      <c r="E205" s="34">
        <v>3</v>
      </c>
      <c r="F205" s="34" t="s">
        <v>36</v>
      </c>
      <c r="G205" s="38">
        <f t="shared" si="12"/>
        <v>0</v>
      </c>
      <c r="H205" s="39">
        <v>418.000003416091</v>
      </c>
      <c r="I205" s="34"/>
      <c r="J205" s="34"/>
      <c r="K205" s="34"/>
      <c r="L205" s="39"/>
      <c r="M205" s="39"/>
      <c r="N205" s="48"/>
      <c r="O205" s="48"/>
    </row>
    <row r="206" spans="1:15">
      <c r="A206" s="33" t="s">
        <v>81</v>
      </c>
      <c r="B206" s="34" t="s">
        <v>82</v>
      </c>
      <c r="C206" s="34" t="s">
        <v>35</v>
      </c>
      <c r="D206" s="35">
        <f t="shared" si="11"/>
        <v>1</v>
      </c>
      <c r="E206" s="34">
        <v>5</v>
      </c>
      <c r="F206" s="34" t="s">
        <v>36</v>
      </c>
      <c r="G206" s="38">
        <f t="shared" si="12"/>
        <v>0</v>
      </c>
      <c r="H206" s="39">
        <v>78.0000018887222</v>
      </c>
      <c r="I206" s="34"/>
      <c r="J206" s="34"/>
      <c r="K206" s="34"/>
      <c r="L206" s="39"/>
      <c r="M206" s="39"/>
      <c r="N206" s="48"/>
      <c r="O206" s="48"/>
    </row>
    <row r="207" spans="1:15">
      <c r="A207" s="33" t="s">
        <v>75</v>
      </c>
      <c r="B207" s="34" t="s">
        <v>76</v>
      </c>
      <c r="C207" s="34" t="s">
        <v>35</v>
      </c>
      <c r="D207" s="35">
        <f t="shared" si="11"/>
        <v>1</v>
      </c>
      <c r="E207" s="34">
        <v>5</v>
      </c>
      <c r="F207" s="34" t="s">
        <v>36</v>
      </c>
      <c r="G207" s="38">
        <f t="shared" si="12"/>
        <v>0</v>
      </c>
      <c r="H207" s="39">
        <v>1092.0000012964</v>
      </c>
      <c r="I207" s="34"/>
      <c r="J207" s="34"/>
      <c r="K207" s="34"/>
      <c r="L207" s="39"/>
      <c r="M207" s="39"/>
      <c r="N207" s="48"/>
      <c r="O207" s="48"/>
    </row>
    <row r="208" spans="1:15">
      <c r="A208" s="33" t="s">
        <v>73</v>
      </c>
      <c r="B208" s="34" t="s">
        <v>74</v>
      </c>
      <c r="C208" s="34" t="s">
        <v>35</v>
      </c>
      <c r="D208" s="35">
        <f t="shared" si="11"/>
        <v>1</v>
      </c>
      <c r="E208" s="34">
        <v>5</v>
      </c>
      <c r="F208" s="34" t="s">
        <v>36</v>
      </c>
      <c r="G208" s="38">
        <f t="shared" si="12"/>
        <v>0</v>
      </c>
      <c r="H208" s="39">
        <v>87.9999979399145</v>
      </c>
      <c r="I208" s="34"/>
      <c r="J208" s="34"/>
      <c r="K208" s="34"/>
      <c r="L208" s="39"/>
      <c r="M208" s="39"/>
      <c r="N208" s="48"/>
      <c r="O208" s="48"/>
    </row>
    <row r="209" spans="1:15">
      <c r="A209" s="33" t="s">
        <v>81</v>
      </c>
      <c r="B209" s="34" t="s">
        <v>82</v>
      </c>
      <c r="C209" s="34" t="s">
        <v>35</v>
      </c>
      <c r="D209" s="35">
        <f t="shared" si="11"/>
        <v>1</v>
      </c>
      <c r="E209" s="34">
        <v>3</v>
      </c>
      <c r="F209" s="34" t="s">
        <v>36</v>
      </c>
      <c r="G209" s="38">
        <f t="shared" si="12"/>
        <v>0</v>
      </c>
      <c r="H209" s="39">
        <v>236.999995051883</v>
      </c>
      <c r="I209" s="34"/>
      <c r="J209" s="34"/>
      <c r="K209" s="34"/>
      <c r="L209" s="39"/>
      <c r="M209" s="39"/>
      <c r="N209" s="48"/>
      <c r="O209" s="48"/>
    </row>
    <row r="210" spans="1:15">
      <c r="A210" s="33" t="s">
        <v>55</v>
      </c>
      <c r="B210" s="34" t="s">
        <v>56</v>
      </c>
      <c r="C210" s="34" t="s">
        <v>35</v>
      </c>
      <c r="D210" s="35">
        <f t="shared" si="11"/>
        <v>1</v>
      </c>
      <c r="E210" s="34">
        <v>3</v>
      </c>
      <c r="F210" s="34" t="s">
        <v>36</v>
      </c>
      <c r="G210" s="38">
        <f t="shared" si="12"/>
        <v>0</v>
      </c>
      <c r="H210" s="39">
        <v>1603.0000050785</v>
      </c>
      <c r="I210" s="34"/>
      <c r="J210" s="34"/>
      <c r="K210" s="34"/>
      <c r="L210" s="39"/>
      <c r="M210" s="39"/>
      <c r="N210" s="48"/>
      <c r="O210" s="48"/>
    </row>
    <row r="211" spans="1:15">
      <c r="A211" s="33" t="s">
        <v>67</v>
      </c>
      <c r="B211" s="34" t="s">
        <v>68</v>
      </c>
      <c r="C211" s="34" t="s">
        <v>35</v>
      </c>
      <c r="D211" s="35">
        <f t="shared" si="11"/>
        <v>1</v>
      </c>
      <c r="E211" s="34">
        <v>5</v>
      </c>
      <c r="F211" s="34" t="s">
        <v>36</v>
      </c>
      <c r="G211" s="38">
        <f t="shared" si="12"/>
        <v>0</v>
      </c>
      <c r="H211" s="39">
        <v>187.000004108995</v>
      </c>
      <c r="I211" s="34"/>
      <c r="J211" s="34"/>
      <c r="K211" s="34"/>
      <c r="L211" s="39"/>
      <c r="M211" s="39"/>
      <c r="N211" s="48"/>
      <c r="O211" s="48"/>
    </row>
    <row r="212" spans="1:15">
      <c r="A212" s="33" t="s">
        <v>81</v>
      </c>
      <c r="B212" s="34" t="s">
        <v>82</v>
      </c>
      <c r="C212" s="34" t="s">
        <v>35</v>
      </c>
      <c r="D212" s="35">
        <f t="shared" si="11"/>
        <v>1</v>
      </c>
      <c r="E212" s="34">
        <v>4</v>
      </c>
      <c r="F212" s="34" t="s">
        <v>36</v>
      </c>
      <c r="G212" s="38">
        <f t="shared" si="12"/>
        <v>0</v>
      </c>
      <c r="H212" s="39">
        <v>1367.99999729265</v>
      </c>
      <c r="I212" s="34"/>
      <c r="J212" s="34"/>
      <c r="K212" s="34"/>
      <c r="L212" s="39"/>
      <c r="M212" s="39"/>
      <c r="N212" s="48"/>
      <c r="O212" s="48"/>
    </row>
    <row r="213" spans="1:15">
      <c r="A213" s="33" t="s">
        <v>61</v>
      </c>
      <c r="B213" s="34" t="s">
        <v>62</v>
      </c>
      <c r="C213" s="34" t="s">
        <v>35</v>
      </c>
      <c r="D213" s="35">
        <f t="shared" si="11"/>
        <v>1</v>
      </c>
      <c r="E213" s="34">
        <v>5</v>
      </c>
      <c r="F213" s="34" t="s">
        <v>36</v>
      </c>
      <c r="G213" s="38">
        <f t="shared" si="12"/>
        <v>0</v>
      </c>
      <c r="H213" s="39">
        <v>1184.00000834372</v>
      </c>
      <c r="I213" s="34"/>
      <c r="J213" s="34"/>
      <c r="K213" s="34"/>
      <c r="L213" s="39"/>
      <c r="M213" s="39"/>
      <c r="N213" s="48"/>
      <c r="O213" s="48"/>
    </row>
    <row r="214" spans="1:15">
      <c r="A214" s="33" t="s">
        <v>79</v>
      </c>
      <c r="B214" s="34" t="s">
        <v>80</v>
      </c>
      <c r="C214" s="34" t="s">
        <v>35</v>
      </c>
      <c r="D214" s="35">
        <f t="shared" si="11"/>
        <v>1</v>
      </c>
      <c r="E214" s="34">
        <v>5</v>
      </c>
      <c r="F214" s="34" t="s">
        <v>36</v>
      </c>
      <c r="G214" s="38">
        <f t="shared" si="12"/>
        <v>0</v>
      </c>
      <c r="H214" s="39">
        <v>1140.99999829195</v>
      </c>
      <c r="I214" s="34"/>
      <c r="J214" s="34"/>
      <c r="K214" s="34"/>
      <c r="L214" s="39"/>
      <c r="M214" s="39"/>
      <c r="N214" s="48"/>
      <c r="O214" s="48"/>
    </row>
    <row r="215" spans="1:15">
      <c r="A215" s="33" t="s">
        <v>65</v>
      </c>
      <c r="B215" s="34" t="s">
        <v>66</v>
      </c>
      <c r="C215" s="34" t="s">
        <v>35</v>
      </c>
      <c r="D215" s="35">
        <f t="shared" si="11"/>
        <v>1</v>
      </c>
      <c r="E215" s="34">
        <v>3</v>
      </c>
      <c r="F215" s="34" t="s">
        <v>36</v>
      </c>
      <c r="G215" s="38">
        <f t="shared" si="12"/>
        <v>0</v>
      </c>
      <c r="H215" s="39">
        <v>1124.99999706633</v>
      </c>
      <c r="I215" s="34"/>
      <c r="J215" s="34"/>
      <c r="K215" s="34"/>
      <c r="L215" s="39"/>
      <c r="M215" s="39"/>
      <c r="N215" s="48"/>
      <c r="O215" s="48"/>
    </row>
    <row r="216" spans="1:15">
      <c r="A216" s="33" t="s">
        <v>81</v>
      </c>
      <c r="B216" s="34" t="s">
        <v>82</v>
      </c>
      <c r="C216" s="34" t="s">
        <v>35</v>
      </c>
      <c r="D216" s="35">
        <f t="shared" si="11"/>
        <v>1</v>
      </c>
      <c r="E216" s="34">
        <v>5</v>
      </c>
      <c r="F216" s="34" t="s">
        <v>36</v>
      </c>
      <c r="G216" s="38">
        <f t="shared" si="12"/>
        <v>0</v>
      </c>
      <c r="H216" s="39">
        <v>988.000000873581</v>
      </c>
      <c r="I216" s="34"/>
      <c r="J216" s="34"/>
      <c r="K216" s="34"/>
      <c r="L216" s="39"/>
      <c r="M216" s="39"/>
      <c r="N216" s="48"/>
      <c r="O216" s="48"/>
    </row>
    <row r="217" spans="1:15">
      <c r="A217" s="33" t="s">
        <v>73</v>
      </c>
      <c r="B217" s="34" t="s">
        <v>74</v>
      </c>
      <c r="C217" s="34" t="s">
        <v>36</v>
      </c>
      <c r="D217" s="35">
        <f t="shared" si="11"/>
        <v>0</v>
      </c>
      <c r="E217" s="34">
        <v>2</v>
      </c>
      <c r="F217" s="34" t="s">
        <v>36</v>
      </c>
      <c r="G217" s="38">
        <f t="shared" si="12"/>
        <v>0</v>
      </c>
      <c r="H217" s="39">
        <v>870.000004721805</v>
      </c>
      <c r="I217" s="34"/>
      <c r="J217" s="34"/>
      <c r="K217" s="34"/>
      <c r="L217" s="39"/>
      <c r="M217" s="39"/>
      <c r="N217" s="48"/>
      <c r="O217" s="48"/>
    </row>
    <row r="218" spans="1:15">
      <c r="A218" s="33" t="s">
        <v>57</v>
      </c>
      <c r="B218" s="34" t="s">
        <v>58</v>
      </c>
      <c r="C218" s="34" t="s">
        <v>36</v>
      </c>
      <c r="D218" s="35">
        <f t="shared" si="11"/>
        <v>0</v>
      </c>
      <c r="E218" s="34">
        <v>1</v>
      </c>
      <c r="F218" s="34" t="s">
        <v>35</v>
      </c>
      <c r="G218" s="38">
        <f t="shared" si="12"/>
        <v>1</v>
      </c>
      <c r="H218" s="39">
        <v>201.000001095235</v>
      </c>
      <c r="I218" s="34"/>
      <c r="J218" s="34"/>
      <c r="K218" s="34"/>
      <c r="L218" s="39"/>
      <c r="M218" s="39"/>
      <c r="N218" s="48"/>
      <c r="O218" s="48"/>
    </row>
    <row r="219" spans="1:15">
      <c r="A219" s="33" t="s">
        <v>71</v>
      </c>
      <c r="B219" s="34" t="s">
        <v>72</v>
      </c>
      <c r="C219" s="34" t="s">
        <v>35</v>
      </c>
      <c r="D219" s="35">
        <f t="shared" si="11"/>
        <v>1</v>
      </c>
      <c r="E219" s="34">
        <v>5</v>
      </c>
      <c r="F219" s="34" t="s">
        <v>36</v>
      </c>
      <c r="G219" s="38">
        <f t="shared" si="12"/>
        <v>0</v>
      </c>
      <c r="H219" s="39">
        <v>843.000005325302</v>
      </c>
      <c r="I219" s="34"/>
      <c r="J219" s="34"/>
      <c r="K219" s="34"/>
      <c r="L219" s="39"/>
      <c r="M219" s="39"/>
      <c r="N219" s="48"/>
      <c r="O219" s="48"/>
    </row>
    <row r="220" spans="1:15">
      <c r="A220" s="33" t="s">
        <v>79</v>
      </c>
      <c r="B220" s="34" t="s">
        <v>80</v>
      </c>
      <c r="C220" s="34" t="s">
        <v>36</v>
      </c>
      <c r="D220" s="35">
        <f t="shared" si="11"/>
        <v>0</v>
      </c>
      <c r="E220" s="34">
        <v>1</v>
      </c>
      <c r="F220" s="34" t="s">
        <v>35</v>
      </c>
      <c r="G220" s="38">
        <f t="shared" si="12"/>
        <v>1</v>
      </c>
      <c r="H220" s="39">
        <v>771.999992500059</v>
      </c>
      <c r="I220" s="34"/>
      <c r="J220" s="34"/>
      <c r="K220" s="34"/>
      <c r="L220" s="39"/>
      <c r="M220" s="39"/>
      <c r="N220" s="48"/>
      <c r="O220" s="48"/>
    </row>
    <row r="221" spans="1:15">
      <c r="A221" s="33" t="s">
        <v>63</v>
      </c>
      <c r="B221" s="34" t="s">
        <v>64</v>
      </c>
      <c r="C221" s="34" t="s">
        <v>36</v>
      </c>
      <c r="D221" s="35">
        <f t="shared" si="11"/>
        <v>0</v>
      </c>
      <c r="E221" s="34">
        <v>2</v>
      </c>
      <c r="F221" s="34" t="s">
        <v>36</v>
      </c>
      <c r="G221" s="38">
        <f t="shared" si="12"/>
        <v>0</v>
      </c>
      <c r="H221" s="39">
        <v>1532.00000105426</v>
      </c>
      <c r="I221" s="34"/>
      <c r="J221" s="34"/>
      <c r="K221" s="34"/>
      <c r="L221" s="39"/>
      <c r="M221" s="39"/>
      <c r="N221" s="48"/>
      <c r="O221" s="48"/>
    </row>
    <row r="222" spans="1:15">
      <c r="A222" s="33" t="s">
        <v>65</v>
      </c>
      <c r="B222" s="34" t="s">
        <v>66</v>
      </c>
      <c r="C222" s="34" t="s">
        <v>36</v>
      </c>
      <c r="D222" s="35">
        <f t="shared" si="11"/>
        <v>0</v>
      </c>
      <c r="E222" s="34">
        <v>1</v>
      </c>
      <c r="F222" s="34" t="s">
        <v>35</v>
      </c>
      <c r="G222" s="38">
        <f t="shared" si="12"/>
        <v>1</v>
      </c>
      <c r="H222" s="39">
        <v>1412.0000006631</v>
      </c>
      <c r="I222" s="34"/>
      <c r="J222" s="34"/>
      <c r="K222" s="34"/>
      <c r="L222" s="39"/>
      <c r="M222" s="39"/>
      <c r="N222" s="48"/>
      <c r="O222" s="48"/>
    </row>
    <row r="223" spans="1:15">
      <c r="A223" s="33" t="s">
        <v>73</v>
      </c>
      <c r="B223" s="34" t="s">
        <v>74</v>
      </c>
      <c r="C223" s="34" t="s">
        <v>36</v>
      </c>
      <c r="D223" s="35">
        <f t="shared" si="11"/>
        <v>0</v>
      </c>
      <c r="E223" s="34">
        <v>1</v>
      </c>
      <c r="F223" s="34" t="s">
        <v>36</v>
      </c>
      <c r="G223" s="38">
        <f t="shared" si="12"/>
        <v>0</v>
      </c>
      <c r="H223" s="39">
        <v>149.999999231659</v>
      </c>
      <c r="I223" s="34"/>
      <c r="J223" s="34"/>
      <c r="K223" s="34"/>
      <c r="L223" s="39"/>
      <c r="M223" s="39"/>
      <c r="N223" s="48"/>
      <c r="O223" s="48"/>
    </row>
    <row r="224" spans="1:15">
      <c r="A224" s="33" t="s">
        <v>67</v>
      </c>
      <c r="B224" s="34" t="s">
        <v>68</v>
      </c>
      <c r="C224" s="34" t="s">
        <v>35</v>
      </c>
      <c r="D224" s="35">
        <f t="shared" si="11"/>
        <v>1</v>
      </c>
      <c r="E224" s="34">
        <v>5</v>
      </c>
      <c r="F224" s="34" t="s">
        <v>36</v>
      </c>
      <c r="G224" s="38">
        <f t="shared" si="12"/>
        <v>0</v>
      </c>
      <c r="H224" s="39">
        <v>1641.99999722186</v>
      </c>
      <c r="I224" s="34"/>
      <c r="J224" s="34"/>
      <c r="K224" s="34"/>
      <c r="L224" s="39"/>
      <c r="M224" s="39"/>
      <c r="N224" s="48"/>
      <c r="O224" s="48"/>
    </row>
    <row r="225" spans="1:15">
      <c r="A225" s="33" t="s">
        <v>65</v>
      </c>
      <c r="B225" s="34" t="s">
        <v>66</v>
      </c>
      <c r="C225" s="34" t="s">
        <v>35</v>
      </c>
      <c r="D225" s="35">
        <f t="shared" si="11"/>
        <v>1</v>
      </c>
      <c r="E225" s="34">
        <v>5</v>
      </c>
      <c r="F225" s="34" t="s">
        <v>36</v>
      </c>
      <c r="G225" s="38">
        <f t="shared" si="12"/>
        <v>0</v>
      </c>
      <c r="H225" s="39">
        <v>1200.00000076834</v>
      </c>
      <c r="I225" s="34"/>
      <c r="J225" s="34"/>
      <c r="K225" s="34"/>
      <c r="L225" s="39"/>
      <c r="M225" s="39"/>
      <c r="N225" s="48"/>
      <c r="O225" s="48"/>
    </row>
    <row r="226" spans="1:15">
      <c r="A226" s="33" t="s">
        <v>53</v>
      </c>
      <c r="B226" s="34" t="s">
        <v>54</v>
      </c>
      <c r="C226" s="34" t="s">
        <v>36</v>
      </c>
      <c r="D226" s="35">
        <f t="shared" si="11"/>
        <v>0</v>
      </c>
      <c r="E226" s="34">
        <v>3</v>
      </c>
      <c r="F226" s="34" t="s">
        <v>36</v>
      </c>
      <c r="G226" s="38">
        <f t="shared" si="12"/>
        <v>0</v>
      </c>
      <c r="H226" s="39">
        <v>912.000003852881</v>
      </c>
      <c r="I226" s="34"/>
      <c r="J226" s="34"/>
      <c r="K226" s="34"/>
      <c r="L226" s="39"/>
      <c r="M226" s="39"/>
      <c r="N226" s="48"/>
      <c r="O226" s="48"/>
    </row>
    <row r="227" spans="1:15">
      <c r="A227" s="33" t="s">
        <v>79</v>
      </c>
      <c r="B227" s="34" t="s">
        <v>80</v>
      </c>
      <c r="C227" s="34" t="s">
        <v>35</v>
      </c>
      <c r="D227" s="35">
        <f t="shared" si="11"/>
        <v>1</v>
      </c>
      <c r="E227" s="34">
        <v>3</v>
      </c>
      <c r="F227" s="34" t="s">
        <v>36</v>
      </c>
      <c r="G227" s="38">
        <f t="shared" si="12"/>
        <v>0</v>
      </c>
      <c r="H227" s="39">
        <v>355.000000004657</v>
      </c>
      <c r="I227" s="34"/>
      <c r="J227" s="34"/>
      <c r="K227" s="34"/>
      <c r="L227" s="39"/>
      <c r="M227" s="39"/>
      <c r="N227" s="48"/>
      <c r="O227" s="48"/>
    </row>
    <row r="228" spans="1:15">
      <c r="A228" s="33" t="s">
        <v>59</v>
      </c>
      <c r="B228" s="34" t="s">
        <v>60</v>
      </c>
      <c r="C228" s="34" t="s">
        <v>35</v>
      </c>
      <c r="D228" s="35">
        <f t="shared" si="11"/>
        <v>1</v>
      </c>
      <c r="E228" s="34">
        <v>3</v>
      </c>
      <c r="F228" s="34" t="s">
        <v>36</v>
      </c>
      <c r="G228" s="38">
        <f t="shared" si="12"/>
        <v>0</v>
      </c>
      <c r="H228" s="39">
        <v>1383.99999851827</v>
      </c>
      <c r="I228" s="34"/>
      <c r="J228" s="34"/>
      <c r="K228" s="34"/>
      <c r="L228" s="39"/>
      <c r="M228" s="39"/>
      <c r="N228" s="48"/>
      <c r="O228" s="48"/>
    </row>
    <row r="229" spans="1:15">
      <c r="A229" s="33" t="s">
        <v>55</v>
      </c>
      <c r="B229" s="34" t="s">
        <v>56</v>
      </c>
      <c r="C229" s="34" t="s">
        <v>35</v>
      </c>
      <c r="D229" s="35">
        <f t="shared" si="11"/>
        <v>1</v>
      </c>
      <c r="E229" s="34">
        <v>5</v>
      </c>
      <c r="F229" s="34" t="s">
        <v>36</v>
      </c>
      <c r="G229" s="38">
        <f t="shared" si="12"/>
        <v>0</v>
      </c>
      <c r="H229" s="39">
        <v>1294.00000388268</v>
      </c>
      <c r="I229" s="34"/>
      <c r="J229" s="34"/>
      <c r="K229" s="34"/>
      <c r="L229" s="39"/>
      <c r="M229" s="39"/>
      <c r="N229" s="48"/>
      <c r="O229" s="48"/>
    </row>
    <row r="230" spans="1:15">
      <c r="A230" s="33" t="s">
        <v>65</v>
      </c>
      <c r="B230" s="34" t="s">
        <v>66</v>
      </c>
      <c r="C230" s="34" t="s">
        <v>35</v>
      </c>
      <c r="D230" s="35">
        <f t="shared" si="11"/>
        <v>1</v>
      </c>
      <c r="E230" s="34">
        <v>3</v>
      </c>
      <c r="F230" s="34" t="s">
        <v>36</v>
      </c>
      <c r="G230" s="38">
        <f t="shared" si="12"/>
        <v>0</v>
      </c>
      <c r="H230" s="39">
        <v>741.000000969507</v>
      </c>
      <c r="I230" s="34"/>
      <c r="J230" s="34"/>
      <c r="K230" s="34"/>
      <c r="L230" s="39"/>
      <c r="M230" s="39"/>
      <c r="N230" s="48"/>
      <c r="O230" s="48"/>
    </row>
    <row r="231" spans="1:15">
      <c r="A231" s="33" t="s">
        <v>71</v>
      </c>
      <c r="B231" s="34" t="s">
        <v>72</v>
      </c>
      <c r="C231" s="34" t="s">
        <v>35</v>
      </c>
      <c r="D231" s="35">
        <f t="shared" si="11"/>
        <v>1</v>
      </c>
      <c r="E231" s="34">
        <v>4</v>
      </c>
      <c r="F231" s="34" t="s">
        <v>36</v>
      </c>
      <c r="G231" s="38">
        <f t="shared" si="12"/>
        <v>0</v>
      </c>
      <c r="H231" s="39">
        <v>1483.99999800604</v>
      </c>
      <c r="I231" s="34"/>
      <c r="J231" s="34"/>
      <c r="K231" s="34"/>
      <c r="L231" s="39"/>
      <c r="M231" s="39"/>
      <c r="N231" s="48"/>
      <c r="O231" s="48"/>
    </row>
    <row r="232" spans="1:15">
      <c r="A232" s="33" t="s">
        <v>59</v>
      </c>
      <c r="B232" s="34" t="s">
        <v>60</v>
      </c>
      <c r="C232" s="34" t="s">
        <v>35</v>
      </c>
      <c r="D232" s="35">
        <f t="shared" si="11"/>
        <v>1</v>
      </c>
      <c r="E232" s="34">
        <v>5</v>
      </c>
      <c r="F232" s="34" t="s">
        <v>36</v>
      </c>
      <c r="G232" s="38">
        <f t="shared" si="12"/>
        <v>0</v>
      </c>
      <c r="H232" s="39">
        <v>795.99999433849</v>
      </c>
      <c r="I232" s="34"/>
      <c r="J232" s="34"/>
      <c r="K232" s="34"/>
      <c r="L232" s="39"/>
      <c r="M232" s="39"/>
      <c r="N232" s="48"/>
      <c r="O232" s="48"/>
    </row>
    <row r="233" spans="1:15">
      <c r="A233" s="33" t="s">
        <v>73</v>
      </c>
      <c r="B233" s="34" t="s">
        <v>74</v>
      </c>
      <c r="C233" s="34" t="s">
        <v>35</v>
      </c>
      <c r="D233" s="35">
        <f t="shared" si="11"/>
        <v>1</v>
      </c>
      <c r="E233" s="34">
        <v>5</v>
      </c>
      <c r="F233" s="34" t="s">
        <v>36</v>
      </c>
      <c r="G233" s="38">
        <f t="shared" si="12"/>
        <v>0</v>
      </c>
      <c r="H233" s="39">
        <v>819.000002858229</v>
      </c>
      <c r="I233" s="34"/>
      <c r="J233" s="34"/>
      <c r="K233" s="34"/>
      <c r="L233" s="39"/>
      <c r="M233" s="39"/>
      <c r="N233" s="48"/>
      <c r="O233" s="48"/>
    </row>
    <row r="234" spans="1:15">
      <c r="A234" s="33" t="s">
        <v>61</v>
      </c>
      <c r="B234" s="34" t="s">
        <v>62</v>
      </c>
      <c r="C234" s="34" t="s">
        <v>35</v>
      </c>
      <c r="D234" s="35">
        <f t="shared" si="11"/>
        <v>1</v>
      </c>
      <c r="E234" s="34">
        <v>4</v>
      </c>
      <c r="F234" s="34" t="s">
        <v>36</v>
      </c>
      <c r="G234" s="38">
        <f t="shared" si="12"/>
        <v>0</v>
      </c>
      <c r="H234" s="39">
        <v>1255.99999688566</v>
      </c>
      <c r="I234" s="34"/>
      <c r="J234" s="34"/>
      <c r="K234" s="34"/>
      <c r="L234" s="39"/>
      <c r="M234" s="39"/>
      <c r="N234" s="48"/>
      <c r="O234" s="48"/>
    </row>
    <row r="235" spans="1:15">
      <c r="A235" s="33" t="s">
        <v>77</v>
      </c>
      <c r="B235" s="34" t="s">
        <v>78</v>
      </c>
      <c r="C235" s="34" t="s">
        <v>35</v>
      </c>
      <c r="D235" s="35">
        <f t="shared" si="11"/>
        <v>1</v>
      </c>
      <c r="E235" s="34">
        <v>4</v>
      </c>
      <c r="F235" s="34" t="s">
        <v>36</v>
      </c>
      <c r="G235" s="38">
        <f t="shared" si="12"/>
        <v>0</v>
      </c>
      <c r="H235" s="39">
        <v>1399.99999911524</v>
      </c>
      <c r="I235" s="34"/>
      <c r="J235" s="34"/>
      <c r="K235" s="34"/>
      <c r="L235" s="39"/>
      <c r="M235" s="39"/>
      <c r="N235" s="48"/>
      <c r="O235" s="48"/>
    </row>
    <row r="236" spans="1:15">
      <c r="A236" s="33" t="s">
        <v>73</v>
      </c>
      <c r="B236" s="34" t="s">
        <v>74</v>
      </c>
      <c r="C236" s="34" t="s">
        <v>35</v>
      </c>
      <c r="D236" s="35">
        <f t="shared" si="11"/>
        <v>1</v>
      </c>
      <c r="E236" s="34">
        <v>3</v>
      </c>
      <c r="F236" s="34" t="s">
        <v>36</v>
      </c>
      <c r="G236" s="38">
        <f t="shared" si="12"/>
        <v>0</v>
      </c>
      <c r="H236" s="39">
        <v>1534.99999924097</v>
      </c>
      <c r="I236" s="34"/>
      <c r="J236" s="34"/>
      <c r="K236" s="34"/>
      <c r="L236" s="39"/>
      <c r="M236" s="39"/>
      <c r="N236" s="48"/>
      <c r="O236" s="48"/>
    </row>
    <row r="237" spans="1:15">
      <c r="A237" s="33" t="s">
        <v>75</v>
      </c>
      <c r="B237" s="34" t="s">
        <v>76</v>
      </c>
      <c r="C237" s="34" t="s">
        <v>36</v>
      </c>
      <c r="D237" s="35">
        <f t="shared" si="11"/>
        <v>0</v>
      </c>
      <c r="E237" s="34">
        <v>3</v>
      </c>
      <c r="F237" s="34" t="s">
        <v>36</v>
      </c>
      <c r="G237" s="38">
        <f t="shared" si="12"/>
        <v>0</v>
      </c>
      <c r="H237" s="39">
        <v>158.999993163161</v>
      </c>
      <c r="I237" s="34"/>
      <c r="J237" s="34"/>
      <c r="K237" s="34"/>
      <c r="L237" s="39"/>
      <c r="M237" s="39"/>
      <c r="N237" s="48"/>
      <c r="O237" s="48"/>
    </row>
    <row r="238" spans="1:15">
      <c r="A238" s="33" t="s">
        <v>65</v>
      </c>
      <c r="B238" s="34" t="s">
        <v>66</v>
      </c>
      <c r="C238" s="34" t="s">
        <v>35</v>
      </c>
      <c r="D238" s="35">
        <f t="shared" si="11"/>
        <v>1</v>
      </c>
      <c r="E238" s="34">
        <v>4</v>
      </c>
      <c r="F238" s="34" t="s">
        <v>36</v>
      </c>
      <c r="G238" s="38">
        <f t="shared" si="12"/>
        <v>0</v>
      </c>
      <c r="H238" s="39">
        <v>1324.99999604188</v>
      </c>
      <c r="I238" s="34"/>
      <c r="J238" s="34"/>
      <c r="K238" s="34"/>
      <c r="L238" s="39"/>
      <c r="M238" s="39"/>
      <c r="N238" s="48"/>
      <c r="O238" s="48"/>
    </row>
    <row r="239" spans="1:15">
      <c r="A239" s="33" t="s">
        <v>55</v>
      </c>
      <c r="B239" s="34" t="s">
        <v>56</v>
      </c>
      <c r="C239" s="34" t="s">
        <v>36</v>
      </c>
      <c r="D239" s="35">
        <f t="shared" si="11"/>
        <v>0</v>
      </c>
      <c r="E239" s="34">
        <v>1</v>
      </c>
      <c r="F239" s="34" t="s">
        <v>35</v>
      </c>
      <c r="G239" s="38">
        <f t="shared" si="12"/>
        <v>1</v>
      </c>
      <c r="H239" s="39">
        <v>1156.99999951757</v>
      </c>
      <c r="I239" s="34"/>
      <c r="J239" s="34"/>
      <c r="K239" s="34"/>
      <c r="L239" s="39"/>
      <c r="M239" s="39"/>
      <c r="N239" s="48"/>
      <c r="O239" s="48"/>
    </row>
    <row r="240" spans="1:15">
      <c r="A240" s="33" t="s">
        <v>65</v>
      </c>
      <c r="B240" s="34" t="s">
        <v>66</v>
      </c>
      <c r="C240" s="34" t="s">
        <v>35</v>
      </c>
      <c r="D240" s="35">
        <f t="shared" si="11"/>
        <v>1</v>
      </c>
      <c r="E240" s="34">
        <v>4</v>
      </c>
      <c r="F240" s="34" t="s">
        <v>36</v>
      </c>
      <c r="G240" s="38">
        <f t="shared" si="12"/>
        <v>0</v>
      </c>
      <c r="H240" s="39">
        <v>785.000004339963</v>
      </c>
      <c r="I240" s="34"/>
      <c r="J240" s="34"/>
      <c r="K240" s="34"/>
      <c r="L240" s="39"/>
      <c r="M240" s="39"/>
      <c r="N240" s="48"/>
      <c r="O240" s="48"/>
    </row>
    <row r="241" spans="1:15">
      <c r="A241" s="33" t="s">
        <v>77</v>
      </c>
      <c r="B241" s="34" t="s">
        <v>78</v>
      </c>
      <c r="C241" s="34" t="s">
        <v>35</v>
      </c>
      <c r="D241" s="35">
        <f t="shared" si="11"/>
        <v>1</v>
      </c>
      <c r="E241" s="34">
        <v>5</v>
      </c>
      <c r="F241" s="34" t="s">
        <v>36</v>
      </c>
      <c r="G241" s="38">
        <f t="shared" si="12"/>
        <v>0</v>
      </c>
      <c r="H241" s="39">
        <v>1754.99999974854</v>
      </c>
      <c r="I241" s="34"/>
      <c r="J241" s="34"/>
      <c r="K241" s="34"/>
      <c r="L241" s="39"/>
      <c r="M241" s="39"/>
      <c r="N241" s="48"/>
      <c r="O241" s="48"/>
    </row>
    <row r="242" spans="1:15">
      <c r="A242" s="33" t="s">
        <v>73</v>
      </c>
      <c r="B242" s="34" t="s">
        <v>74</v>
      </c>
      <c r="C242" s="34" t="s">
        <v>35</v>
      </c>
      <c r="D242" s="35">
        <f t="shared" si="11"/>
        <v>1</v>
      </c>
      <c r="E242" s="34">
        <v>3</v>
      </c>
      <c r="F242" s="34" t="s">
        <v>36</v>
      </c>
      <c r="G242" s="38">
        <f t="shared" si="12"/>
        <v>0</v>
      </c>
      <c r="H242" s="39">
        <v>229.000003240071</v>
      </c>
      <c r="I242" s="34"/>
      <c r="J242" s="34"/>
      <c r="K242" s="34"/>
      <c r="L242" s="39"/>
      <c r="M242" s="39"/>
      <c r="N242" s="48"/>
      <c r="O242" s="48"/>
    </row>
    <row r="243" spans="1:15">
      <c r="A243" s="33" t="s">
        <v>81</v>
      </c>
      <c r="B243" s="34" t="s">
        <v>82</v>
      </c>
      <c r="C243" s="34" t="s">
        <v>35</v>
      </c>
      <c r="D243" s="35">
        <f t="shared" si="11"/>
        <v>1</v>
      </c>
      <c r="E243" s="34">
        <v>5</v>
      </c>
      <c r="F243" s="34" t="s">
        <v>36</v>
      </c>
      <c r="G243" s="38">
        <f t="shared" si="12"/>
        <v>0</v>
      </c>
      <c r="H243" s="39">
        <v>1476.99999951292</v>
      </c>
      <c r="I243" s="34"/>
      <c r="J243" s="34"/>
      <c r="K243" s="34"/>
      <c r="L243" s="39"/>
      <c r="M243" s="39"/>
      <c r="N243" s="48"/>
      <c r="O243" s="48"/>
    </row>
    <row r="244" spans="1:15">
      <c r="A244" s="33" t="s">
        <v>81</v>
      </c>
      <c r="B244" s="34" t="s">
        <v>82</v>
      </c>
      <c r="C244" s="34" t="s">
        <v>35</v>
      </c>
      <c r="D244" s="35">
        <f t="shared" si="11"/>
        <v>1</v>
      </c>
      <c r="E244" s="34">
        <v>3</v>
      </c>
      <c r="F244" s="34" t="s">
        <v>36</v>
      </c>
      <c r="G244" s="38">
        <f t="shared" si="12"/>
        <v>0</v>
      </c>
      <c r="H244" s="39">
        <v>704.000004893169</v>
      </c>
      <c r="I244" s="34"/>
      <c r="J244" s="34"/>
      <c r="K244" s="34"/>
      <c r="L244" s="39"/>
      <c r="M244" s="39"/>
      <c r="N244" s="48"/>
      <c r="O244" s="48"/>
    </row>
    <row r="245" spans="1:15">
      <c r="A245" s="33" t="s">
        <v>67</v>
      </c>
      <c r="B245" s="34" t="s">
        <v>68</v>
      </c>
      <c r="C245" s="34" t="s">
        <v>35</v>
      </c>
      <c r="D245" s="35">
        <f t="shared" si="11"/>
        <v>1</v>
      </c>
      <c r="E245" s="34">
        <v>3</v>
      </c>
      <c r="F245" s="34" t="s">
        <v>36</v>
      </c>
      <c r="G245" s="38">
        <f t="shared" si="12"/>
        <v>0</v>
      </c>
      <c r="H245" s="39">
        <v>1798.99999494664</v>
      </c>
      <c r="I245" s="34"/>
      <c r="J245" s="34"/>
      <c r="K245" s="34"/>
      <c r="L245" s="39"/>
      <c r="M245" s="39"/>
      <c r="N245" s="48"/>
      <c r="O245" s="48"/>
    </row>
    <row r="246" spans="1:15">
      <c r="A246" s="33" t="s">
        <v>63</v>
      </c>
      <c r="B246" s="34" t="s">
        <v>64</v>
      </c>
      <c r="C246" s="34" t="s">
        <v>35</v>
      </c>
      <c r="D246" s="35">
        <f t="shared" si="11"/>
        <v>1</v>
      </c>
      <c r="E246" s="34">
        <v>4</v>
      </c>
      <c r="F246" s="34" t="s">
        <v>36</v>
      </c>
      <c r="G246" s="38">
        <f t="shared" si="12"/>
        <v>0</v>
      </c>
      <c r="H246" s="39">
        <v>768.000000994653</v>
      </c>
      <c r="I246" s="34"/>
      <c r="J246" s="34"/>
      <c r="K246" s="34"/>
      <c r="L246" s="39"/>
      <c r="M246" s="39"/>
      <c r="N246" s="48"/>
      <c r="O246" s="48"/>
    </row>
    <row r="247" spans="1:15">
      <c r="A247" s="33" t="s">
        <v>77</v>
      </c>
      <c r="B247" s="34" t="s">
        <v>78</v>
      </c>
      <c r="C247" s="34" t="s">
        <v>35</v>
      </c>
      <c r="D247" s="35">
        <f t="shared" si="11"/>
        <v>1</v>
      </c>
      <c r="E247" s="34">
        <v>4</v>
      </c>
      <c r="F247" s="34" t="s">
        <v>36</v>
      </c>
      <c r="G247" s="38">
        <f t="shared" si="12"/>
        <v>0</v>
      </c>
      <c r="H247" s="39">
        <v>120.000001019798</v>
      </c>
      <c r="I247" s="34"/>
      <c r="J247" s="34"/>
      <c r="K247" s="34"/>
      <c r="L247" s="39"/>
      <c r="M247" s="39"/>
      <c r="N247" s="48"/>
      <c r="O247" s="48"/>
    </row>
    <row r="248" spans="1:15">
      <c r="A248" s="33" t="s">
        <v>59</v>
      </c>
      <c r="B248" s="34" t="s">
        <v>60</v>
      </c>
      <c r="C248" s="34" t="s">
        <v>35</v>
      </c>
      <c r="D248" s="35">
        <f t="shared" si="11"/>
        <v>1</v>
      </c>
      <c r="E248" s="34">
        <v>4</v>
      </c>
      <c r="F248" s="34" t="s">
        <v>36</v>
      </c>
      <c r="G248" s="38">
        <f t="shared" si="12"/>
        <v>0</v>
      </c>
      <c r="H248" s="39">
        <v>1325.99999816157</v>
      </c>
      <c r="I248" s="34"/>
      <c r="J248" s="34"/>
      <c r="K248" s="34"/>
      <c r="L248" s="39"/>
      <c r="M248" s="39"/>
      <c r="N248" s="48"/>
      <c r="O248" s="48"/>
    </row>
    <row r="249" spans="1:15">
      <c r="A249" s="33" t="s">
        <v>71</v>
      </c>
      <c r="B249" s="34" t="s">
        <v>72</v>
      </c>
      <c r="C249" s="34" t="s">
        <v>35</v>
      </c>
      <c r="D249" s="35">
        <f t="shared" si="11"/>
        <v>1</v>
      </c>
      <c r="E249" s="34">
        <v>4</v>
      </c>
      <c r="F249" s="34" t="s">
        <v>36</v>
      </c>
      <c r="G249" s="38">
        <f t="shared" si="12"/>
        <v>0</v>
      </c>
      <c r="H249" s="39">
        <v>708.000005199574</v>
      </c>
      <c r="I249" s="34"/>
      <c r="J249" s="34"/>
      <c r="K249" s="34"/>
      <c r="L249" s="39"/>
      <c r="M249" s="39"/>
      <c r="N249" s="48"/>
      <c r="O249" s="48"/>
    </row>
    <row r="250" spans="1:15">
      <c r="A250" s="33" t="s">
        <v>69</v>
      </c>
      <c r="B250" s="34" t="s">
        <v>70</v>
      </c>
      <c r="C250" s="34" t="s">
        <v>35</v>
      </c>
      <c r="D250" s="35">
        <f t="shared" si="11"/>
        <v>1</v>
      </c>
      <c r="E250" s="34">
        <v>4</v>
      </c>
      <c r="F250" s="34" t="s">
        <v>36</v>
      </c>
      <c r="G250" s="38">
        <f t="shared" si="12"/>
        <v>0</v>
      </c>
      <c r="H250" s="39">
        <v>237.999997171573</v>
      </c>
      <c r="I250" s="34"/>
      <c r="J250" s="34"/>
      <c r="K250" s="34"/>
      <c r="L250" s="39"/>
      <c r="M250" s="39"/>
      <c r="N250" s="48"/>
      <c r="O250" s="48"/>
    </row>
    <row r="251" spans="1:15">
      <c r="A251" s="33" t="s">
        <v>57</v>
      </c>
      <c r="B251" s="34" t="s">
        <v>58</v>
      </c>
      <c r="C251" s="34" t="s">
        <v>35</v>
      </c>
      <c r="D251" s="35">
        <f t="shared" si="11"/>
        <v>1</v>
      </c>
      <c r="E251" s="34">
        <v>3</v>
      </c>
      <c r="F251" s="34" t="s">
        <v>36</v>
      </c>
      <c r="G251" s="38">
        <f t="shared" si="12"/>
        <v>0</v>
      </c>
      <c r="H251" s="39">
        <v>249.999998719431</v>
      </c>
      <c r="I251" s="34"/>
      <c r="J251" s="34"/>
      <c r="K251" s="34"/>
      <c r="L251" s="39"/>
      <c r="M251" s="39"/>
      <c r="N251" s="48"/>
      <c r="O251" s="48"/>
    </row>
    <row r="252" spans="1:15">
      <c r="A252" s="33" t="s">
        <v>71</v>
      </c>
      <c r="B252" s="34" t="s">
        <v>72</v>
      </c>
      <c r="C252" s="34" t="s">
        <v>35</v>
      </c>
      <c r="D252" s="35">
        <f t="shared" si="11"/>
        <v>1</v>
      </c>
      <c r="E252" s="34">
        <v>4</v>
      </c>
      <c r="F252" s="34" t="s">
        <v>36</v>
      </c>
      <c r="G252" s="38">
        <f t="shared" si="12"/>
        <v>0</v>
      </c>
      <c r="H252" s="39">
        <v>407.000004616566</v>
      </c>
      <c r="I252" s="34"/>
      <c r="J252" s="34"/>
      <c r="K252" s="34"/>
      <c r="L252" s="39"/>
      <c r="M252" s="39"/>
      <c r="N252" s="48"/>
      <c r="O252" s="48"/>
    </row>
    <row r="253" spans="1:15">
      <c r="A253" s="33" t="s">
        <v>61</v>
      </c>
      <c r="B253" s="34" t="s">
        <v>62</v>
      </c>
      <c r="C253" s="34" t="s">
        <v>35</v>
      </c>
      <c r="D253" s="35">
        <f t="shared" si="11"/>
        <v>1</v>
      </c>
      <c r="E253" s="34">
        <v>3</v>
      </c>
      <c r="F253" s="34" t="s">
        <v>36</v>
      </c>
      <c r="G253" s="38">
        <f t="shared" si="12"/>
        <v>0</v>
      </c>
      <c r="H253" s="39">
        <v>922.000000532717</v>
      </c>
      <c r="I253" s="34"/>
      <c r="J253" s="34"/>
      <c r="K253" s="34"/>
      <c r="L253" s="39"/>
      <c r="M253" s="39"/>
      <c r="N253" s="48"/>
      <c r="O253" s="48"/>
    </row>
    <row r="254" spans="1:15">
      <c r="A254" s="33" t="s">
        <v>71</v>
      </c>
      <c r="B254" s="34" t="s">
        <v>72</v>
      </c>
      <c r="C254" s="34" t="s">
        <v>36</v>
      </c>
      <c r="D254" s="35">
        <f t="shared" si="11"/>
        <v>0</v>
      </c>
      <c r="E254" s="34">
        <v>2</v>
      </c>
      <c r="F254" s="34" t="s">
        <v>36</v>
      </c>
      <c r="G254" s="38">
        <f t="shared" si="12"/>
        <v>0</v>
      </c>
      <c r="H254" s="39">
        <v>460.000001918525</v>
      </c>
      <c r="I254" s="34"/>
      <c r="J254" s="34"/>
      <c r="K254" s="34"/>
      <c r="L254" s="39"/>
      <c r="M254" s="39"/>
      <c r="N254" s="48"/>
      <c r="O254" s="48"/>
    </row>
    <row r="255" spans="1:15">
      <c r="A255" s="33" t="s">
        <v>77</v>
      </c>
      <c r="B255" s="34" t="s">
        <v>78</v>
      </c>
      <c r="C255" s="34" t="s">
        <v>35</v>
      </c>
      <c r="D255" s="35">
        <f t="shared" si="11"/>
        <v>1</v>
      </c>
      <c r="E255" s="34">
        <v>3</v>
      </c>
      <c r="F255" s="34" t="s">
        <v>36</v>
      </c>
      <c r="G255" s="38">
        <f t="shared" si="12"/>
        <v>0</v>
      </c>
      <c r="H255" s="39">
        <v>940.999999945052</v>
      </c>
      <c r="I255" s="34"/>
      <c r="J255" s="34"/>
      <c r="K255" s="34"/>
      <c r="L255" s="39"/>
      <c r="M255" s="39"/>
      <c r="N255" s="48"/>
      <c r="O255" s="48"/>
    </row>
    <row r="256" spans="1:15">
      <c r="A256" s="33" t="s">
        <v>73</v>
      </c>
      <c r="B256" s="34" t="s">
        <v>74</v>
      </c>
      <c r="C256" s="34" t="s">
        <v>35</v>
      </c>
      <c r="D256" s="35">
        <f t="shared" si="11"/>
        <v>1</v>
      </c>
      <c r="E256" s="34">
        <v>4</v>
      </c>
      <c r="F256" s="34" t="s">
        <v>36</v>
      </c>
      <c r="G256" s="38">
        <f t="shared" si="12"/>
        <v>0</v>
      </c>
      <c r="H256" s="39">
        <v>656.000000587665</v>
      </c>
      <c r="I256" s="34"/>
      <c r="J256" s="34"/>
      <c r="K256" s="34"/>
      <c r="L256" s="39"/>
      <c r="M256" s="39"/>
      <c r="N256" s="48"/>
      <c r="O256" s="48"/>
    </row>
    <row r="257" spans="1:15">
      <c r="A257" s="33" t="s">
        <v>69</v>
      </c>
      <c r="B257" s="34" t="s">
        <v>70</v>
      </c>
      <c r="C257" s="34" t="s">
        <v>36</v>
      </c>
      <c r="D257" s="35">
        <f t="shared" si="11"/>
        <v>0</v>
      </c>
      <c r="E257" s="34">
        <v>2</v>
      </c>
      <c r="F257" s="34" t="s">
        <v>35</v>
      </c>
      <c r="G257" s="38">
        <f t="shared" si="12"/>
        <v>1</v>
      </c>
      <c r="H257" s="39">
        <v>427.999999467283</v>
      </c>
      <c r="I257" s="34"/>
      <c r="J257" s="34"/>
      <c r="K257" s="34"/>
      <c r="L257" s="39"/>
      <c r="M257" s="39"/>
      <c r="N257" s="48"/>
      <c r="O257" s="48"/>
    </row>
    <row r="258" spans="1:15">
      <c r="A258" s="33" t="s">
        <v>57</v>
      </c>
      <c r="B258" s="34" t="s">
        <v>58</v>
      </c>
      <c r="C258" s="34" t="s">
        <v>36</v>
      </c>
      <c r="D258" s="35">
        <f t="shared" ref="D258:D321" si="13">IF(C258="Y",1,0)</f>
        <v>0</v>
      </c>
      <c r="E258" s="34">
        <v>2</v>
      </c>
      <c r="F258" s="34" t="s">
        <v>35</v>
      </c>
      <c r="G258" s="38">
        <f t="shared" si="12"/>
        <v>1</v>
      </c>
      <c r="H258" s="39">
        <v>344.999995152466</v>
      </c>
      <c r="I258" s="34"/>
      <c r="J258" s="34"/>
      <c r="K258" s="34"/>
      <c r="L258" s="39"/>
      <c r="M258" s="39"/>
      <c r="N258" s="48"/>
      <c r="O258" s="48"/>
    </row>
    <row r="259" spans="1:15">
      <c r="A259" s="33" t="s">
        <v>57</v>
      </c>
      <c r="B259" s="34" t="s">
        <v>58</v>
      </c>
      <c r="C259" s="34" t="s">
        <v>35</v>
      </c>
      <c r="D259" s="35">
        <f t="shared" si="13"/>
        <v>1</v>
      </c>
      <c r="E259" s="34">
        <v>5</v>
      </c>
      <c r="F259" s="34" t="s">
        <v>36</v>
      </c>
      <c r="G259" s="38">
        <f t="shared" ref="G259:G322" si="14">IF(F259="Y",1,0)</f>
        <v>0</v>
      </c>
      <c r="H259" s="39">
        <v>1154.00000133086</v>
      </c>
      <c r="I259" s="34"/>
      <c r="J259" s="34"/>
      <c r="K259" s="34"/>
      <c r="L259" s="39"/>
      <c r="M259" s="39"/>
      <c r="N259" s="48"/>
      <c r="O259" s="48"/>
    </row>
    <row r="260" spans="1:15">
      <c r="A260" s="33" t="s">
        <v>77</v>
      </c>
      <c r="B260" s="34" t="s">
        <v>78</v>
      </c>
      <c r="C260" s="34" t="s">
        <v>35</v>
      </c>
      <c r="D260" s="35">
        <f t="shared" si="13"/>
        <v>1</v>
      </c>
      <c r="E260" s="34">
        <v>5</v>
      </c>
      <c r="F260" s="34" t="s">
        <v>36</v>
      </c>
      <c r="G260" s="38">
        <f t="shared" si="14"/>
        <v>0</v>
      </c>
      <c r="H260" s="39">
        <v>568.000002019107</v>
      </c>
      <c r="I260" s="34"/>
      <c r="J260" s="34"/>
      <c r="K260" s="34"/>
      <c r="L260" s="39"/>
      <c r="M260" s="39"/>
      <c r="N260" s="48"/>
      <c r="O260" s="48"/>
    </row>
    <row r="261" spans="1:15">
      <c r="A261" s="33" t="s">
        <v>53</v>
      </c>
      <c r="B261" s="34" t="s">
        <v>54</v>
      </c>
      <c r="C261" s="34" t="s">
        <v>35</v>
      </c>
      <c r="D261" s="35">
        <f t="shared" si="13"/>
        <v>1</v>
      </c>
      <c r="E261" s="34">
        <v>5</v>
      </c>
      <c r="F261" s="34" t="s">
        <v>36</v>
      </c>
      <c r="G261" s="38">
        <f t="shared" si="14"/>
        <v>0</v>
      </c>
      <c r="H261" s="39">
        <v>275.999996624887</v>
      </c>
      <c r="I261" s="34"/>
      <c r="J261" s="34"/>
      <c r="K261" s="34"/>
      <c r="L261" s="39"/>
      <c r="M261" s="39"/>
      <c r="N261" s="48"/>
      <c r="O261" s="48"/>
    </row>
    <row r="262" spans="1:15">
      <c r="A262" s="33" t="s">
        <v>75</v>
      </c>
      <c r="B262" s="34" t="s">
        <v>76</v>
      </c>
      <c r="C262" s="34" t="s">
        <v>35</v>
      </c>
      <c r="D262" s="35">
        <f t="shared" si="13"/>
        <v>1</v>
      </c>
      <c r="E262" s="34">
        <v>4</v>
      </c>
      <c r="F262" s="34" t="s">
        <v>36</v>
      </c>
      <c r="G262" s="38">
        <f t="shared" si="14"/>
        <v>0</v>
      </c>
      <c r="H262" s="39">
        <v>861.000001989305</v>
      </c>
      <c r="I262" s="34"/>
      <c r="J262" s="34"/>
      <c r="K262" s="34"/>
      <c r="L262" s="39"/>
      <c r="M262" s="39"/>
      <c r="N262" s="48"/>
      <c r="O262" s="48"/>
    </row>
    <row r="263" spans="1:15">
      <c r="A263" s="33" t="s">
        <v>57</v>
      </c>
      <c r="B263" s="34" t="s">
        <v>58</v>
      </c>
      <c r="C263" s="34" t="s">
        <v>35</v>
      </c>
      <c r="D263" s="35">
        <f t="shared" si="13"/>
        <v>1</v>
      </c>
      <c r="E263" s="34">
        <v>3</v>
      </c>
      <c r="F263" s="34" t="s">
        <v>36</v>
      </c>
      <c r="G263" s="38">
        <f t="shared" si="14"/>
        <v>0</v>
      </c>
      <c r="H263" s="39">
        <v>297.000000276603</v>
      </c>
      <c r="I263" s="34"/>
      <c r="J263" s="34"/>
      <c r="K263" s="34"/>
      <c r="L263" s="39"/>
      <c r="M263" s="39"/>
      <c r="N263" s="48"/>
      <c r="O263" s="48"/>
    </row>
    <row r="264" spans="1:15">
      <c r="A264" s="33" t="s">
        <v>75</v>
      </c>
      <c r="B264" s="34" t="s">
        <v>76</v>
      </c>
      <c r="C264" s="34" t="s">
        <v>36</v>
      </c>
      <c r="D264" s="35">
        <f t="shared" si="13"/>
        <v>0</v>
      </c>
      <c r="E264" s="34">
        <v>3</v>
      </c>
      <c r="F264" s="34" t="s">
        <v>36</v>
      </c>
      <c r="G264" s="38">
        <f t="shared" si="14"/>
        <v>0</v>
      </c>
      <c r="H264" s="39">
        <v>957.00000054203</v>
      </c>
      <c r="I264" s="34"/>
      <c r="J264" s="34"/>
      <c r="K264" s="34"/>
      <c r="L264" s="39"/>
      <c r="M264" s="39"/>
      <c r="N264" s="48"/>
      <c r="O264" s="48"/>
    </row>
    <row r="265" spans="1:15">
      <c r="A265" s="33" t="s">
        <v>79</v>
      </c>
      <c r="B265" s="34" t="s">
        <v>80</v>
      </c>
      <c r="C265" s="34" t="s">
        <v>36</v>
      </c>
      <c r="D265" s="35">
        <f t="shared" si="13"/>
        <v>0</v>
      </c>
      <c r="E265" s="34">
        <v>3</v>
      </c>
      <c r="F265" s="34" t="s">
        <v>36</v>
      </c>
      <c r="G265" s="38">
        <f t="shared" si="14"/>
        <v>0</v>
      </c>
      <c r="H265" s="39">
        <v>395.999997016042</v>
      </c>
      <c r="I265" s="34"/>
      <c r="J265" s="34"/>
      <c r="K265" s="34"/>
      <c r="L265" s="39"/>
      <c r="M265" s="39"/>
      <c r="N265" s="48"/>
      <c r="O265" s="48"/>
    </row>
    <row r="266" spans="1:15">
      <c r="A266" s="33" t="s">
        <v>73</v>
      </c>
      <c r="B266" s="34" t="s">
        <v>74</v>
      </c>
      <c r="C266" s="34" t="s">
        <v>35</v>
      </c>
      <c r="D266" s="35">
        <f t="shared" si="13"/>
        <v>1</v>
      </c>
      <c r="E266" s="34">
        <v>3</v>
      </c>
      <c r="F266" s="34" t="s">
        <v>36</v>
      </c>
      <c r="G266" s="38">
        <f t="shared" si="14"/>
        <v>0</v>
      </c>
      <c r="H266" s="39">
        <v>441.000003134832</v>
      </c>
      <c r="I266" s="34"/>
      <c r="J266" s="34"/>
      <c r="K266" s="34"/>
      <c r="L266" s="39"/>
      <c r="M266" s="39"/>
      <c r="N266" s="48"/>
      <c r="O266" s="48"/>
    </row>
    <row r="267" spans="1:15">
      <c r="A267" s="33" t="s">
        <v>73</v>
      </c>
      <c r="B267" s="34" t="s">
        <v>74</v>
      </c>
      <c r="C267" s="34" t="s">
        <v>35</v>
      </c>
      <c r="D267" s="35">
        <f t="shared" si="13"/>
        <v>1</v>
      </c>
      <c r="E267" s="34">
        <v>3</v>
      </c>
      <c r="F267" s="34" t="s">
        <v>36</v>
      </c>
      <c r="G267" s="38">
        <f t="shared" si="14"/>
        <v>0</v>
      </c>
      <c r="H267" s="39">
        <v>1503.00000621937</v>
      </c>
      <c r="I267" s="34"/>
      <c r="J267" s="34"/>
      <c r="K267" s="34"/>
      <c r="L267" s="39"/>
      <c r="M267" s="39"/>
      <c r="N267" s="48"/>
      <c r="O267" s="48"/>
    </row>
    <row r="268" spans="1:15">
      <c r="A268" s="33" t="s">
        <v>77</v>
      </c>
      <c r="B268" s="34" t="s">
        <v>78</v>
      </c>
      <c r="C268" s="34" t="s">
        <v>35</v>
      </c>
      <c r="D268" s="35">
        <f t="shared" si="13"/>
        <v>1</v>
      </c>
      <c r="E268" s="34">
        <v>5</v>
      </c>
      <c r="F268" s="34" t="s">
        <v>36</v>
      </c>
      <c r="G268" s="38">
        <f t="shared" si="14"/>
        <v>0</v>
      </c>
      <c r="H268" s="39">
        <v>463.000000105239</v>
      </c>
      <c r="I268" s="34"/>
      <c r="J268" s="34"/>
      <c r="K268" s="34"/>
      <c r="L268" s="39"/>
      <c r="M268" s="39"/>
      <c r="N268" s="48"/>
      <c r="O268" s="48"/>
    </row>
    <row r="269" spans="1:15">
      <c r="A269" s="33" t="s">
        <v>53</v>
      </c>
      <c r="B269" s="34" t="s">
        <v>54</v>
      </c>
      <c r="C269" s="34" t="s">
        <v>35</v>
      </c>
      <c r="D269" s="35">
        <f t="shared" si="13"/>
        <v>1</v>
      </c>
      <c r="E269" s="34">
        <v>5</v>
      </c>
      <c r="F269" s="34" t="s">
        <v>36</v>
      </c>
      <c r="G269" s="38">
        <f t="shared" si="14"/>
        <v>0</v>
      </c>
      <c r="H269" s="39">
        <v>1262.00000143144</v>
      </c>
      <c r="I269" s="34"/>
      <c r="J269" s="34"/>
      <c r="K269" s="34"/>
      <c r="L269" s="39"/>
      <c r="M269" s="39"/>
      <c r="N269" s="48"/>
      <c r="O269" s="48"/>
    </row>
    <row r="270" spans="1:15">
      <c r="A270" s="33" t="s">
        <v>71</v>
      </c>
      <c r="B270" s="34" t="s">
        <v>72</v>
      </c>
      <c r="C270" s="34" t="s">
        <v>36</v>
      </c>
      <c r="D270" s="35">
        <f t="shared" si="13"/>
        <v>0</v>
      </c>
      <c r="E270" s="34">
        <v>1</v>
      </c>
      <c r="F270" s="34" t="s">
        <v>36</v>
      </c>
      <c r="G270" s="38">
        <f t="shared" si="14"/>
        <v>0</v>
      </c>
      <c r="H270" s="39">
        <v>1267.99999780487</v>
      </c>
      <c r="I270" s="34"/>
      <c r="J270" s="34"/>
      <c r="K270" s="34"/>
      <c r="L270" s="39"/>
      <c r="M270" s="39"/>
      <c r="N270" s="48"/>
      <c r="O270" s="48"/>
    </row>
    <row r="271" spans="1:15">
      <c r="A271" s="33" t="s">
        <v>71</v>
      </c>
      <c r="B271" s="34" t="s">
        <v>72</v>
      </c>
      <c r="C271" s="34" t="s">
        <v>36</v>
      </c>
      <c r="D271" s="35">
        <f t="shared" si="13"/>
        <v>0</v>
      </c>
      <c r="E271" s="34">
        <v>3</v>
      </c>
      <c r="F271" s="34" t="s">
        <v>35</v>
      </c>
      <c r="G271" s="38">
        <f t="shared" si="14"/>
        <v>1</v>
      </c>
      <c r="H271" s="39">
        <v>1280.99999204278</v>
      </c>
      <c r="I271" s="34"/>
      <c r="J271" s="34"/>
      <c r="K271" s="34"/>
      <c r="L271" s="39"/>
      <c r="M271" s="39"/>
      <c r="N271" s="48"/>
      <c r="O271" s="48"/>
    </row>
    <row r="272" spans="1:15">
      <c r="A272" s="33" t="s">
        <v>81</v>
      </c>
      <c r="B272" s="34" t="s">
        <v>82</v>
      </c>
      <c r="C272" s="34" t="s">
        <v>35</v>
      </c>
      <c r="D272" s="35">
        <f t="shared" si="13"/>
        <v>1</v>
      </c>
      <c r="E272" s="34">
        <v>5</v>
      </c>
      <c r="F272" s="34" t="s">
        <v>36</v>
      </c>
      <c r="G272" s="38">
        <f t="shared" si="14"/>
        <v>0</v>
      </c>
      <c r="H272" s="39">
        <v>1062.00000308454</v>
      </c>
      <c r="I272" s="34"/>
      <c r="J272" s="34"/>
      <c r="K272" s="34"/>
      <c r="L272" s="39"/>
      <c r="M272" s="39"/>
      <c r="N272" s="48"/>
      <c r="O272" s="48"/>
    </row>
    <row r="273" spans="1:15">
      <c r="A273" s="33" t="s">
        <v>55</v>
      </c>
      <c r="B273" s="34" t="s">
        <v>56</v>
      </c>
      <c r="C273" s="34" t="s">
        <v>35</v>
      </c>
      <c r="D273" s="35">
        <f t="shared" si="13"/>
        <v>1</v>
      </c>
      <c r="E273" s="34">
        <v>4</v>
      </c>
      <c r="F273" s="34" t="s">
        <v>36</v>
      </c>
      <c r="G273" s="38">
        <f t="shared" si="14"/>
        <v>0</v>
      </c>
      <c r="H273" s="39">
        <v>338.999998779036</v>
      </c>
      <c r="I273" s="34"/>
      <c r="J273" s="34"/>
      <c r="K273" s="34"/>
      <c r="L273" s="39"/>
      <c r="M273" s="39"/>
      <c r="N273" s="48"/>
      <c r="O273" s="48"/>
    </row>
    <row r="274" spans="1:15">
      <c r="A274" s="33" t="s">
        <v>71</v>
      </c>
      <c r="B274" s="34" t="s">
        <v>72</v>
      </c>
      <c r="C274" s="34" t="s">
        <v>36</v>
      </c>
      <c r="D274" s="35">
        <f t="shared" si="13"/>
        <v>0</v>
      </c>
      <c r="E274" s="34">
        <v>1</v>
      </c>
      <c r="F274" s="34" t="s">
        <v>35</v>
      </c>
      <c r="G274" s="38">
        <f t="shared" si="14"/>
        <v>1</v>
      </c>
      <c r="H274" s="39">
        <v>229.000003240071</v>
      </c>
      <c r="I274" s="34"/>
      <c r="J274" s="34"/>
      <c r="K274" s="34"/>
      <c r="L274" s="39"/>
      <c r="M274" s="39"/>
      <c r="N274" s="48"/>
      <c r="O274" s="48"/>
    </row>
    <row r="275" spans="1:15">
      <c r="A275" s="33" t="s">
        <v>61</v>
      </c>
      <c r="B275" s="34" t="s">
        <v>62</v>
      </c>
      <c r="C275" s="34" t="s">
        <v>36</v>
      </c>
      <c r="D275" s="35">
        <f t="shared" si="13"/>
        <v>0</v>
      </c>
      <c r="E275" s="34">
        <v>3</v>
      </c>
      <c r="F275" s="34" t="s">
        <v>35</v>
      </c>
      <c r="G275" s="38">
        <f t="shared" si="14"/>
        <v>1</v>
      </c>
      <c r="H275" s="39">
        <v>1641.99999722186</v>
      </c>
      <c r="I275" s="34"/>
      <c r="J275" s="34"/>
      <c r="K275" s="34"/>
      <c r="L275" s="39"/>
      <c r="M275" s="39"/>
      <c r="N275" s="48"/>
      <c r="O275" s="48"/>
    </row>
    <row r="276" spans="1:15">
      <c r="A276" s="33" t="s">
        <v>69</v>
      </c>
      <c r="B276" s="34" t="s">
        <v>70</v>
      </c>
      <c r="C276" s="34" t="s">
        <v>35</v>
      </c>
      <c r="D276" s="35">
        <f t="shared" si="13"/>
        <v>1</v>
      </c>
      <c r="E276" s="34">
        <v>5</v>
      </c>
      <c r="F276" s="34" t="s">
        <v>36</v>
      </c>
      <c r="G276" s="38">
        <f t="shared" si="14"/>
        <v>0</v>
      </c>
      <c r="H276" s="39">
        <v>962.999997544102</v>
      </c>
      <c r="I276" s="34"/>
      <c r="J276" s="34"/>
      <c r="K276" s="34"/>
      <c r="L276" s="39"/>
      <c r="M276" s="39"/>
      <c r="N276" s="48"/>
      <c r="O276" s="48"/>
    </row>
    <row r="277" spans="1:15">
      <c r="A277" s="33" t="s">
        <v>63</v>
      </c>
      <c r="B277" s="34" t="s">
        <v>64</v>
      </c>
      <c r="C277" s="34" t="s">
        <v>35</v>
      </c>
      <c r="D277" s="35">
        <f t="shared" si="13"/>
        <v>1</v>
      </c>
      <c r="E277" s="34">
        <v>3</v>
      </c>
      <c r="F277" s="34" t="s">
        <v>36</v>
      </c>
      <c r="G277" s="38">
        <f t="shared" si="14"/>
        <v>0</v>
      </c>
      <c r="H277" s="39">
        <v>981.000003009103</v>
      </c>
      <c r="I277" s="34"/>
      <c r="J277" s="34"/>
      <c r="K277" s="34"/>
      <c r="L277" s="39"/>
      <c r="M277" s="39"/>
      <c r="N277" s="48"/>
      <c r="O277" s="48"/>
    </row>
    <row r="278" spans="1:15">
      <c r="A278" s="33" t="s">
        <v>63</v>
      </c>
      <c r="B278" s="34" t="s">
        <v>64</v>
      </c>
      <c r="C278" s="34" t="s">
        <v>35</v>
      </c>
      <c r="D278" s="35">
        <f t="shared" si="13"/>
        <v>1</v>
      </c>
      <c r="E278" s="34">
        <v>3</v>
      </c>
      <c r="F278" s="34" t="s">
        <v>36</v>
      </c>
      <c r="G278" s="38">
        <f t="shared" si="14"/>
        <v>0</v>
      </c>
      <c r="H278" s="39">
        <v>1570.00000050757</v>
      </c>
      <c r="I278" s="34"/>
      <c r="J278" s="34"/>
      <c r="K278" s="34"/>
      <c r="L278" s="39"/>
      <c r="M278" s="39"/>
      <c r="N278" s="48"/>
      <c r="O278" s="48"/>
    </row>
    <row r="279" spans="1:15">
      <c r="A279" s="33" t="s">
        <v>79</v>
      </c>
      <c r="B279" s="34" t="s">
        <v>80</v>
      </c>
      <c r="C279" s="34" t="s">
        <v>35</v>
      </c>
      <c r="D279" s="35">
        <f t="shared" si="13"/>
        <v>1</v>
      </c>
      <c r="E279" s="34">
        <v>4</v>
      </c>
      <c r="F279" s="34" t="s">
        <v>36</v>
      </c>
      <c r="G279" s="38">
        <f t="shared" si="14"/>
        <v>0</v>
      </c>
      <c r="H279" s="39">
        <v>1150.0000016531</v>
      </c>
      <c r="I279" s="34"/>
      <c r="J279" s="34"/>
      <c r="K279" s="34"/>
      <c r="L279" s="39"/>
      <c r="M279" s="39"/>
      <c r="N279" s="48"/>
      <c r="O279" s="48"/>
    </row>
    <row r="280" spans="1:15">
      <c r="A280" s="33" t="s">
        <v>67</v>
      </c>
      <c r="B280" s="34" t="s">
        <v>68</v>
      </c>
      <c r="C280" s="34" t="s">
        <v>35</v>
      </c>
      <c r="D280" s="35">
        <f t="shared" si="13"/>
        <v>1</v>
      </c>
      <c r="E280" s="34">
        <v>5</v>
      </c>
      <c r="F280" s="34" t="s">
        <v>36</v>
      </c>
      <c r="G280" s="38">
        <f t="shared" si="14"/>
        <v>0</v>
      </c>
      <c r="H280" s="39">
        <v>1451.00000160746</v>
      </c>
      <c r="I280" s="34"/>
      <c r="J280" s="34"/>
      <c r="K280" s="34"/>
      <c r="L280" s="39"/>
      <c r="M280" s="39"/>
      <c r="N280" s="48"/>
      <c r="O280" s="48"/>
    </row>
    <row r="281" spans="1:15">
      <c r="A281" s="33" t="s">
        <v>61</v>
      </c>
      <c r="B281" s="34" t="s">
        <v>62</v>
      </c>
      <c r="C281" s="34" t="s">
        <v>36</v>
      </c>
      <c r="D281" s="35">
        <f t="shared" si="13"/>
        <v>0</v>
      </c>
      <c r="E281" s="34">
        <v>3</v>
      </c>
      <c r="F281" s="34" t="s">
        <v>36</v>
      </c>
      <c r="G281" s="38">
        <f t="shared" si="14"/>
        <v>0</v>
      </c>
      <c r="H281" s="39">
        <v>1516.00000045728</v>
      </c>
      <c r="I281" s="34"/>
      <c r="J281" s="34"/>
      <c r="K281" s="34"/>
      <c r="L281" s="39"/>
      <c r="M281" s="39"/>
      <c r="N281" s="48"/>
      <c r="O281" s="48"/>
    </row>
    <row r="282" spans="1:15">
      <c r="A282" s="33" t="s">
        <v>59</v>
      </c>
      <c r="B282" s="34" t="s">
        <v>60</v>
      </c>
      <c r="C282" s="34" t="s">
        <v>35</v>
      </c>
      <c r="D282" s="35">
        <f t="shared" si="13"/>
        <v>1</v>
      </c>
      <c r="E282" s="34">
        <v>4</v>
      </c>
      <c r="F282" s="34" t="s">
        <v>36</v>
      </c>
      <c r="G282" s="38">
        <f t="shared" si="14"/>
        <v>0</v>
      </c>
      <c r="H282" s="39">
        <v>1686.99999453966</v>
      </c>
      <c r="I282" s="34"/>
      <c r="J282" s="34"/>
      <c r="K282" s="34"/>
      <c r="L282" s="39"/>
      <c r="M282" s="39"/>
      <c r="N282" s="48"/>
      <c r="O282" s="48"/>
    </row>
    <row r="283" spans="1:15">
      <c r="A283" s="33" t="s">
        <v>73</v>
      </c>
      <c r="B283" s="34" t="s">
        <v>74</v>
      </c>
      <c r="C283" s="34" t="s">
        <v>35</v>
      </c>
      <c r="D283" s="35">
        <f t="shared" si="13"/>
        <v>1</v>
      </c>
      <c r="E283" s="34">
        <v>4</v>
      </c>
      <c r="F283" s="34" t="s">
        <v>36</v>
      </c>
      <c r="G283" s="38">
        <f t="shared" si="14"/>
        <v>0</v>
      </c>
      <c r="H283" s="39">
        <v>1645.00000420958</v>
      </c>
      <c r="I283" s="34"/>
      <c r="J283" s="34"/>
      <c r="K283" s="34"/>
      <c r="L283" s="39"/>
      <c r="M283" s="39"/>
      <c r="N283" s="48"/>
      <c r="O283" s="48"/>
    </row>
    <row r="284" spans="1:15">
      <c r="A284" s="33" t="s">
        <v>65</v>
      </c>
      <c r="B284" s="34" t="s">
        <v>66</v>
      </c>
      <c r="C284" s="34" t="s">
        <v>35</v>
      </c>
      <c r="D284" s="35">
        <f t="shared" si="13"/>
        <v>1</v>
      </c>
      <c r="E284" s="34">
        <v>4</v>
      </c>
      <c r="F284" s="34" t="s">
        <v>36</v>
      </c>
      <c r="G284" s="38">
        <f t="shared" si="14"/>
        <v>0</v>
      </c>
      <c r="H284" s="39">
        <v>720.999999437481</v>
      </c>
      <c r="I284" s="34"/>
      <c r="J284" s="34"/>
      <c r="K284" s="34"/>
      <c r="L284" s="39"/>
      <c r="M284" s="39"/>
      <c r="N284" s="48"/>
      <c r="O284" s="48"/>
    </row>
    <row r="285" spans="1:15">
      <c r="A285" s="33" t="s">
        <v>81</v>
      </c>
      <c r="B285" s="34" t="s">
        <v>82</v>
      </c>
      <c r="C285" s="34" t="s">
        <v>35</v>
      </c>
      <c r="D285" s="35">
        <f t="shared" si="13"/>
        <v>1</v>
      </c>
      <c r="E285" s="34">
        <v>3</v>
      </c>
      <c r="F285" s="34" t="s">
        <v>36</v>
      </c>
      <c r="G285" s="38">
        <f t="shared" si="14"/>
        <v>0</v>
      </c>
      <c r="H285" s="39">
        <v>1341.99999938719</v>
      </c>
      <c r="I285" s="34"/>
      <c r="J285" s="34"/>
      <c r="K285" s="34"/>
      <c r="L285" s="39"/>
      <c r="M285" s="39"/>
      <c r="N285" s="48"/>
      <c r="O285" s="48"/>
    </row>
    <row r="286" spans="1:15">
      <c r="A286" s="33" t="s">
        <v>59</v>
      </c>
      <c r="B286" s="34" t="s">
        <v>60</v>
      </c>
      <c r="C286" s="34" t="s">
        <v>35</v>
      </c>
      <c r="D286" s="35">
        <f t="shared" si="13"/>
        <v>1</v>
      </c>
      <c r="E286" s="34">
        <v>3</v>
      </c>
      <c r="F286" s="34" t="s">
        <v>36</v>
      </c>
      <c r="G286" s="38">
        <f t="shared" si="14"/>
        <v>0</v>
      </c>
      <c r="H286" s="39">
        <v>677.999998186715</v>
      </c>
      <c r="I286" s="34"/>
      <c r="J286" s="34"/>
      <c r="K286" s="34"/>
      <c r="L286" s="39"/>
      <c r="M286" s="39"/>
      <c r="N286" s="48"/>
      <c r="O286" s="48"/>
    </row>
    <row r="287" spans="1:15">
      <c r="A287" s="33" t="s">
        <v>69</v>
      </c>
      <c r="B287" s="34" t="s">
        <v>70</v>
      </c>
      <c r="C287" s="34" t="s">
        <v>36</v>
      </c>
      <c r="D287" s="35">
        <f t="shared" si="13"/>
        <v>0</v>
      </c>
      <c r="E287" s="34">
        <v>1</v>
      </c>
      <c r="F287" s="34" t="s">
        <v>36</v>
      </c>
      <c r="G287" s="38">
        <f t="shared" si="14"/>
        <v>0</v>
      </c>
      <c r="H287" s="39">
        <v>1341.00000543986</v>
      </c>
      <c r="I287" s="34"/>
      <c r="J287" s="34"/>
      <c r="K287" s="34"/>
      <c r="L287" s="39"/>
      <c r="M287" s="39"/>
      <c r="N287" s="48"/>
      <c r="O287" s="48"/>
    </row>
    <row r="288" spans="1:15">
      <c r="A288" s="33" t="s">
        <v>73</v>
      </c>
      <c r="B288" s="34" t="s">
        <v>74</v>
      </c>
      <c r="C288" s="34" t="s">
        <v>35</v>
      </c>
      <c r="D288" s="35">
        <f t="shared" si="13"/>
        <v>1</v>
      </c>
      <c r="E288" s="34">
        <v>3</v>
      </c>
      <c r="F288" s="34" t="s">
        <v>36</v>
      </c>
      <c r="G288" s="38">
        <f t="shared" si="14"/>
        <v>0</v>
      </c>
      <c r="H288" s="39">
        <v>1122.99999219831</v>
      </c>
      <c r="I288" s="34"/>
      <c r="J288" s="34"/>
      <c r="K288" s="34"/>
      <c r="L288" s="39"/>
      <c r="M288" s="39"/>
      <c r="N288" s="48"/>
      <c r="O288" s="48"/>
    </row>
    <row r="289" spans="1:15">
      <c r="A289" s="33" t="s">
        <v>79</v>
      </c>
      <c r="B289" s="34" t="s">
        <v>80</v>
      </c>
      <c r="C289" s="34" t="s">
        <v>35</v>
      </c>
      <c r="D289" s="35">
        <f t="shared" si="13"/>
        <v>1</v>
      </c>
      <c r="E289" s="34">
        <v>4</v>
      </c>
      <c r="F289" s="34" t="s">
        <v>36</v>
      </c>
      <c r="G289" s="38">
        <f t="shared" si="14"/>
        <v>0</v>
      </c>
      <c r="H289" s="39">
        <v>527.999998955056</v>
      </c>
      <c r="I289" s="34"/>
      <c r="J289" s="34"/>
      <c r="K289" s="34"/>
      <c r="L289" s="39"/>
      <c r="M289" s="39"/>
      <c r="N289" s="48"/>
      <c r="O289" s="48"/>
    </row>
    <row r="290" spans="1:15">
      <c r="A290" s="33" t="s">
        <v>61</v>
      </c>
      <c r="B290" s="34" t="s">
        <v>62</v>
      </c>
      <c r="C290" s="34" t="s">
        <v>35</v>
      </c>
      <c r="D290" s="35">
        <f t="shared" si="13"/>
        <v>1</v>
      </c>
      <c r="E290" s="34">
        <v>4</v>
      </c>
      <c r="F290" s="34" t="s">
        <v>36</v>
      </c>
      <c r="G290" s="38">
        <f t="shared" si="14"/>
        <v>0</v>
      </c>
      <c r="H290" s="39">
        <v>352.000002446584</v>
      </c>
      <c r="I290" s="34"/>
      <c r="J290" s="34"/>
      <c r="K290" s="34"/>
      <c r="L290" s="39"/>
      <c r="M290" s="39"/>
      <c r="N290" s="48"/>
      <c r="O290" s="48"/>
    </row>
    <row r="291" spans="1:15">
      <c r="A291" s="33" t="s">
        <v>69</v>
      </c>
      <c r="B291" s="34" t="s">
        <v>70</v>
      </c>
      <c r="C291" s="34" t="s">
        <v>36</v>
      </c>
      <c r="D291" s="35">
        <f t="shared" si="13"/>
        <v>0</v>
      </c>
      <c r="E291" s="34">
        <v>1</v>
      </c>
      <c r="F291" s="34" t="s">
        <v>36</v>
      </c>
      <c r="G291" s="38">
        <f t="shared" si="14"/>
        <v>0</v>
      </c>
      <c r="H291" s="39">
        <v>369.999999110587</v>
      </c>
      <c r="I291" s="34"/>
      <c r="J291" s="34"/>
      <c r="K291" s="34"/>
      <c r="L291" s="39"/>
      <c r="M291" s="39"/>
      <c r="N291" s="48"/>
      <c r="O291" s="48"/>
    </row>
    <row r="292" spans="1:15">
      <c r="A292" s="33" t="s">
        <v>57</v>
      </c>
      <c r="B292" s="34" t="s">
        <v>58</v>
      </c>
      <c r="C292" s="34" t="s">
        <v>36</v>
      </c>
      <c r="D292" s="35">
        <f t="shared" si="13"/>
        <v>0</v>
      </c>
      <c r="E292" s="34">
        <v>3</v>
      </c>
      <c r="F292" s="34" t="s">
        <v>35</v>
      </c>
      <c r="G292" s="38">
        <f t="shared" si="14"/>
        <v>1</v>
      </c>
      <c r="H292" s="39">
        <v>703.99999609217</v>
      </c>
      <c r="I292" s="34"/>
      <c r="J292" s="34"/>
      <c r="K292" s="34"/>
      <c r="L292" s="39"/>
      <c r="M292" s="39"/>
      <c r="N292" s="48"/>
      <c r="O292" s="48"/>
    </row>
    <row r="293" spans="1:15">
      <c r="A293" s="33" t="s">
        <v>71</v>
      </c>
      <c r="B293" s="34" t="s">
        <v>72</v>
      </c>
      <c r="C293" s="34" t="s">
        <v>35</v>
      </c>
      <c r="D293" s="35">
        <f t="shared" si="13"/>
        <v>1</v>
      </c>
      <c r="E293" s="34">
        <v>5</v>
      </c>
      <c r="F293" s="34" t="s">
        <v>36</v>
      </c>
      <c r="G293" s="38">
        <f t="shared" si="14"/>
        <v>0</v>
      </c>
      <c r="H293" s="39">
        <v>114.000005275011</v>
      </c>
      <c r="I293" s="34"/>
      <c r="J293" s="34"/>
      <c r="K293" s="34"/>
      <c r="L293" s="39"/>
      <c r="M293" s="39"/>
      <c r="N293" s="48"/>
      <c r="O293" s="48"/>
    </row>
    <row r="294" spans="1:15">
      <c r="A294" s="33" t="s">
        <v>55</v>
      </c>
      <c r="B294" s="34" t="s">
        <v>56</v>
      </c>
      <c r="C294" s="34" t="s">
        <v>35</v>
      </c>
      <c r="D294" s="35">
        <f t="shared" si="13"/>
        <v>1</v>
      </c>
      <c r="E294" s="34">
        <v>3</v>
      </c>
      <c r="F294" s="34" t="s">
        <v>36</v>
      </c>
      <c r="G294" s="38">
        <f t="shared" si="14"/>
        <v>0</v>
      </c>
      <c r="H294" s="39">
        <v>290.00000115484</v>
      </c>
      <c r="I294" s="34"/>
      <c r="J294" s="34"/>
      <c r="K294" s="34"/>
      <c r="L294" s="39"/>
      <c r="M294" s="39"/>
      <c r="N294" s="48"/>
      <c r="O294" s="48"/>
    </row>
    <row r="295" spans="1:15">
      <c r="A295" s="33" t="s">
        <v>69</v>
      </c>
      <c r="B295" s="34" t="s">
        <v>70</v>
      </c>
      <c r="C295" s="34" t="s">
        <v>35</v>
      </c>
      <c r="D295" s="35">
        <f t="shared" si="13"/>
        <v>1</v>
      </c>
      <c r="E295" s="34">
        <v>4</v>
      </c>
      <c r="F295" s="34" t="s">
        <v>36</v>
      </c>
      <c r="G295" s="38">
        <f t="shared" si="14"/>
        <v>0</v>
      </c>
      <c r="H295" s="39">
        <v>1778.00000009593</v>
      </c>
      <c r="I295" s="34"/>
      <c r="J295" s="34"/>
      <c r="K295" s="34"/>
      <c r="L295" s="39"/>
      <c r="M295" s="39"/>
      <c r="N295" s="48"/>
      <c r="O295" s="48"/>
    </row>
    <row r="296" spans="1:15">
      <c r="A296" s="33" t="s">
        <v>63</v>
      </c>
      <c r="B296" s="34" t="s">
        <v>64</v>
      </c>
      <c r="C296" s="34" t="s">
        <v>35</v>
      </c>
      <c r="D296" s="35">
        <f t="shared" si="13"/>
        <v>1</v>
      </c>
      <c r="E296" s="34">
        <v>4</v>
      </c>
      <c r="F296" s="34" t="s">
        <v>36</v>
      </c>
      <c r="G296" s="38">
        <f t="shared" si="14"/>
        <v>0</v>
      </c>
      <c r="H296" s="39">
        <v>88.0000073695555</v>
      </c>
      <c r="I296" s="34"/>
      <c r="J296" s="34"/>
      <c r="K296" s="34"/>
      <c r="L296" s="39"/>
      <c r="M296" s="39"/>
      <c r="N296" s="48"/>
      <c r="O296" s="48"/>
    </row>
    <row r="297" spans="1:15">
      <c r="A297" s="33" t="s">
        <v>75</v>
      </c>
      <c r="B297" s="34" t="s">
        <v>76</v>
      </c>
      <c r="C297" s="34" t="s">
        <v>36</v>
      </c>
      <c r="D297" s="35">
        <f t="shared" si="13"/>
        <v>0</v>
      </c>
      <c r="E297" s="34">
        <v>1</v>
      </c>
      <c r="F297" s="34" t="s">
        <v>35</v>
      </c>
      <c r="G297" s="38">
        <f t="shared" si="14"/>
        <v>1</v>
      </c>
      <c r="H297" s="39">
        <v>926.999994786456</v>
      </c>
      <c r="I297" s="34"/>
      <c r="J297" s="34"/>
      <c r="K297" s="34"/>
      <c r="L297" s="39"/>
      <c r="M297" s="39"/>
      <c r="N297" s="48"/>
      <c r="O297" s="48"/>
    </row>
    <row r="298" spans="1:15">
      <c r="A298" s="33" t="s">
        <v>65</v>
      </c>
      <c r="B298" s="34" t="s">
        <v>66</v>
      </c>
      <c r="C298" s="34" t="s">
        <v>35</v>
      </c>
      <c r="D298" s="35">
        <f t="shared" si="13"/>
        <v>1</v>
      </c>
      <c r="E298" s="34">
        <v>3</v>
      </c>
      <c r="F298" s="34" t="s">
        <v>36</v>
      </c>
      <c r="G298" s="38">
        <f t="shared" si="14"/>
        <v>0</v>
      </c>
      <c r="H298" s="39">
        <v>859.999999869615</v>
      </c>
      <c r="I298" s="34"/>
      <c r="J298" s="34"/>
      <c r="K298" s="34"/>
      <c r="L298" s="39"/>
      <c r="M298" s="39"/>
      <c r="N298" s="48"/>
      <c r="O298" s="48"/>
    </row>
    <row r="299" spans="1:15">
      <c r="A299" s="33" t="s">
        <v>55</v>
      </c>
      <c r="B299" s="34" t="s">
        <v>56</v>
      </c>
      <c r="C299" s="34" t="s">
        <v>35</v>
      </c>
      <c r="D299" s="35">
        <f t="shared" si="13"/>
        <v>1</v>
      </c>
      <c r="E299" s="34">
        <v>5</v>
      </c>
      <c r="F299" s="34" t="s">
        <v>36</v>
      </c>
      <c r="G299" s="38">
        <f t="shared" si="14"/>
        <v>0</v>
      </c>
      <c r="H299" s="39">
        <v>297.000000276603</v>
      </c>
      <c r="I299" s="34"/>
      <c r="J299" s="34"/>
      <c r="K299" s="34"/>
      <c r="L299" s="39"/>
      <c r="M299" s="39"/>
      <c r="N299" s="48"/>
      <c r="O299" s="48"/>
    </row>
    <row r="300" spans="1:15">
      <c r="A300" s="33" t="s">
        <v>71</v>
      </c>
      <c r="B300" s="34" t="s">
        <v>72</v>
      </c>
      <c r="C300" s="34" t="s">
        <v>35</v>
      </c>
      <c r="D300" s="35">
        <f t="shared" si="13"/>
        <v>1</v>
      </c>
      <c r="E300" s="34">
        <v>5</v>
      </c>
      <c r="F300" s="34" t="s">
        <v>36</v>
      </c>
      <c r="G300" s="38">
        <f t="shared" si="14"/>
        <v>0</v>
      </c>
      <c r="H300" s="39">
        <v>341.000003018416</v>
      </c>
      <c r="I300" s="34"/>
      <c r="J300" s="34"/>
      <c r="K300" s="34"/>
      <c r="L300" s="39"/>
      <c r="M300" s="39"/>
      <c r="N300" s="48"/>
      <c r="O300" s="48"/>
    </row>
    <row r="301" spans="1:15">
      <c r="A301" s="33" t="s">
        <v>67</v>
      </c>
      <c r="B301" s="34" t="s">
        <v>68</v>
      </c>
      <c r="C301" s="34" t="s">
        <v>35</v>
      </c>
      <c r="D301" s="35">
        <f t="shared" si="13"/>
        <v>1</v>
      </c>
      <c r="E301" s="34">
        <v>4</v>
      </c>
      <c r="F301" s="34" t="s">
        <v>36</v>
      </c>
      <c r="G301" s="38">
        <f t="shared" si="14"/>
        <v>0</v>
      </c>
      <c r="H301" s="39">
        <v>1659.00000056718</v>
      </c>
      <c r="I301" s="34"/>
      <c r="J301" s="34"/>
      <c r="K301" s="34"/>
      <c r="L301" s="39"/>
      <c r="M301" s="39"/>
      <c r="N301" s="48"/>
      <c r="O301" s="48"/>
    </row>
    <row r="302" spans="1:15">
      <c r="A302" s="33" t="s">
        <v>75</v>
      </c>
      <c r="B302" s="34" t="s">
        <v>76</v>
      </c>
      <c r="C302" s="34" t="s">
        <v>35</v>
      </c>
      <c r="D302" s="35">
        <f t="shared" si="13"/>
        <v>1</v>
      </c>
      <c r="E302" s="34">
        <v>4</v>
      </c>
      <c r="F302" s="34" t="s">
        <v>36</v>
      </c>
      <c r="G302" s="38">
        <f t="shared" si="14"/>
        <v>0</v>
      </c>
      <c r="H302" s="39">
        <v>1344.9999975739</v>
      </c>
      <c r="I302" s="34"/>
      <c r="J302" s="34"/>
      <c r="K302" s="34"/>
      <c r="L302" s="39"/>
      <c r="M302" s="39"/>
      <c r="N302" s="48"/>
      <c r="O302" s="48"/>
    </row>
    <row r="303" spans="1:15">
      <c r="A303" s="33" t="s">
        <v>79</v>
      </c>
      <c r="B303" s="34" t="s">
        <v>80</v>
      </c>
      <c r="C303" s="34" t="s">
        <v>35</v>
      </c>
      <c r="D303" s="35">
        <f t="shared" si="13"/>
        <v>1</v>
      </c>
      <c r="E303" s="34">
        <v>3</v>
      </c>
      <c r="F303" s="34" t="s">
        <v>36</v>
      </c>
      <c r="G303" s="38">
        <f t="shared" si="14"/>
        <v>0</v>
      </c>
      <c r="H303" s="39">
        <v>581.999999005347</v>
      </c>
      <c r="I303" s="34"/>
      <c r="J303" s="34"/>
      <c r="K303" s="34"/>
      <c r="L303" s="39"/>
      <c r="M303" s="39"/>
      <c r="N303" s="48"/>
      <c r="O303" s="48"/>
    </row>
    <row r="304" spans="1:15">
      <c r="A304" s="33" t="s">
        <v>55</v>
      </c>
      <c r="B304" s="34" t="s">
        <v>56</v>
      </c>
      <c r="C304" s="34" t="s">
        <v>35</v>
      </c>
      <c r="D304" s="35">
        <f t="shared" si="13"/>
        <v>1</v>
      </c>
      <c r="E304" s="34">
        <v>3</v>
      </c>
      <c r="F304" s="34" t="s">
        <v>36</v>
      </c>
      <c r="G304" s="38">
        <f t="shared" si="14"/>
        <v>0</v>
      </c>
      <c r="H304" s="39">
        <v>1025.99999969825</v>
      </c>
      <c r="I304" s="34"/>
      <c r="J304" s="34"/>
      <c r="K304" s="34"/>
      <c r="L304" s="39"/>
      <c r="M304" s="39"/>
      <c r="N304" s="48"/>
      <c r="O304" s="48"/>
    </row>
    <row r="305" spans="1:15">
      <c r="A305" s="33" t="s">
        <v>75</v>
      </c>
      <c r="B305" s="34" t="s">
        <v>76</v>
      </c>
      <c r="C305" s="34" t="s">
        <v>35</v>
      </c>
      <c r="D305" s="35">
        <f t="shared" si="13"/>
        <v>1</v>
      </c>
      <c r="E305" s="34">
        <v>3</v>
      </c>
      <c r="F305" s="34" t="s">
        <v>36</v>
      </c>
      <c r="G305" s="38">
        <f t="shared" si="14"/>
        <v>0</v>
      </c>
      <c r="H305" s="39">
        <v>567.999993218109</v>
      </c>
      <c r="I305" s="34"/>
      <c r="J305" s="34"/>
      <c r="K305" s="34"/>
      <c r="L305" s="39"/>
      <c r="M305" s="39"/>
      <c r="N305" s="48"/>
      <c r="O305" s="48"/>
    </row>
    <row r="306" spans="1:15">
      <c r="A306" s="33" t="s">
        <v>75</v>
      </c>
      <c r="B306" s="34" t="s">
        <v>76</v>
      </c>
      <c r="C306" s="34" t="s">
        <v>35</v>
      </c>
      <c r="D306" s="35">
        <f t="shared" si="13"/>
        <v>1</v>
      </c>
      <c r="E306" s="34">
        <v>4</v>
      </c>
      <c r="F306" s="34" t="s">
        <v>36</v>
      </c>
      <c r="G306" s="38">
        <f t="shared" si="14"/>
        <v>0</v>
      </c>
      <c r="H306" s="39">
        <v>1706.99999607168</v>
      </c>
      <c r="I306" s="34"/>
      <c r="J306" s="34"/>
      <c r="K306" s="34"/>
      <c r="L306" s="39"/>
      <c r="M306" s="39"/>
      <c r="N306" s="48"/>
      <c r="O306" s="48"/>
    </row>
    <row r="307" spans="1:15">
      <c r="A307" s="33" t="s">
        <v>63</v>
      </c>
      <c r="B307" s="34" t="s">
        <v>64</v>
      </c>
      <c r="C307" s="34" t="s">
        <v>35</v>
      </c>
      <c r="D307" s="35">
        <f t="shared" si="13"/>
        <v>1</v>
      </c>
      <c r="E307" s="34">
        <v>4</v>
      </c>
      <c r="F307" s="34" t="s">
        <v>36</v>
      </c>
      <c r="G307" s="38">
        <f t="shared" si="14"/>
        <v>0</v>
      </c>
      <c r="H307" s="39">
        <v>1192.00000015553</v>
      </c>
      <c r="I307" s="34"/>
      <c r="J307" s="34"/>
      <c r="K307" s="34"/>
      <c r="L307" s="39"/>
      <c r="M307" s="39"/>
      <c r="N307" s="48"/>
      <c r="O307" s="48"/>
    </row>
    <row r="308" spans="1:15">
      <c r="A308" s="33" t="s">
        <v>71</v>
      </c>
      <c r="B308" s="34" t="s">
        <v>72</v>
      </c>
      <c r="C308" s="34" t="s">
        <v>36</v>
      </c>
      <c r="D308" s="35">
        <f t="shared" si="13"/>
        <v>0</v>
      </c>
      <c r="E308" s="34">
        <v>2</v>
      </c>
      <c r="F308" s="34" t="s">
        <v>36</v>
      </c>
      <c r="G308" s="38">
        <f t="shared" si="14"/>
        <v>0</v>
      </c>
      <c r="H308" s="39">
        <v>1270.99999599159</v>
      </c>
      <c r="I308" s="34"/>
      <c r="J308" s="34"/>
      <c r="K308" s="34"/>
      <c r="L308" s="39"/>
      <c r="M308" s="39"/>
      <c r="N308" s="48"/>
      <c r="O308" s="48"/>
    </row>
    <row r="309" spans="1:15">
      <c r="A309" s="33" t="s">
        <v>75</v>
      </c>
      <c r="B309" s="34" t="s">
        <v>76</v>
      </c>
      <c r="C309" s="34" t="s">
        <v>35</v>
      </c>
      <c r="D309" s="35">
        <f t="shared" si="13"/>
        <v>1</v>
      </c>
      <c r="E309" s="34">
        <v>3</v>
      </c>
      <c r="F309" s="34" t="s">
        <v>36</v>
      </c>
      <c r="G309" s="38">
        <f t="shared" si="14"/>
        <v>0</v>
      </c>
      <c r="H309" s="39">
        <v>1614.00000387803</v>
      </c>
      <c r="I309" s="34"/>
      <c r="J309" s="34"/>
      <c r="K309" s="34"/>
      <c r="L309" s="39"/>
      <c r="M309" s="39"/>
      <c r="N309" s="48"/>
      <c r="O309" s="48"/>
    </row>
    <row r="310" spans="1:15">
      <c r="A310" s="33" t="s">
        <v>59</v>
      </c>
      <c r="B310" s="34" t="s">
        <v>60</v>
      </c>
      <c r="C310" s="34" t="s">
        <v>35</v>
      </c>
      <c r="D310" s="35">
        <f t="shared" si="13"/>
        <v>1</v>
      </c>
      <c r="E310" s="34">
        <v>4</v>
      </c>
      <c r="F310" s="34" t="s">
        <v>36</v>
      </c>
      <c r="G310" s="38">
        <f t="shared" si="14"/>
        <v>0</v>
      </c>
      <c r="H310" s="39">
        <v>633.000000868924</v>
      </c>
      <c r="I310" s="34"/>
      <c r="J310" s="34"/>
      <c r="K310" s="34"/>
      <c r="L310" s="39"/>
      <c r="M310" s="39"/>
      <c r="N310" s="48"/>
      <c r="O310" s="48"/>
    </row>
    <row r="311" spans="1:15">
      <c r="A311" s="33" t="s">
        <v>73</v>
      </c>
      <c r="B311" s="34" t="s">
        <v>74</v>
      </c>
      <c r="C311" s="34" t="s">
        <v>35</v>
      </c>
      <c r="D311" s="35">
        <f t="shared" si="13"/>
        <v>1</v>
      </c>
      <c r="E311" s="34">
        <v>4</v>
      </c>
      <c r="F311" s="34" t="s">
        <v>36</v>
      </c>
      <c r="G311" s="38">
        <f t="shared" si="14"/>
        <v>0</v>
      </c>
      <c r="H311" s="39">
        <v>1094.99999885447</v>
      </c>
      <c r="I311" s="34"/>
      <c r="J311" s="34"/>
      <c r="K311" s="34"/>
      <c r="L311" s="39"/>
      <c r="M311" s="39"/>
      <c r="N311" s="48"/>
      <c r="O311" s="48"/>
    </row>
    <row r="312" spans="1:15">
      <c r="A312" s="33" t="s">
        <v>53</v>
      </c>
      <c r="B312" s="34" t="s">
        <v>54</v>
      </c>
      <c r="C312" s="34" t="s">
        <v>35</v>
      </c>
      <c r="D312" s="35">
        <f t="shared" si="13"/>
        <v>1</v>
      </c>
      <c r="E312" s="34">
        <v>3</v>
      </c>
      <c r="F312" s="34" t="s">
        <v>36</v>
      </c>
      <c r="G312" s="38">
        <f t="shared" si="14"/>
        <v>0</v>
      </c>
      <c r="H312" s="39">
        <v>704.999998211861</v>
      </c>
      <c r="I312" s="34"/>
      <c r="J312" s="34"/>
      <c r="K312" s="34"/>
      <c r="L312" s="39"/>
      <c r="M312" s="39"/>
      <c r="N312" s="48"/>
      <c r="O312" s="48"/>
    </row>
    <row r="313" spans="1:15">
      <c r="A313" s="33" t="s">
        <v>65</v>
      </c>
      <c r="B313" s="34" t="s">
        <v>66</v>
      </c>
      <c r="C313" s="34" t="s">
        <v>36</v>
      </c>
      <c r="D313" s="35">
        <f t="shared" si="13"/>
        <v>0</v>
      </c>
      <c r="E313" s="34">
        <v>2</v>
      </c>
      <c r="F313" s="34" t="s">
        <v>35</v>
      </c>
      <c r="G313" s="38">
        <f t="shared" si="14"/>
        <v>1</v>
      </c>
      <c r="H313" s="39">
        <v>396.000005817041</v>
      </c>
      <c r="I313" s="34"/>
      <c r="J313" s="34"/>
      <c r="K313" s="34"/>
      <c r="L313" s="39"/>
      <c r="M313" s="39"/>
      <c r="N313" s="48"/>
      <c r="O313" s="48"/>
    </row>
    <row r="314" spans="1:15">
      <c r="A314" s="33" t="s">
        <v>65</v>
      </c>
      <c r="B314" s="34" t="s">
        <v>66</v>
      </c>
      <c r="C314" s="34" t="s">
        <v>35</v>
      </c>
      <c r="D314" s="35">
        <f t="shared" si="13"/>
        <v>1</v>
      </c>
      <c r="E314" s="34">
        <v>3</v>
      </c>
      <c r="F314" s="34" t="s">
        <v>36</v>
      </c>
      <c r="G314" s="38">
        <f t="shared" si="14"/>
        <v>0</v>
      </c>
      <c r="H314" s="39">
        <v>305.00000026077</v>
      </c>
      <c r="I314" s="34"/>
      <c r="J314" s="34"/>
      <c r="K314" s="34"/>
      <c r="L314" s="39"/>
      <c r="M314" s="39"/>
      <c r="N314" s="48"/>
      <c r="O314" s="48"/>
    </row>
    <row r="315" spans="1:15">
      <c r="A315" s="33" t="s">
        <v>65</v>
      </c>
      <c r="B315" s="34" t="s">
        <v>66</v>
      </c>
      <c r="C315" s="34" t="s">
        <v>36</v>
      </c>
      <c r="D315" s="35">
        <f t="shared" si="13"/>
        <v>0</v>
      </c>
      <c r="E315" s="34">
        <v>2</v>
      </c>
      <c r="F315" s="34" t="s">
        <v>36</v>
      </c>
      <c r="G315" s="38">
        <f t="shared" si="14"/>
        <v>0</v>
      </c>
      <c r="H315" s="39">
        <v>1515.99999982864</v>
      </c>
      <c r="I315" s="34"/>
      <c r="J315" s="34"/>
      <c r="K315" s="34"/>
      <c r="L315" s="39"/>
      <c r="M315" s="39"/>
      <c r="N315" s="48"/>
      <c r="O315" s="48"/>
    </row>
    <row r="316" spans="1:15">
      <c r="A316" s="33" t="s">
        <v>61</v>
      </c>
      <c r="B316" s="34" t="s">
        <v>62</v>
      </c>
      <c r="C316" s="34" t="s">
        <v>36</v>
      </c>
      <c r="D316" s="35">
        <f t="shared" si="13"/>
        <v>0</v>
      </c>
      <c r="E316" s="34">
        <v>1</v>
      </c>
      <c r="F316" s="34" t="s">
        <v>36</v>
      </c>
      <c r="G316" s="38">
        <f t="shared" si="14"/>
        <v>0</v>
      </c>
      <c r="H316" s="39">
        <v>1197.99999652896</v>
      </c>
      <c r="I316" s="34"/>
      <c r="J316" s="34"/>
      <c r="K316" s="34"/>
      <c r="L316" s="39"/>
      <c r="M316" s="39"/>
      <c r="N316" s="48"/>
      <c r="O316" s="48"/>
    </row>
    <row r="317" spans="1:15">
      <c r="A317" s="33" t="s">
        <v>55</v>
      </c>
      <c r="B317" s="34" t="s">
        <v>56</v>
      </c>
      <c r="C317" s="34" t="s">
        <v>35</v>
      </c>
      <c r="D317" s="35">
        <f t="shared" si="13"/>
        <v>1</v>
      </c>
      <c r="E317" s="34">
        <v>3</v>
      </c>
      <c r="F317" s="34" t="s">
        <v>36</v>
      </c>
      <c r="G317" s="38">
        <f t="shared" si="14"/>
        <v>0</v>
      </c>
      <c r="H317" s="39">
        <v>1745.99999701604</v>
      </c>
      <c r="I317" s="34"/>
      <c r="J317" s="34"/>
      <c r="K317" s="34"/>
      <c r="L317" s="39"/>
      <c r="M317" s="39"/>
      <c r="N317" s="48"/>
      <c r="O317" s="48"/>
    </row>
    <row r="318" spans="1:15">
      <c r="A318" s="33" t="s">
        <v>55</v>
      </c>
      <c r="B318" s="34" t="s">
        <v>56</v>
      </c>
      <c r="C318" s="34" t="s">
        <v>36</v>
      </c>
      <c r="D318" s="35">
        <f t="shared" si="13"/>
        <v>0</v>
      </c>
      <c r="E318" s="34">
        <v>2</v>
      </c>
      <c r="F318" s="34" t="s">
        <v>36</v>
      </c>
      <c r="G318" s="38">
        <f t="shared" si="14"/>
        <v>0</v>
      </c>
      <c r="H318" s="39">
        <v>967.999999970198</v>
      </c>
      <c r="I318" s="34"/>
      <c r="J318" s="34"/>
      <c r="K318" s="34"/>
      <c r="L318" s="39"/>
      <c r="M318" s="39"/>
      <c r="N318" s="48"/>
      <c r="O318" s="48"/>
    </row>
    <row r="319" spans="1:15">
      <c r="A319" s="33" t="s">
        <v>81</v>
      </c>
      <c r="B319" s="34" t="s">
        <v>82</v>
      </c>
      <c r="C319" s="34" t="s">
        <v>35</v>
      </c>
      <c r="D319" s="35">
        <f t="shared" si="13"/>
        <v>1</v>
      </c>
      <c r="E319" s="34">
        <v>4</v>
      </c>
      <c r="F319" s="34" t="s">
        <v>36</v>
      </c>
      <c r="G319" s="38">
        <f t="shared" si="14"/>
        <v>0</v>
      </c>
      <c r="H319" s="39">
        <v>868.000000482425</v>
      </c>
      <c r="I319" s="34"/>
      <c r="J319" s="34"/>
      <c r="K319" s="34"/>
      <c r="L319" s="39"/>
      <c r="M319" s="39"/>
      <c r="N319" s="48"/>
      <c r="O319" s="48"/>
    </row>
    <row r="320" spans="1:15">
      <c r="A320" s="33" t="s">
        <v>65</v>
      </c>
      <c r="B320" s="34" t="s">
        <v>66</v>
      </c>
      <c r="C320" s="34" t="s">
        <v>35</v>
      </c>
      <c r="D320" s="35">
        <f t="shared" si="13"/>
        <v>1</v>
      </c>
      <c r="E320" s="34">
        <v>4</v>
      </c>
      <c r="F320" s="34" t="s">
        <v>36</v>
      </c>
      <c r="G320" s="38">
        <f t="shared" si="14"/>
        <v>0</v>
      </c>
      <c r="H320" s="39">
        <v>363.999994564801</v>
      </c>
      <c r="I320" s="34"/>
      <c r="J320" s="34"/>
      <c r="K320" s="34"/>
      <c r="L320" s="39"/>
      <c r="M320" s="39"/>
      <c r="N320" s="48"/>
      <c r="O320" s="48"/>
    </row>
    <row r="321" spans="1:15">
      <c r="A321" s="33" t="s">
        <v>81</v>
      </c>
      <c r="B321" s="34" t="s">
        <v>82</v>
      </c>
      <c r="C321" s="34" t="s">
        <v>35</v>
      </c>
      <c r="D321" s="35">
        <f t="shared" si="13"/>
        <v>1</v>
      </c>
      <c r="E321" s="34">
        <v>5</v>
      </c>
      <c r="F321" s="34" t="s">
        <v>36</v>
      </c>
      <c r="G321" s="38">
        <f t="shared" si="14"/>
        <v>0</v>
      </c>
      <c r="H321" s="39">
        <v>631.999998749234</v>
      </c>
      <c r="I321" s="34"/>
      <c r="J321" s="34"/>
      <c r="K321" s="34"/>
      <c r="L321" s="39"/>
      <c r="M321" s="39"/>
      <c r="N321" s="48"/>
      <c r="O321" s="48"/>
    </row>
    <row r="322" spans="1:15">
      <c r="A322" s="33" t="s">
        <v>65</v>
      </c>
      <c r="B322" s="34" t="s">
        <v>66</v>
      </c>
      <c r="C322" s="34" t="s">
        <v>35</v>
      </c>
      <c r="D322" s="35">
        <f t="shared" ref="D322:D385" si="15">IF(C322="Y",1,0)</f>
        <v>1</v>
      </c>
      <c r="E322" s="34">
        <v>5</v>
      </c>
      <c r="F322" s="34" t="s">
        <v>36</v>
      </c>
      <c r="G322" s="38">
        <f t="shared" si="14"/>
        <v>0</v>
      </c>
      <c r="H322" s="39">
        <v>1520.00000076368</v>
      </c>
      <c r="I322" s="34"/>
      <c r="J322" s="34"/>
      <c r="K322" s="34"/>
      <c r="L322" s="39"/>
      <c r="M322" s="39"/>
      <c r="N322" s="48"/>
      <c r="O322" s="48"/>
    </row>
    <row r="323" spans="1:15">
      <c r="A323" s="33" t="s">
        <v>69</v>
      </c>
      <c r="B323" s="34" t="s">
        <v>70</v>
      </c>
      <c r="C323" s="34" t="s">
        <v>35</v>
      </c>
      <c r="D323" s="35">
        <f t="shared" si="15"/>
        <v>1</v>
      </c>
      <c r="E323" s="34">
        <v>4</v>
      </c>
      <c r="F323" s="34" t="s">
        <v>36</v>
      </c>
      <c r="G323" s="38">
        <f t="shared" ref="G323:G386" si="16">IF(F323="Y",1,0)</f>
        <v>0</v>
      </c>
      <c r="H323" s="39">
        <v>712.999998824671</v>
      </c>
      <c r="I323" s="34"/>
      <c r="J323" s="34"/>
      <c r="K323" s="34"/>
      <c r="L323" s="39"/>
      <c r="M323" s="39"/>
      <c r="N323" s="48"/>
      <c r="O323" s="48"/>
    </row>
    <row r="324" spans="1:15">
      <c r="A324" s="33" t="s">
        <v>75</v>
      </c>
      <c r="B324" s="34" t="s">
        <v>76</v>
      </c>
      <c r="C324" s="34" t="s">
        <v>35</v>
      </c>
      <c r="D324" s="35">
        <f t="shared" si="15"/>
        <v>1</v>
      </c>
      <c r="E324" s="34">
        <v>4</v>
      </c>
      <c r="F324" s="34" t="s">
        <v>36</v>
      </c>
      <c r="G324" s="38">
        <f t="shared" si="16"/>
        <v>0</v>
      </c>
      <c r="H324" s="39">
        <v>566.999999899417</v>
      </c>
      <c r="I324" s="34"/>
      <c r="J324" s="34"/>
      <c r="K324" s="34"/>
      <c r="L324" s="39"/>
      <c r="M324" s="39"/>
      <c r="N324" s="48"/>
      <c r="O324" s="48"/>
    </row>
    <row r="325" spans="1:15">
      <c r="A325" s="33" t="s">
        <v>69</v>
      </c>
      <c r="B325" s="34" t="s">
        <v>70</v>
      </c>
      <c r="C325" s="34" t="s">
        <v>35</v>
      </c>
      <c r="D325" s="35">
        <f t="shared" si="15"/>
        <v>1</v>
      </c>
      <c r="E325" s="34">
        <v>5</v>
      </c>
      <c r="F325" s="34" t="s">
        <v>36</v>
      </c>
      <c r="G325" s="38">
        <f t="shared" si="16"/>
        <v>0</v>
      </c>
      <c r="H325" s="39">
        <v>1273.00000023097</v>
      </c>
      <c r="I325" s="34"/>
      <c r="J325" s="34"/>
      <c r="K325" s="34"/>
      <c r="L325" s="39"/>
      <c r="M325" s="39"/>
      <c r="N325" s="48"/>
      <c r="O325" s="48"/>
    </row>
    <row r="326" spans="1:15">
      <c r="A326" s="33" t="s">
        <v>77</v>
      </c>
      <c r="B326" s="34" t="s">
        <v>78</v>
      </c>
      <c r="C326" s="34" t="s">
        <v>36</v>
      </c>
      <c r="D326" s="35">
        <f t="shared" si="15"/>
        <v>0</v>
      </c>
      <c r="E326" s="34">
        <v>1</v>
      </c>
      <c r="F326" s="34" t="s">
        <v>36</v>
      </c>
      <c r="G326" s="38">
        <f t="shared" si="16"/>
        <v>0</v>
      </c>
      <c r="H326" s="39">
        <v>1067.99999882933</v>
      </c>
      <c r="I326" s="34"/>
      <c r="J326" s="34"/>
      <c r="K326" s="34"/>
      <c r="L326" s="39"/>
      <c r="M326" s="39"/>
      <c r="N326" s="48"/>
      <c r="O326" s="48"/>
    </row>
    <row r="327" spans="1:15">
      <c r="A327" s="33" t="s">
        <v>65</v>
      </c>
      <c r="B327" s="34" t="s">
        <v>66</v>
      </c>
      <c r="C327" s="34" t="s">
        <v>36</v>
      </c>
      <c r="D327" s="35">
        <f t="shared" si="15"/>
        <v>0</v>
      </c>
      <c r="E327" s="34">
        <v>2</v>
      </c>
      <c r="F327" s="34" t="s">
        <v>36</v>
      </c>
      <c r="G327" s="38">
        <f t="shared" si="16"/>
        <v>0</v>
      </c>
      <c r="H327" s="39">
        <v>738.999996730126</v>
      </c>
      <c r="I327" s="34"/>
      <c r="J327" s="34"/>
      <c r="K327" s="34"/>
      <c r="L327" s="39"/>
      <c r="M327" s="39"/>
      <c r="N327" s="48"/>
      <c r="O327" s="48"/>
    </row>
    <row r="328" spans="1:15">
      <c r="A328" s="33" t="s">
        <v>61</v>
      </c>
      <c r="B328" s="34" t="s">
        <v>62</v>
      </c>
      <c r="C328" s="34" t="s">
        <v>35</v>
      </c>
      <c r="D328" s="35">
        <f t="shared" si="15"/>
        <v>1</v>
      </c>
      <c r="E328" s="34">
        <v>5</v>
      </c>
      <c r="F328" s="34" t="s">
        <v>36</v>
      </c>
      <c r="G328" s="38">
        <f t="shared" si="16"/>
        <v>0</v>
      </c>
      <c r="H328" s="39">
        <v>1792.99999857321</v>
      </c>
      <c r="I328" s="34"/>
      <c r="J328" s="34"/>
      <c r="K328" s="34"/>
      <c r="L328" s="39"/>
      <c r="M328" s="39"/>
      <c r="N328" s="48"/>
      <c r="O328" s="48"/>
    </row>
    <row r="329" spans="1:15">
      <c r="A329" s="33" t="s">
        <v>59</v>
      </c>
      <c r="B329" s="34" t="s">
        <v>60</v>
      </c>
      <c r="C329" s="34" t="s">
        <v>35</v>
      </c>
      <c r="D329" s="35">
        <f t="shared" si="15"/>
        <v>1</v>
      </c>
      <c r="E329" s="34">
        <v>5</v>
      </c>
      <c r="F329" s="34" t="s">
        <v>36</v>
      </c>
      <c r="G329" s="38">
        <f t="shared" si="16"/>
        <v>0</v>
      </c>
      <c r="H329" s="39">
        <v>720.000005490147</v>
      </c>
      <c r="I329" s="34"/>
      <c r="J329" s="34"/>
      <c r="K329" s="34"/>
      <c r="L329" s="39"/>
      <c r="M329" s="39"/>
      <c r="N329" s="48"/>
      <c r="O329" s="48"/>
    </row>
    <row r="330" spans="1:15">
      <c r="A330" s="33" t="s">
        <v>69</v>
      </c>
      <c r="B330" s="34" t="s">
        <v>70</v>
      </c>
      <c r="C330" s="34" t="s">
        <v>35</v>
      </c>
      <c r="D330" s="35">
        <f t="shared" si="15"/>
        <v>1</v>
      </c>
      <c r="E330" s="34">
        <v>3</v>
      </c>
      <c r="F330" s="34" t="s">
        <v>36</v>
      </c>
      <c r="G330" s="38">
        <f t="shared" si="16"/>
        <v>0</v>
      </c>
      <c r="H330" s="39">
        <v>1265.99999356549</v>
      </c>
      <c r="I330" s="34"/>
      <c r="J330" s="34"/>
      <c r="K330" s="34"/>
      <c r="L330" s="39"/>
      <c r="M330" s="39"/>
      <c r="N330" s="48"/>
      <c r="O330" s="48"/>
    </row>
    <row r="331" spans="1:15">
      <c r="A331" s="33" t="s">
        <v>61</v>
      </c>
      <c r="B331" s="34" t="s">
        <v>62</v>
      </c>
      <c r="C331" s="34" t="s">
        <v>35</v>
      </c>
      <c r="D331" s="35">
        <f t="shared" si="15"/>
        <v>1</v>
      </c>
      <c r="E331" s="34">
        <v>5</v>
      </c>
      <c r="F331" s="34" t="s">
        <v>36</v>
      </c>
      <c r="G331" s="38">
        <f t="shared" si="16"/>
        <v>0</v>
      </c>
      <c r="H331" s="39">
        <v>861.000001989305</v>
      </c>
      <c r="I331" s="34"/>
      <c r="J331" s="34"/>
      <c r="K331" s="34"/>
      <c r="L331" s="39"/>
      <c r="M331" s="39"/>
      <c r="N331" s="48"/>
      <c r="O331" s="48"/>
    </row>
    <row r="332" spans="1:15">
      <c r="A332" s="33" t="s">
        <v>65</v>
      </c>
      <c r="B332" s="34" t="s">
        <v>66</v>
      </c>
      <c r="C332" s="34" t="s">
        <v>35</v>
      </c>
      <c r="D332" s="35">
        <f t="shared" si="15"/>
        <v>1</v>
      </c>
      <c r="E332" s="34">
        <v>3</v>
      </c>
      <c r="F332" s="34" t="s">
        <v>36</v>
      </c>
      <c r="G332" s="38">
        <f t="shared" si="16"/>
        <v>0</v>
      </c>
      <c r="H332" s="39">
        <v>348.000001511537</v>
      </c>
      <c r="I332" s="34"/>
      <c r="J332" s="34"/>
      <c r="K332" s="34"/>
      <c r="L332" s="39"/>
      <c r="M332" s="39"/>
      <c r="N332" s="48"/>
      <c r="O332" s="48"/>
    </row>
    <row r="333" spans="1:15">
      <c r="A333" s="33" t="s">
        <v>53</v>
      </c>
      <c r="B333" s="34" t="s">
        <v>54</v>
      </c>
      <c r="C333" s="34" t="s">
        <v>35</v>
      </c>
      <c r="D333" s="35">
        <f t="shared" si="15"/>
        <v>1</v>
      </c>
      <c r="E333" s="34">
        <v>3</v>
      </c>
      <c r="F333" s="34" t="s">
        <v>36</v>
      </c>
      <c r="G333" s="38">
        <f t="shared" si="16"/>
        <v>0</v>
      </c>
      <c r="H333" s="39">
        <v>603.000002657063</v>
      </c>
      <c r="I333" s="34"/>
      <c r="J333" s="34"/>
      <c r="K333" s="34"/>
      <c r="L333" s="39"/>
      <c r="M333" s="39"/>
      <c r="N333" s="48"/>
      <c r="O333" s="48"/>
    </row>
    <row r="334" spans="1:15">
      <c r="A334" s="33" t="s">
        <v>71</v>
      </c>
      <c r="B334" s="34" t="s">
        <v>72</v>
      </c>
      <c r="C334" s="34" t="s">
        <v>35</v>
      </c>
      <c r="D334" s="35">
        <f t="shared" si="15"/>
        <v>1</v>
      </c>
      <c r="E334" s="34">
        <v>4</v>
      </c>
      <c r="F334" s="34" t="s">
        <v>36</v>
      </c>
      <c r="G334" s="38">
        <f t="shared" si="16"/>
        <v>0</v>
      </c>
      <c r="H334" s="39">
        <v>1560.00000382774</v>
      </c>
      <c r="I334" s="34"/>
      <c r="J334" s="34"/>
      <c r="K334" s="34"/>
      <c r="L334" s="39"/>
      <c r="M334" s="39"/>
      <c r="N334" s="48"/>
      <c r="O334" s="48"/>
    </row>
    <row r="335" spans="1:15">
      <c r="A335" s="33" t="s">
        <v>75</v>
      </c>
      <c r="B335" s="34" t="s">
        <v>76</v>
      </c>
      <c r="C335" s="34" t="s">
        <v>35</v>
      </c>
      <c r="D335" s="35">
        <f t="shared" si="15"/>
        <v>1</v>
      </c>
      <c r="E335" s="34">
        <v>3</v>
      </c>
      <c r="F335" s="34" t="s">
        <v>36</v>
      </c>
      <c r="G335" s="38">
        <f t="shared" si="16"/>
        <v>0</v>
      </c>
      <c r="H335" s="39">
        <v>1675.00000242144</v>
      </c>
      <c r="I335" s="34"/>
      <c r="J335" s="34"/>
      <c r="K335" s="34"/>
      <c r="L335" s="39"/>
      <c r="M335" s="39"/>
      <c r="N335" s="48"/>
      <c r="O335" s="48"/>
    </row>
    <row r="336" spans="1:15">
      <c r="A336" s="33" t="s">
        <v>67</v>
      </c>
      <c r="B336" s="34" t="s">
        <v>68</v>
      </c>
      <c r="C336" s="34" t="s">
        <v>35</v>
      </c>
      <c r="D336" s="35">
        <f t="shared" si="15"/>
        <v>1</v>
      </c>
      <c r="E336" s="34">
        <v>5</v>
      </c>
      <c r="F336" s="34" t="s">
        <v>36</v>
      </c>
      <c r="G336" s="38">
        <f t="shared" si="16"/>
        <v>0</v>
      </c>
      <c r="H336" s="39">
        <v>211.000005947426</v>
      </c>
      <c r="I336" s="34"/>
      <c r="J336" s="34"/>
      <c r="K336" s="34"/>
      <c r="L336" s="39"/>
      <c r="M336" s="39"/>
      <c r="N336" s="48"/>
      <c r="O336" s="48"/>
    </row>
    <row r="337" spans="1:15">
      <c r="A337" s="33" t="s">
        <v>81</v>
      </c>
      <c r="B337" s="34" t="s">
        <v>82</v>
      </c>
      <c r="C337" s="34" t="s">
        <v>35</v>
      </c>
      <c r="D337" s="35">
        <f t="shared" si="15"/>
        <v>1</v>
      </c>
      <c r="E337" s="34">
        <v>3</v>
      </c>
      <c r="F337" s="34" t="s">
        <v>36</v>
      </c>
      <c r="G337" s="38">
        <f t="shared" si="16"/>
        <v>0</v>
      </c>
      <c r="H337" s="39">
        <v>1048.0000060983</v>
      </c>
      <c r="I337" s="34"/>
      <c r="J337" s="34"/>
      <c r="K337" s="34"/>
      <c r="L337" s="39"/>
      <c r="M337" s="39"/>
      <c r="N337" s="48"/>
      <c r="O337" s="48"/>
    </row>
    <row r="338" spans="1:15">
      <c r="A338" s="33" t="s">
        <v>55</v>
      </c>
      <c r="B338" s="34" t="s">
        <v>56</v>
      </c>
      <c r="C338" s="34" t="s">
        <v>35</v>
      </c>
      <c r="D338" s="35">
        <f t="shared" si="15"/>
        <v>1</v>
      </c>
      <c r="E338" s="34">
        <v>3</v>
      </c>
      <c r="F338" s="34" t="s">
        <v>36</v>
      </c>
      <c r="G338" s="38">
        <f t="shared" si="16"/>
        <v>0</v>
      </c>
      <c r="H338" s="39">
        <v>898.000007495284</v>
      </c>
      <c r="I338" s="34"/>
      <c r="J338" s="34"/>
      <c r="K338" s="34"/>
      <c r="L338" s="39"/>
      <c r="M338" s="39"/>
      <c r="N338" s="48"/>
      <c r="O338" s="48"/>
    </row>
    <row r="339" spans="1:15">
      <c r="A339" s="33" t="s">
        <v>57</v>
      </c>
      <c r="B339" s="34" t="s">
        <v>58</v>
      </c>
      <c r="C339" s="34" t="s">
        <v>36</v>
      </c>
      <c r="D339" s="35">
        <f t="shared" si="15"/>
        <v>0</v>
      </c>
      <c r="E339" s="34">
        <v>1</v>
      </c>
      <c r="F339" s="34" t="s">
        <v>36</v>
      </c>
      <c r="G339" s="38">
        <f t="shared" si="16"/>
        <v>0</v>
      </c>
      <c r="H339" s="39">
        <v>1779.99999553431</v>
      </c>
      <c r="I339" s="34"/>
      <c r="J339" s="34"/>
      <c r="K339" s="34"/>
      <c r="L339" s="39"/>
      <c r="M339" s="39"/>
      <c r="N339" s="48"/>
      <c r="O339" s="48"/>
    </row>
    <row r="340" spans="1:15">
      <c r="A340" s="33" t="s">
        <v>53</v>
      </c>
      <c r="B340" s="34" t="s">
        <v>54</v>
      </c>
      <c r="C340" s="34" t="s">
        <v>35</v>
      </c>
      <c r="D340" s="35">
        <f t="shared" si="15"/>
        <v>1</v>
      </c>
      <c r="E340" s="34">
        <v>3</v>
      </c>
      <c r="F340" s="34" t="s">
        <v>36</v>
      </c>
      <c r="G340" s="38">
        <f t="shared" si="16"/>
        <v>0</v>
      </c>
      <c r="H340" s="39">
        <v>112.000000406988</v>
      </c>
      <c r="I340" s="34"/>
      <c r="J340" s="34"/>
      <c r="K340" s="34"/>
      <c r="L340" s="39"/>
      <c r="M340" s="39"/>
      <c r="N340" s="48"/>
      <c r="O340" s="48"/>
    </row>
    <row r="341" spans="1:15">
      <c r="A341" s="33" t="s">
        <v>67</v>
      </c>
      <c r="B341" s="34" t="s">
        <v>68</v>
      </c>
      <c r="C341" s="34" t="s">
        <v>35</v>
      </c>
      <c r="D341" s="35">
        <f t="shared" si="15"/>
        <v>1</v>
      </c>
      <c r="E341" s="34">
        <v>4</v>
      </c>
      <c r="F341" s="34" t="s">
        <v>36</v>
      </c>
      <c r="G341" s="38">
        <f t="shared" si="16"/>
        <v>0</v>
      </c>
      <c r="H341" s="39">
        <v>1413.00000278279</v>
      </c>
      <c r="I341" s="34"/>
      <c r="J341" s="34"/>
      <c r="K341" s="34"/>
      <c r="L341" s="39"/>
      <c r="M341" s="39"/>
      <c r="N341" s="48"/>
      <c r="O341" s="48"/>
    </row>
    <row r="342" spans="1:15">
      <c r="A342" s="33" t="s">
        <v>69</v>
      </c>
      <c r="B342" s="34" t="s">
        <v>70</v>
      </c>
      <c r="C342" s="34" t="s">
        <v>35</v>
      </c>
      <c r="D342" s="35">
        <f t="shared" si="15"/>
        <v>1</v>
      </c>
      <c r="E342" s="34">
        <v>3</v>
      </c>
      <c r="F342" s="34" t="s">
        <v>36</v>
      </c>
      <c r="G342" s="38">
        <f t="shared" si="16"/>
        <v>0</v>
      </c>
      <c r="H342" s="39">
        <v>959.999999357387</v>
      </c>
      <c r="I342" s="34"/>
      <c r="J342" s="34"/>
      <c r="K342" s="34"/>
      <c r="L342" s="39"/>
      <c r="M342" s="39"/>
      <c r="N342" s="48"/>
      <c r="O342" s="48"/>
    </row>
    <row r="343" spans="1:15">
      <c r="A343" s="33" t="s">
        <v>63</v>
      </c>
      <c r="B343" s="34" t="s">
        <v>64</v>
      </c>
      <c r="C343" s="34" t="s">
        <v>36</v>
      </c>
      <c r="D343" s="35">
        <f t="shared" si="15"/>
        <v>0</v>
      </c>
      <c r="E343" s="34">
        <v>2</v>
      </c>
      <c r="F343" s="34" t="s">
        <v>35</v>
      </c>
      <c r="G343" s="38">
        <f t="shared" si="16"/>
        <v>1</v>
      </c>
      <c r="H343" s="39">
        <v>764.000000688247</v>
      </c>
      <c r="I343" s="34"/>
      <c r="J343" s="34"/>
      <c r="K343" s="34"/>
      <c r="L343" s="39"/>
      <c r="M343" s="39"/>
      <c r="N343" s="48"/>
      <c r="O343" s="48"/>
    </row>
    <row r="344" spans="1:15">
      <c r="A344" s="33" t="s">
        <v>59</v>
      </c>
      <c r="B344" s="34" t="s">
        <v>60</v>
      </c>
      <c r="C344" s="34" t="s">
        <v>35</v>
      </c>
      <c r="D344" s="35">
        <f t="shared" si="15"/>
        <v>1</v>
      </c>
      <c r="E344" s="34">
        <v>5</v>
      </c>
      <c r="F344" s="34" t="s">
        <v>36</v>
      </c>
      <c r="G344" s="38">
        <f t="shared" si="16"/>
        <v>0</v>
      </c>
      <c r="H344" s="39">
        <v>542.000004742295</v>
      </c>
      <c r="I344" s="34"/>
      <c r="J344" s="34"/>
      <c r="K344" s="34"/>
      <c r="L344" s="39"/>
      <c r="M344" s="39"/>
      <c r="N344" s="48"/>
      <c r="O344" s="48"/>
    </row>
    <row r="345" spans="1:15">
      <c r="A345" s="33" t="s">
        <v>55</v>
      </c>
      <c r="B345" s="34" t="s">
        <v>56</v>
      </c>
      <c r="C345" s="34" t="s">
        <v>35</v>
      </c>
      <c r="D345" s="35">
        <f t="shared" si="15"/>
        <v>1</v>
      </c>
      <c r="E345" s="34">
        <v>3</v>
      </c>
      <c r="F345" s="34" t="s">
        <v>36</v>
      </c>
      <c r="G345" s="38">
        <f t="shared" si="16"/>
        <v>0</v>
      </c>
      <c r="H345" s="39">
        <v>1447.00000130106</v>
      </c>
      <c r="I345" s="34"/>
      <c r="J345" s="34"/>
      <c r="K345" s="34"/>
      <c r="L345" s="39"/>
      <c r="M345" s="39"/>
      <c r="N345" s="48"/>
      <c r="O345" s="48"/>
    </row>
    <row r="346" spans="1:15">
      <c r="A346" s="33" t="s">
        <v>65</v>
      </c>
      <c r="B346" s="34" t="s">
        <v>66</v>
      </c>
      <c r="C346" s="34" t="s">
        <v>36</v>
      </c>
      <c r="D346" s="35">
        <f t="shared" si="15"/>
        <v>0</v>
      </c>
      <c r="E346" s="34">
        <v>3</v>
      </c>
      <c r="F346" s="34" t="s">
        <v>36</v>
      </c>
      <c r="G346" s="38">
        <f t="shared" si="16"/>
        <v>0</v>
      </c>
      <c r="H346" s="39">
        <v>927.000002958812</v>
      </c>
      <c r="I346" s="34"/>
      <c r="J346" s="34"/>
      <c r="K346" s="34"/>
      <c r="L346" s="39"/>
      <c r="M346" s="39"/>
      <c r="N346" s="48"/>
      <c r="O346" s="48"/>
    </row>
    <row r="347" spans="1:15">
      <c r="A347" s="33" t="s">
        <v>81</v>
      </c>
      <c r="B347" s="34" t="s">
        <v>82</v>
      </c>
      <c r="C347" s="34" t="s">
        <v>35</v>
      </c>
      <c r="D347" s="35">
        <f t="shared" si="15"/>
        <v>1</v>
      </c>
      <c r="E347" s="34">
        <v>3</v>
      </c>
      <c r="F347" s="34" t="s">
        <v>36</v>
      </c>
      <c r="G347" s="38">
        <f t="shared" si="16"/>
        <v>0</v>
      </c>
      <c r="H347" s="39">
        <v>1198.99999864865</v>
      </c>
      <c r="I347" s="34"/>
      <c r="J347" s="34"/>
      <c r="K347" s="34"/>
      <c r="L347" s="39"/>
      <c r="M347" s="39"/>
      <c r="N347" s="48"/>
      <c r="O347" s="48"/>
    </row>
    <row r="348" spans="1:15">
      <c r="A348" s="33" t="s">
        <v>63</v>
      </c>
      <c r="B348" s="34" t="s">
        <v>64</v>
      </c>
      <c r="C348" s="34" t="s">
        <v>35</v>
      </c>
      <c r="D348" s="35">
        <f t="shared" si="15"/>
        <v>1</v>
      </c>
      <c r="E348" s="34">
        <v>3</v>
      </c>
      <c r="F348" s="34" t="s">
        <v>36</v>
      </c>
      <c r="G348" s="38">
        <f t="shared" si="16"/>
        <v>0</v>
      </c>
      <c r="H348" s="39">
        <v>290.000001783483</v>
      </c>
      <c r="I348" s="34"/>
      <c r="J348" s="34"/>
      <c r="K348" s="34"/>
      <c r="L348" s="39"/>
      <c r="M348" s="39"/>
      <c r="N348" s="48"/>
      <c r="O348" s="48"/>
    </row>
    <row r="349" spans="1:15">
      <c r="A349" s="33" t="s">
        <v>81</v>
      </c>
      <c r="B349" s="34" t="s">
        <v>82</v>
      </c>
      <c r="C349" s="34" t="s">
        <v>35</v>
      </c>
      <c r="D349" s="35">
        <f t="shared" si="15"/>
        <v>1</v>
      </c>
      <c r="E349" s="34">
        <v>5</v>
      </c>
      <c r="F349" s="34" t="s">
        <v>36</v>
      </c>
      <c r="G349" s="38">
        <f t="shared" si="16"/>
        <v>0</v>
      </c>
      <c r="H349" s="39">
        <v>1155.99999739788</v>
      </c>
      <c r="I349" s="34"/>
      <c r="J349" s="34"/>
      <c r="K349" s="34"/>
      <c r="L349" s="39"/>
      <c r="M349" s="39"/>
      <c r="N349" s="48"/>
      <c r="O349" s="48"/>
    </row>
    <row r="350" spans="1:15">
      <c r="A350" s="33" t="s">
        <v>77</v>
      </c>
      <c r="B350" s="34" t="s">
        <v>78</v>
      </c>
      <c r="C350" s="34" t="s">
        <v>35</v>
      </c>
      <c r="D350" s="35">
        <f t="shared" si="15"/>
        <v>1</v>
      </c>
      <c r="E350" s="34">
        <v>4</v>
      </c>
      <c r="F350" s="34" t="s">
        <v>36</v>
      </c>
      <c r="G350" s="38">
        <f t="shared" si="16"/>
        <v>0</v>
      </c>
      <c r="H350" s="39">
        <v>885.000003827736</v>
      </c>
      <c r="I350" s="34"/>
      <c r="J350" s="34"/>
      <c r="K350" s="34"/>
      <c r="L350" s="39"/>
      <c r="M350" s="39"/>
      <c r="N350" s="48"/>
      <c r="O350" s="48"/>
    </row>
    <row r="351" spans="1:15">
      <c r="A351" s="33" t="s">
        <v>71</v>
      </c>
      <c r="B351" s="34" t="s">
        <v>72</v>
      </c>
      <c r="C351" s="34" t="s">
        <v>35</v>
      </c>
      <c r="D351" s="35">
        <f t="shared" si="15"/>
        <v>1</v>
      </c>
      <c r="E351" s="34">
        <v>4</v>
      </c>
      <c r="F351" s="34" t="s">
        <v>36</v>
      </c>
      <c r="G351" s="38">
        <f t="shared" si="16"/>
        <v>0</v>
      </c>
      <c r="H351" s="39">
        <v>610.000001150183</v>
      </c>
      <c r="I351" s="34"/>
      <c r="J351" s="34"/>
      <c r="K351" s="34"/>
      <c r="L351" s="39"/>
      <c r="M351" s="39"/>
      <c r="N351" s="48"/>
      <c r="O351" s="48"/>
    </row>
    <row r="352" spans="1:15">
      <c r="A352" s="33" t="s">
        <v>79</v>
      </c>
      <c r="B352" s="34" t="s">
        <v>80</v>
      </c>
      <c r="C352" s="34" t="s">
        <v>35</v>
      </c>
      <c r="D352" s="35">
        <f t="shared" si="15"/>
        <v>1</v>
      </c>
      <c r="E352" s="34">
        <v>5</v>
      </c>
      <c r="F352" s="34" t="s">
        <v>36</v>
      </c>
      <c r="G352" s="38">
        <f t="shared" si="16"/>
        <v>0</v>
      </c>
      <c r="H352" s="39">
        <v>334.999999101274</v>
      </c>
      <c r="I352" s="34"/>
      <c r="J352" s="34"/>
      <c r="K352" s="34"/>
      <c r="L352" s="39"/>
      <c r="M352" s="39"/>
      <c r="N352" s="48"/>
      <c r="O352" s="48"/>
    </row>
    <row r="353" spans="1:15">
      <c r="A353" s="33" t="s">
        <v>53</v>
      </c>
      <c r="B353" s="34" t="s">
        <v>54</v>
      </c>
      <c r="C353" s="34" t="s">
        <v>35</v>
      </c>
      <c r="D353" s="35">
        <f t="shared" si="15"/>
        <v>1</v>
      </c>
      <c r="E353" s="34">
        <v>3</v>
      </c>
      <c r="F353" s="34" t="s">
        <v>36</v>
      </c>
      <c r="G353" s="38">
        <f t="shared" si="16"/>
        <v>0</v>
      </c>
      <c r="H353" s="39">
        <v>1746.99999976438</v>
      </c>
      <c r="I353" s="34"/>
      <c r="J353" s="34"/>
      <c r="K353" s="34"/>
      <c r="L353" s="39"/>
      <c r="M353" s="39"/>
      <c r="N353" s="48"/>
      <c r="O353" s="48"/>
    </row>
    <row r="354" spans="1:15">
      <c r="A354" s="33" t="s">
        <v>57</v>
      </c>
      <c r="B354" s="34" t="s">
        <v>58</v>
      </c>
      <c r="C354" s="34" t="s">
        <v>36</v>
      </c>
      <c r="D354" s="35">
        <f t="shared" si="15"/>
        <v>0</v>
      </c>
      <c r="E354" s="34">
        <v>1</v>
      </c>
      <c r="F354" s="34" t="s">
        <v>35</v>
      </c>
      <c r="G354" s="38">
        <f t="shared" si="16"/>
        <v>1</v>
      </c>
      <c r="H354" s="39">
        <v>1657.99999844749</v>
      </c>
      <c r="I354" s="34"/>
      <c r="J354" s="34"/>
      <c r="K354" s="34"/>
      <c r="L354" s="39"/>
      <c r="M354" s="39"/>
      <c r="N354" s="48"/>
      <c r="O354" s="48"/>
    </row>
    <row r="355" spans="1:15">
      <c r="A355" s="33" t="s">
        <v>65</v>
      </c>
      <c r="B355" s="34" t="s">
        <v>66</v>
      </c>
      <c r="C355" s="34" t="s">
        <v>35</v>
      </c>
      <c r="D355" s="35">
        <f t="shared" si="15"/>
        <v>1</v>
      </c>
      <c r="E355" s="34">
        <v>5</v>
      </c>
      <c r="F355" s="34" t="s">
        <v>36</v>
      </c>
      <c r="G355" s="38">
        <f t="shared" si="16"/>
        <v>0</v>
      </c>
      <c r="H355" s="39">
        <v>797.999999206513</v>
      </c>
      <c r="I355" s="34"/>
      <c r="J355" s="34"/>
      <c r="K355" s="34"/>
      <c r="L355" s="39"/>
      <c r="M355" s="39"/>
      <c r="N355" s="48"/>
      <c r="O355" s="48"/>
    </row>
    <row r="356" spans="1:15">
      <c r="A356" s="33" t="s">
        <v>81</v>
      </c>
      <c r="B356" s="34" t="s">
        <v>82</v>
      </c>
      <c r="C356" s="34" t="s">
        <v>35</v>
      </c>
      <c r="D356" s="35">
        <f t="shared" si="15"/>
        <v>1</v>
      </c>
      <c r="E356" s="34">
        <v>4</v>
      </c>
      <c r="F356" s="34" t="s">
        <v>36</v>
      </c>
      <c r="G356" s="38">
        <f t="shared" si="16"/>
        <v>0</v>
      </c>
      <c r="H356" s="39">
        <v>1061.00000033621</v>
      </c>
      <c r="I356" s="34"/>
      <c r="J356" s="34"/>
      <c r="K356" s="34"/>
      <c r="L356" s="39"/>
      <c r="M356" s="39"/>
      <c r="N356" s="48"/>
      <c r="O356" s="48"/>
    </row>
    <row r="357" spans="1:15">
      <c r="A357" s="33" t="s">
        <v>61</v>
      </c>
      <c r="B357" s="34" t="s">
        <v>62</v>
      </c>
      <c r="C357" s="34" t="s">
        <v>36</v>
      </c>
      <c r="D357" s="35">
        <f t="shared" si="15"/>
        <v>0</v>
      </c>
      <c r="E357" s="34">
        <v>3</v>
      </c>
      <c r="F357" s="34" t="s">
        <v>35</v>
      </c>
      <c r="G357" s="38">
        <f t="shared" si="16"/>
        <v>1</v>
      </c>
      <c r="H357" s="39">
        <v>1470.0000010198</v>
      </c>
      <c r="I357" s="34"/>
      <c r="J357" s="34"/>
      <c r="K357" s="34"/>
      <c r="L357" s="39"/>
      <c r="M357" s="39"/>
      <c r="N357" s="48"/>
      <c r="O357" s="48"/>
    </row>
    <row r="358" spans="1:15">
      <c r="A358" s="33" t="s">
        <v>65</v>
      </c>
      <c r="B358" s="34" t="s">
        <v>66</v>
      </c>
      <c r="C358" s="34" t="s">
        <v>36</v>
      </c>
      <c r="D358" s="35">
        <f t="shared" si="15"/>
        <v>0</v>
      </c>
      <c r="E358" s="34">
        <v>3</v>
      </c>
      <c r="F358" s="34" t="s">
        <v>36</v>
      </c>
      <c r="G358" s="38">
        <f t="shared" si="16"/>
        <v>0</v>
      </c>
      <c r="H358" s="39">
        <v>1447.00000130106</v>
      </c>
      <c r="I358" s="34"/>
      <c r="J358" s="34"/>
      <c r="K358" s="34"/>
      <c r="L358" s="39"/>
      <c r="M358" s="39"/>
      <c r="N358" s="48"/>
      <c r="O358" s="48"/>
    </row>
    <row r="359" spans="1:15">
      <c r="A359" s="33" t="s">
        <v>81</v>
      </c>
      <c r="B359" s="34" t="s">
        <v>82</v>
      </c>
      <c r="C359" s="34" t="s">
        <v>35</v>
      </c>
      <c r="D359" s="35">
        <f t="shared" si="15"/>
        <v>1</v>
      </c>
      <c r="E359" s="34">
        <v>5</v>
      </c>
      <c r="F359" s="34" t="s">
        <v>36</v>
      </c>
      <c r="G359" s="38">
        <f t="shared" si="16"/>
        <v>0</v>
      </c>
      <c r="H359" s="39">
        <v>76.999999769032</v>
      </c>
      <c r="I359" s="34"/>
      <c r="J359" s="34"/>
      <c r="K359" s="34"/>
      <c r="L359" s="39"/>
      <c r="M359" s="39"/>
      <c r="N359" s="48"/>
      <c r="O359" s="48"/>
    </row>
    <row r="360" spans="1:15">
      <c r="A360" s="33" t="s">
        <v>67</v>
      </c>
      <c r="B360" s="34" t="s">
        <v>68</v>
      </c>
      <c r="C360" s="34" t="s">
        <v>35</v>
      </c>
      <c r="D360" s="35">
        <f t="shared" si="15"/>
        <v>1</v>
      </c>
      <c r="E360" s="34">
        <v>5</v>
      </c>
      <c r="F360" s="34" t="s">
        <v>36</v>
      </c>
      <c r="G360" s="38">
        <f t="shared" si="16"/>
        <v>0</v>
      </c>
      <c r="H360" s="39">
        <v>1000.00000242144</v>
      </c>
      <c r="I360" s="34"/>
      <c r="J360" s="34"/>
      <c r="K360" s="34"/>
      <c r="L360" s="39"/>
      <c r="M360" s="39"/>
      <c r="N360" s="48"/>
      <c r="O360" s="48"/>
    </row>
    <row r="361" spans="1:15">
      <c r="A361" s="33" t="s">
        <v>59</v>
      </c>
      <c r="B361" s="34" t="s">
        <v>60</v>
      </c>
      <c r="C361" s="34" t="s">
        <v>35</v>
      </c>
      <c r="D361" s="35">
        <f t="shared" si="15"/>
        <v>1</v>
      </c>
      <c r="E361" s="34">
        <v>4</v>
      </c>
      <c r="F361" s="34" t="s">
        <v>36</v>
      </c>
      <c r="G361" s="38">
        <f t="shared" si="16"/>
        <v>0</v>
      </c>
      <c r="H361" s="39">
        <v>1416.00000096951</v>
      </c>
      <c r="I361" s="34"/>
      <c r="J361" s="34"/>
      <c r="K361" s="34"/>
      <c r="L361" s="39"/>
      <c r="M361" s="39"/>
      <c r="N361" s="48"/>
      <c r="O361" s="48"/>
    </row>
    <row r="362" spans="1:15">
      <c r="A362" s="33" t="s">
        <v>57</v>
      </c>
      <c r="B362" s="34" t="s">
        <v>58</v>
      </c>
      <c r="C362" s="34" t="s">
        <v>35</v>
      </c>
      <c r="D362" s="35">
        <f t="shared" si="15"/>
        <v>1</v>
      </c>
      <c r="E362" s="34">
        <v>3</v>
      </c>
      <c r="F362" s="34" t="s">
        <v>36</v>
      </c>
      <c r="G362" s="38">
        <f t="shared" si="16"/>
        <v>0</v>
      </c>
      <c r="H362" s="39">
        <v>626.999996323138</v>
      </c>
      <c r="I362" s="34"/>
      <c r="J362" s="34"/>
      <c r="K362" s="34"/>
      <c r="L362" s="39"/>
      <c r="M362" s="39"/>
      <c r="N362" s="48"/>
      <c r="O362" s="48"/>
    </row>
    <row r="363" spans="1:15">
      <c r="A363" s="33" t="s">
        <v>81</v>
      </c>
      <c r="B363" s="34" t="s">
        <v>82</v>
      </c>
      <c r="C363" s="34" t="s">
        <v>35</v>
      </c>
      <c r="D363" s="35">
        <f t="shared" si="15"/>
        <v>1</v>
      </c>
      <c r="E363" s="34">
        <v>4</v>
      </c>
      <c r="F363" s="34" t="s">
        <v>36</v>
      </c>
      <c r="G363" s="38">
        <f t="shared" si="16"/>
        <v>0</v>
      </c>
      <c r="H363" s="39">
        <v>1454.00000796653</v>
      </c>
      <c r="I363" s="34"/>
      <c r="J363" s="34"/>
      <c r="K363" s="34"/>
      <c r="L363" s="39"/>
      <c r="M363" s="39"/>
      <c r="N363" s="48"/>
      <c r="O363" s="48"/>
    </row>
    <row r="364" spans="1:15">
      <c r="A364" s="33" t="s">
        <v>59</v>
      </c>
      <c r="B364" s="34" t="s">
        <v>60</v>
      </c>
      <c r="C364" s="34" t="s">
        <v>35</v>
      </c>
      <c r="D364" s="35">
        <f t="shared" si="15"/>
        <v>1</v>
      </c>
      <c r="E364" s="34">
        <v>4</v>
      </c>
      <c r="F364" s="34" t="s">
        <v>36</v>
      </c>
      <c r="G364" s="38">
        <f t="shared" si="16"/>
        <v>0</v>
      </c>
      <c r="H364" s="39">
        <v>1231.00000109989</v>
      </c>
      <c r="I364" s="34"/>
      <c r="J364" s="34"/>
      <c r="K364" s="34"/>
      <c r="L364" s="39"/>
      <c r="M364" s="39"/>
      <c r="N364" s="48"/>
      <c r="O364" s="48"/>
    </row>
    <row r="365" spans="1:15">
      <c r="A365" s="33" t="s">
        <v>81</v>
      </c>
      <c r="B365" s="34" t="s">
        <v>82</v>
      </c>
      <c r="C365" s="34" t="s">
        <v>36</v>
      </c>
      <c r="D365" s="35">
        <f t="shared" si="15"/>
        <v>0</v>
      </c>
      <c r="E365" s="34">
        <v>1</v>
      </c>
      <c r="F365" s="34" t="s">
        <v>35</v>
      </c>
      <c r="G365" s="38">
        <f t="shared" si="16"/>
        <v>1</v>
      </c>
      <c r="H365" s="39">
        <v>1790.99999433383</v>
      </c>
      <c r="I365" s="34"/>
      <c r="J365" s="34"/>
      <c r="K365" s="34"/>
      <c r="L365" s="39"/>
      <c r="M365" s="39"/>
      <c r="N365" s="48"/>
      <c r="O365" s="48"/>
    </row>
    <row r="366" spans="1:15">
      <c r="A366" s="33" t="s">
        <v>71</v>
      </c>
      <c r="B366" s="34" t="s">
        <v>72</v>
      </c>
      <c r="C366" s="34" t="s">
        <v>35</v>
      </c>
      <c r="D366" s="35">
        <f t="shared" si="15"/>
        <v>1</v>
      </c>
      <c r="E366" s="34">
        <v>4</v>
      </c>
      <c r="F366" s="34" t="s">
        <v>36</v>
      </c>
      <c r="G366" s="38">
        <f t="shared" si="16"/>
        <v>0</v>
      </c>
      <c r="H366" s="39">
        <v>746.999996714294</v>
      </c>
      <c r="I366" s="34"/>
      <c r="J366" s="34"/>
      <c r="K366" s="34"/>
      <c r="L366" s="39"/>
      <c r="M366" s="39"/>
      <c r="N366" s="48"/>
      <c r="O366" s="48"/>
    </row>
    <row r="367" spans="1:15">
      <c r="A367" s="33" t="s">
        <v>59</v>
      </c>
      <c r="B367" s="34" t="s">
        <v>60</v>
      </c>
      <c r="C367" s="34" t="s">
        <v>36</v>
      </c>
      <c r="D367" s="35">
        <f t="shared" si="15"/>
        <v>0</v>
      </c>
      <c r="E367" s="34">
        <v>3</v>
      </c>
      <c r="F367" s="34" t="s">
        <v>35</v>
      </c>
      <c r="G367" s="38">
        <f t="shared" si="16"/>
        <v>1</v>
      </c>
      <c r="H367" s="39">
        <v>1258.99999444373</v>
      </c>
      <c r="I367" s="34"/>
      <c r="J367" s="34"/>
      <c r="K367" s="34"/>
      <c r="L367" s="39"/>
      <c r="M367" s="39"/>
      <c r="N367" s="48"/>
      <c r="O367" s="48"/>
    </row>
    <row r="368" spans="1:15">
      <c r="A368" s="33" t="s">
        <v>77</v>
      </c>
      <c r="B368" s="34" t="s">
        <v>78</v>
      </c>
      <c r="C368" s="34" t="s">
        <v>36</v>
      </c>
      <c r="D368" s="35">
        <f t="shared" si="15"/>
        <v>0</v>
      </c>
      <c r="E368" s="34">
        <v>1</v>
      </c>
      <c r="F368" s="34" t="s">
        <v>36</v>
      </c>
      <c r="G368" s="38">
        <f t="shared" si="16"/>
        <v>0</v>
      </c>
      <c r="H368" s="39">
        <v>1084.00000068359</v>
      </c>
      <c r="I368" s="34"/>
      <c r="J368" s="34"/>
      <c r="K368" s="34"/>
      <c r="L368" s="39"/>
      <c r="M368" s="39"/>
      <c r="N368" s="48"/>
      <c r="O368" s="48"/>
    </row>
    <row r="369" spans="1:15">
      <c r="A369" s="33" t="s">
        <v>65</v>
      </c>
      <c r="B369" s="34" t="s">
        <v>66</v>
      </c>
      <c r="C369" s="34" t="s">
        <v>35</v>
      </c>
      <c r="D369" s="35">
        <f t="shared" si="15"/>
        <v>1</v>
      </c>
      <c r="E369" s="34">
        <v>5</v>
      </c>
      <c r="F369" s="34" t="s">
        <v>36</v>
      </c>
      <c r="G369" s="38">
        <f t="shared" si="16"/>
        <v>0</v>
      </c>
      <c r="H369" s="39">
        <v>996.999996062368</v>
      </c>
      <c r="I369" s="34"/>
      <c r="J369" s="34"/>
      <c r="K369" s="34"/>
      <c r="L369" s="39"/>
      <c r="M369" s="39"/>
      <c r="N369" s="48"/>
      <c r="O369" s="48"/>
    </row>
    <row r="370" spans="1:15">
      <c r="A370" s="33" t="s">
        <v>61</v>
      </c>
      <c r="B370" s="34" t="s">
        <v>62</v>
      </c>
      <c r="C370" s="34" t="s">
        <v>35</v>
      </c>
      <c r="D370" s="35">
        <f t="shared" si="15"/>
        <v>1</v>
      </c>
      <c r="E370" s="34">
        <v>3</v>
      </c>
      <c r="F370" s="34" t="s">
        <v>36</v>
      </c>
      <c r="G370" s="38">
        <f t="shared" si="16"/>
        <v>0</v>
      </c>
      <c r="H370" s="39">
        <v>620.000006631017</v>
      </c>
      <c r="I370" s="34"/>
      <c r="J370" s="34"/>
      <c r="K370" s="34"/>
      <c r="L370" s="39"/>
      <c r="M370" s="39"/>
      <c r="N370" s="48"/>
      <c r="O370" s="48"/>
    </row>
    <row r="371" spans="1:15">
      <c r="A371" s="33" t="s">
        <v>61</v>
      </c>
      <c r="B371" s="34" t="s">
        <v>62</v>
      </c>
      <c r="C371" s="34" t="s">
        <v>36</v>
      </c>
      <c r="D371" s="35">
        <f t="shared" si="15"/>
        <v>0</v>
      </c>
      <c r="E371" s="34">
        <v>1</v>
      </c>
      <c r="F371" s="34" t="s">
        <v>35</v>
      </c>
      <c r="G371" s="38">
        <f t="shared" si="16"/>
        <v>1</v>
      </c>
      <c r="H371" s="39">
        <v>886.000005947426</v>
      </c>
      <c r="I371" s="34"/>
      <c r="J371" s="34"/>
      <c r="K371" s="34"/>
      <c r="L371" s="39"/>
      <c r="M371" s="39"/>
      <c r="N371" s="48"/>
      <c r="O371" s="48"/>
    </row>
    <row r="372" spans="1:15">
      <c r="A372" s="33" t="s">
        <v>55</v>
      </c>
      <c r="B372" s="34" t="s">
        <v>56</v>
      </c>
      <c r="C372" s="34" t="s">
        <v>35</v>
      </c>
      <c r="D372" s="35">
        <f t="shared" si="15"/>
        <v>1</v>
      </c>
      <c r="E372" s="34">
        <v>4</v>
      </c>
      <c r="F372" s="34" t="s">
        <v>36</v>
      </c>
      <c r="G372" s="38">
        <f t="shared" si="16"/>
        <v>0</v>
      </c>
      <c r="H372" s="39">
        <v>1444.99999643303</v>
      </c>
      <c r="I372" s="34"/>
      <c r="J372" s="34"/>
      <c r="K372" s="34"/>
      <c r="L372" s="39"/>
      <c r="M372" s="39"/>
      <c r="N372" s="48"/>
      <c r="O372" s="48"/>
    </row>
    <row r="373" spans="1:15">
      <c r="A373" s="33" t="s">
        <v>61</v>
      </c>
      <c r="B373" s="34" t="s">
        <v>62</v>
      </c>
      <c r="C373" s="34" t="s">
        <v>35</v>
      </c>
      <c r="D373" s="35">
        <f t="shared" si="15"/>
        <v>1</v>
      </c>
      <c r="E373" s="34">
        <v>4</v>
      </c>
      <c r="F373" s="34" t="s">
        <v>36</v>
      </c>
      <c r="G373" s="38">
        <f t="shared" si="16"/>
        <v>0</v>
      </c>
      <c r="H373" s="39">
        <v>685.999998799525</v>
      </c>
      <c r="I373" s="34"/>
      <c r="J373" s="34"/>
      <c r="K373" s="34"/>
      <c r="L373" s="39"/>
      <c r="M373" s="39"/>
      <c r="N373" s="48"/>
      <c r="O373" s="48"/>
    </row>
    <row r="374" spans="1:15">
      <c r="A374" s="33" t="s">
        <v>71</v>
      </c>
      <c r="B374" s="34" t="s">
        <v>72</v>
      </c>
      <c r="C374" s="34" t="s">
        <v>35</v>
      </c>
      <c r="D374" s="35">
        <f t="shared" si="15"/>
        <v>1</v>
      </c>
      <c r="E374" s="34">
        <v>3</v>
      </c>
      <c r="F374" s="34" t="s">
        <v>36</v>
      </c>
      <c r="G374" s="38">
        <f t="shared" si="16"/>
        <v>0</v>
      </c>
      <c r="H374" s="39">
        <v>1466.00000071339</v>
      </c>
      <c r="I374" s="34"/>
      <c r="J374" s="34"/>
      <c r="K374" s="34"/>
      <c r="L374" s="39"/>
      <c r="M374" s="39"/>
      <c r="N374" s="48"/>
      <c r="O374" s="48"/>
    </row>
    <row r="375" spans="1:15">
      <c r="A375" s="33" t="s">
        <v>81</v>
      </c>
      <c r="B375" s="34" t="s">
        <v>82</v>
      </c>
      <c r="C375" s="34" t="s">
        <v>35</v>
      </c>
      <c r="D375" s="35">
        <f t="shared" si="15"/>
        <v>1</v>
      </c>
      <c r="E375" s="34">
        <v>3</v>
      </c>
      <c r="F375" s="34" t="s">
        <v>36</v>
      </c>
      <c r="G375" s="38">
        <f t="shared" si="16"/>
        <v>0</v>
      </c>
      <c r="H375" s="39">
        <v>518.999996222556</v>
      </c>
      <c r="I375" s="34"/>
      <c r="J375" s="34"/>
      <c r="K375" s="34"/>
      <c r="L375" s="39"/>
      <c r="M375" s="39"/>
      <c r="N375" s="48"/>
      <c r="O375" s="48"/>
    </row>
    <row r="376" spans="1:15">
      <c r="A376" s="33" t="s">
        <v>69</v>
      </c>
      <c r="B376" s="34" t="s">
        <v>70</v>
      </c>
      <c r="C376" s="34" t="s">
        <v>35</v>
      </c>
      <c r="D376" s="35">
        <f t="shared" si="15"/>
        <v>1</v>
      </c>
      <c r="E376" s="34">
        <v>5</v>
      </c>
      <c r="F376" s="34" t="s">
        <v>36</v>
      </c>
      <c r="G376" s="38">
        <f t="shared" si="16"/>
        <v>0</v>
      </c>
      <c r="H376" s="39">
        <v>1370.99999485072</v>
      </c>
      <c r="I376" s="34"/>
      <c r="J376" s="34"/>
      <c r="K376" s="34"/>
      <c r="L376" s="39"/>
      <c r="M376" s="39"/>
      <c r="N376" s="48"/>
      <c r="O376" s="48"/>
    </row>
    <row r="377" spans="1:15">
      <c r="A377" s="33" t="s">
        <v>57</v>
      </c>
      <c r="B377" s="34" t="s">
        <v>58</v>
      </c>
      <c r="C377" s="34" t="s">
        <v>35</v>
      </c>
      <c r="D377" s="35">
        <f t="shared" si="15"/>
        <v>1</v>
      </c>
      <c r="E377" s="34">
        <v>4</v>
      </c>
      <c r="F377" s="34" t="s">
        <v>36</v>
      </c>
      <c r="G377" s="38">
        <f t="shared" si="16"/>
        <v>0</v>
      </c>
      <c r="H377" s="39">
        <v>296.99999964796</v>
      </c>
      <c r="I377" s="34"/>
      <c r="J377" s="34"/>
      <c r="K377" s="34"/>
      <c r="L377" s="39"/>
      <c r="M377" s="39"/>
      <c r="N377" s="48"/>
      <c r="O377" s="48"/>
    </row>
    <row r="378" spans="1:15">
      <c r="A378" s="33" t="s">
        <v>71</v>
      </c>
      <c r="B378" s="34" t="s">
        <v>72</v>
      </c>
      <c r="C378" s="34" t="s">
        <v>36</v>
      </c>
      <c r="D378" s="35">
        <f t="shared" si="15"/>
        <v>0</v>
      </c>
      <c r="E378" s="34">
        <v>3</v>
      </c>
      <c r="F378" s="34" t="s">
        <v>36</v>
      </c>
      <c r="G378" s="38">
        <f t="shared" si="16"/>
        <v>0</v>
      </c>
      <c r="H378" s="39">
        <v>1350</v>
      </c>
      <c r="I378" s="34"/>
      <c r="J378" s="34"/>
      <c r="K378" s="34"/>
      <c r="L378" s="39"/>
      <c r="M378" s="39"/>
      <c r="N378" s="48"/>
      <c r="O378" s="48"/>
    </row>
    <row r="379" spans="1:15">
      <c r="A379" s="33" t="s">
        <v>77</v>
      </c>
      <c r="B379" s="34" t="s">
        <v>78</v>
      </c>
      <c r="C379" s="34" t="s">
        <v>36</v>
      </c>
      <c r="D379" s="35">
        <f t="shared" si="15"/>
        <v>0</v>
      </c>
      <c r="E379" s="34">
        <v>1</v>
      </c>
      <c r="F379" s="34" t="s">
        <v>36</v>
      </c>
      <c r="G379" s="38">
        <f t="shared" si="16"/>
        <v>0</v>
      </c>
      <c r="H379" s="39">
        <v>273.999991756864</v>
      </c>
      <c r="I379" s="34"/>
      <c r="J379" s="34"/>
      <c r="K379" s="34"/>
      <c r="L379" s="39"/>
      <c r="M379" s="39"/>
      <c r="N379" s="48"/>
      <c r="O379" s="48"/>
    </row>
    <row r="380" spans="1:15">
      <c r="A380" s="33" t="s">
        <v>77</v>
      </c>
      <c r="B380" s="34" t="s">
        <v>78</v>
      </c>
      <c r="C380" s="34" t="s">
        <v>36</v>
      </c>
      <c r="D380" s="35">
        <f t="shared" si="15"/>
        <v>0</v>
      </c>
      <c r="E380" s="34">
        <v>2</v>
      </c>
      <c r="F380" s="34" t="s">
        <v>35</v>
      </c>
      <c r="G380" s="38">
        <f t="shared" si="16"/>
        <v>1</v>
      </c>
      <c r="H380" s="39">
        <v>473.000005586073</v>
      </c>
      <c r="I380" s="34"/>
      <c r="J380" s="34"/>
      <c r="K380" s="34"/>
      <c r="L380" s="39"/>
      <c r="M380" s="39"/>
      <c r="N380" s="48"/>
      <c r="O380" s="48"/>
    </row>
    <row r="381" spans="1:15">
      <c r="A381" s="33" t="s">
        <v>71</v>
      </c>
      <c r="B381" s="34" t="s">
        <v>72</v>
      </c>
      <c r="C381" s="34" t="s">
        <v>35</v>
      </c>
      <c r="D381" s="35">
        <f t="shared" si="15"/>
        <v>1</v>
      </c>
      <c r="E381" s="34">
        <v>5</v>
      </c>
      <c r="F381" s="34" t="s">
        <v>36</v>
      </c>
      <c r="G381" s="38">
        <f t="shared" si="16"/>
        <v>0</v>
      </c>
      <c r="H381" s="39">
        <v>86.0000025015324</v>
      </c>
      <c r="I381" s="34"/>
      <c r="J381" s="34"/>
      <c r="K381" s="34"/>
      <c r="L381" s="39"/>
      <c r="M381" s="39"/>
      <c r="N381" s="48"/>
      <c r="O381" s="48"/>
    </row>
    <row r="382" spans="1:15">
      <c r="A382" s="33" t="s">
        <v>57</v>
      </c>
      <c r="B382" s="34" t="s">
        <v>58</v>
      </c>
      <c r="C382" s="34" t="s">
        <v>35</v>
      </c>
      <c r="D382" s="35">
        <f t="shared" si="15"/>
        <v>1</v>
      </c>
      <c r="E382" s="34">
        <v>3</v>
      </c>
      <c r="F382" s="34" t="s">
        <v>36</v>
      </c>
      <c r="G382" s="38">
        <f t="shared" si="16"/>
        <v>0</v>
      </c>
      <c r="H382" s="39">
        <v>1379.00000426453</v>
      </c>
      <c r="I382" s="34"/>
      <c r="J382" s="34"/>
      <c r="K382" s="34"/>
      <c r="L382" s="39"/>
      <c r="M382" s="39"/>
      <c r="N382" s="48"/>
      <c r="O382" s="48"/>
    </row>
    <row r="383" spans="1:15">
      <c r="A383" s="33" t="s">
        <v>79</v>
      </c>
      <c r="B383" s="34" t="s">
        <v>80</v>
      </c>
      <c r="C383" s="34" t="s">
        <v>35</v>
      </c>
      <c r="D383" s="35">
        <f t="shared" si="15"/>
        <v>1</v>
      </c>
      <c r="E383" s="34">
        <v>3</v>
      </c>
      <c r="F383" s="34" t="s">
        <v>36</v>
      </c>
      <c r="G383" s="38">
        <f t="shared" si="16"/>
        <v>0</v>
      </c>
      <c r="H383" s="39">
        <v>796.99999645818</v>
      </c>
      <c r="I383" s="34"/>
      <c r="J383" s="34"/>
      <c r="K383" s="34"/>
      <c r="L383" s="39"/>
      <c r="M383" s="39"/>
      <c r="N383" s="48"/>
      <c r="O383" s="48"/>
    </row>
    <row r="384" spans="1:15">
      <c r="A384" s="33" t="s">
        <v>55</v>
      </c>
      <c r="B384" s="34" t="s">
        <v>56</v>
      </c>
      <c r="C384" s="34" t="s">
        <v>35</v>
      </c>
      <c r="D384" s="35">
        <f t="shared" si="15"/>
        <v>1</v>
      </c>
      <c r="E384" s="34">
        <v>5</v>
      </c>
      <c r="F384" s="34" t="s">
        <v>36</v>
      </c>
      <c r="G384" s="38">
        <f t="shared" si="16"/>
        <v>0</v>
      </c>
      <c r="H384" s="39">
        <v>409.000000683591</v>
      </c>
      <c r="I384" s="34"/>
      <c r="J384" s="34"/>
      <c r="K384" s="34"/>
      <c r="L384" s="39"/>
      <c r="M384" s="39"/>
      <c r="N384" s="48"/>
      <c r="O384" s="48"/>
    </row>
    <row r="385" spans="1:15">
      <c r="A385" s="33" t="s">
        <v>57</v>
      </c>
      <c r="B385" s="34" t="s">
        <v>58</v>
      </c>
      <c r="C385" s="34" t="s">
        <v>35</v>
      </c>
      <c r="D385" s="35">
        <f t="shared" si="15"/>
        <v>1</v>
      </c>
      <c r="E385" s="34">
        <v>4</v>
      </c>
      <c r="F385" s="34" t="s">
        <v>36</v>
      </c>
      <c r="G385" s="38">
        <f t="shared" si="16"/>
        <v>0</v>
      </c>
      <c r="H385" s="39">
        <v>880.00000140164</v>
      </c>
      <c r="I385" s="34"/>
      <c r="J385" s="34"/>
      <c r="K385" s="34"/>
      <c r="L385" s="39"/>
      <c r="M385" s="39"/>
      <c r="N385" s="48"/>
      <c r="O385" s="48"/>
    </row>
    <row r="386" spans="1:15">
      <c r="A386" s="33" t="s">
        <v>63</v>
      </c>
      <c r="B386" s="34" t="s">
        <v>64</v>
      </c>
      <c r="C386" s="34" t="s">
        <v>35</v>
      </c>
      <c r="D386" s="35">
        <f t="shared" ref="D386:D449" si="17">IF(C386="Y",1,0)</f>
        <v>1</v>
      </c>
      <c r="E386" s="34">
        <v>4</v>
      </c>
      <c r="F386" s="34" t="s">
        <v>36</v>
      </c>
      <c r="G386" s="38">
        <f t="shared" si="16"/>
        <v>0</v>
      </c>
      <c r="H386" s="39">
        <v>1485.00000012573</v>
      </c>
      <c r="I386" s="34"/>
      <c r="J386" s="34"/>
      <c r="K386" s="34"/>
      <c r="L386" s="39"/>
      <c r="M386" s="39"/>
      <c r="N386" s="48"/>
      <c r="O386" s="48"/>
    </row>
    <row r="387" spans="1:15">
      <c r="A387" s="33" t="s">
        <v>63</v>
      </c>
      <c r="B387" s="34" t="s">
        <v>64</v>
      </c>
      <c r="C387" s="34" t="s">
        <v>35</v>
      </c>
      <c r="D387" s="35">
        <f t="shared" si="17"/>
        <v>1</v>
      </c>
      <c r="E387" s="34">
        <v>5</v>
      </c>
      <c r="F387" s="34" t="s">
        <v>36</v>
      </c>
      <c r="G387" s="38">
        <f t="shared" ref="G387:G450" si="18">IF(F387="Y",1,0)</f>
        <v>0</v>
      </c>
      <c r="H387" s="39">
        <v>837.000000150874</v>
      </c>
      <c r="I387" s="34"/>
      <c r="J387" s="34"/>
      <c r="K387" s="34"/>
      <c r="L387" s="39"/>
      <c r="M387" s="39"/>
      <c r="N387" s="48"/>
      <c r="O387" s="48"/>
    </row>
    <row r="388" spans="1:15">
      <c r="A388" s="33" t="s">
        <v>81</v>
      </c>
      <c r="B388" s="34" t="s">
        <v>82</v>
      </c>
      <c r="C388" s="34" t="s">
        <v>35</v>
      </c>
      <c r="D388" s="35">
        <f t="shared" si="17"/>
        <v>1</v>
      </c>
      <c r="E388" s="34">
        <v>4</v>
      </c>
      <c r="F388" s="34" t="s">
        <v>36</v>
      </c>
      <c r="G388" s="38">
        <f t="shared" si="18"/>
        <v>0</v>
      </c>
      <c r="H388" s="39">
        <v>290.999995102175</v>
      </c>
      <c r="I388" s="34"/>
      <c r="J388" s="34"/>
      <c r="K388" s="34"/>
      <c r="L388" s="39"/>
      <c r="M388" s="39"/>
      <c r="N388" s="48"/>
      <c r="O388" s="48"/>
    </row>
    <row r="389" spans="1:15">
      <c r="A389" s="33" t="s">
        <v>55</v>
      </c>
      <c r="B389" s="34" t="s">
        <v>56</v>
      </c>
      <c r="C389" s="34" t="s">
        <v>35</v>
      </c>
      <c r="D389" s="35">
        <f t="shared" si="17"/>
        <v>1</v>
      </c>
      <c r="E389" s="34">
        <v>5</v>
      </c>
      <c r="F389" s="34" t="s">
        <v>36</v>
      </c>
      <c r="G389" s="38">
        <f t="shared" si="18"/>
        <v>0</v>
      </c>
      <c r="H389" s="39">
        <v>1240.00000446104</v>
      </c>
      <c r="I389" s="34"/>
      <c r="J389" s="34"/>
      <c r="K389" s="34"/>
      <c r="L389" s="39"/>
      <c r="M389" s="39"/>
      <c r="N389" s="48"/>
      <c r="O389" s="48"/>
    </row>
    <row r="390" spans="1:15">
      <c r="A390" s="33" t="s">
        <v>77</v>
      </c>
      <c r="B390" s="34" t="s">
        <v>78</v>
      </c>
      <c r="C390" s="34" t="s">
        <v>35</v>
      </c>
      <c r="D390" s="35">
        <f t="shared" si="17"/>
        <v>1</v>
      </c>
      <c r="E390" s="34">
        <v>5</v>
      </c>
      <c r="F390" s="34" t="s">
        <v>36</v>
      </c>
      <c r="G390" s="38">
        <f t="shared" si="18"/>
        <v>0</v>
      </c>
      <c r="H390" s="39">
        <v>569.000004138798</v>
      </c>
      <c r="I390" s="34"/>
      <c r="J390" s="34"/>
      <c r="K390" s="34"/>
      <c r="L390" s="39"/>
      <c r="M390" s="39"/>
      <c r="N390" s="48"/>
      <c r="O390" s="48"/>
    </row>
    <row r="391" spans="1:15">
      <c r="A391" s="33" t="s">
        <v>81</v>
      </c>
      <c r="B391" s="34" t="s">
        <v>82</v>
      </c>
      <c r="C391" s="34" t="s">
        <v>36</v>
      </c>
      <c r="D391" s="35">
        <f t="shared" si="17"/>
        <v>0</v>
      </c>
      <c r="E391" s="34">
        <v>2</v>
      </c>
      <c r="F391" s="34" t="s">
        <v>36</v>
      </c>
      <c r="G391" s="38">
        <f t="shared" si="18"/>
        <v>0</v>
      </c>
      <c r="H391" s="39">
        <v>380.999997910112</v>
      </c>
      <c r="I391" s="34"/>
      <c r="J391" s="34"/>
      <c r="K391" s="34"/>
      <c r="L391" s="39"/>
      <c r="M391" s="39"/>
      <c r="N391" s="48"/>
      <c r="O391" s="48"/>
    </row>
    <row r="392" spans="1:15">
      <c r="A392" s="33" t="s">
        <v>69</v>
      </c>
      <c r="B392" s="34" t="s">
        <v>70</v>
      </c>
      <c r="C392" s="34" t="s">
        <v>35</v>
      </c>
      <c r="D392" s="35">
        <f t="shared" si="17"/>
        <v>1</v>
      </c>
      <c r="E392" s="34">
        <v>5</v>
      </c>
      <c r="F392" s="34" t="s">
        <v>36</v>
      </c>
      <c r="G392" s="38">
        <f t="shared" si="18"/>
        <v>0</v>
      </c>
      <c r="H392" s="39">
        <v>1187.00000590179</v>
      </c>
      <c r="I392" s="34"/>
      <c r="J392" s="34"/>
      <c r="K392" s="34"/>
      <c r="L392" s="39"/>
      <c r="M392" s="39"/>
      <c r="N392" s="48"/>
      <c r="O392" s="48"/>
    </row>
    <row r="393" spans="1:15">
      <c r="A393" s="33" t="s">
        <v>73</v>
      </c>
      <c r="B393" s="34" t="s">
        <v>74</v>
      </c>
      <c r="C393" s="34" t="s">
        <v>35</v>
      </c>
      <c r="D393" s="35">
        <f t="shared" si="17"/>
        <v>1</v>
      </c>
      <c r="E393" s="34">
        <v>5</v>
      </c>
      <c r="F393" s="34" t="s">
        <v>36</v>
      </c>
      <c r="G393" s="38">
        <f t="shared" si="18"/>
        <v>0</v>
      </c>
      <c r="H393" s="39">
        <v>303.000004822388</v>
      </c>
      <c r="I393" s="34"/>
      <c r="J393" s="34"/>
      <c r="K393" s="34"/>
      <c r="L393" s="39"/>
      <c r="M393" s="39"/>
      <c r="N393" s="48"/>
      <c r="O393" s="48"/>
    </row>
    <row r="394" spans="1:15">
      <c r="A394" s="33" t="s">
        <v>75</v>
      </c>
      <c r="B394" s="34" t="s">
        <v>76</v>
      </c>
      <c r="C394" s="34" t="s">
        <v>35</v>
      </c>
      <c r="D394" s="35">
        <f t="shared" si="17"/>
        <v>1</v>
      </c>
      <c r="E394" s="34">
        <v>4</v>
      </c>
      <c r="F394" s="34" t="s">
        <v>36</v>
      </c>
      <c r="G394" s="38">
        <f t="shared" si="18"/>
        <v>0</v>
      </c>
      <c r="H394" s="39">
        <v>1327.00000028126</v>
      </c>
      <c r="I394" s="34"/>
      <c r="J394" s="34"/>
      <c r="K394" s="34"/>
      <c r="L394" s="39"/>
      <c r="M394" s="39"/>
      <c r="N394" s="48"/>
      <c r="O394" s="48"/>
    </row>
    <row r="395" spans="1:15">
      <c r="A395" s="33" t="s">
        <v>69</v>
      </c>
      <c r="B395" s="34" t="s">
        <v>70</v>
      </c>
      <c r="C395" s="34" t="s">
        <v>35</v>
      </c>
      <c r="D395" s="35">
        <f t="shared" si="17"/>
        <v>1</v>
      </c>
      <c r="E395" s="34">
        <v>5</v>
      </c>
      <c r="F395" s="34" t="s">
        <v>36</v>
      </c>
      <c r="G395" s="38">
        <f t="shared" si="18"/>
        <v>0</v>
      </c>
      <c r="H395" s="39">
        <v>1788.99999826681</v>
      </c>
      <c r="I395" s="34"/>
      <c r="J395" s="34"/>
      <c r="K395" s="34"/>
      <c r="L395" s="39"/>
      <c r="M395" s="39"/>
      <c r="N395" s="48"/>
      <c r="O395" s="48"/>
    </row>
    <row r="396" spans="1:15">
      <c r="A396" s="33" t="s">
        <v>73</v>
      </c>
      <c r="B396" s="34" t="s">
        <v>74</v>
      </c>
      <c r="C396" s="34" t="s">
        <v>35</v>
      </c>
      <c r="D396" s="35">
        <f t="shared" si="17"/>
        <v>1</v>
      </c>
      <c r="E396" s="34">
        <v>4</v>
      </c>
      <c r="F396" s="34" t="s">
        <v>36</v>
      </c>
      <c r="G396" s="38">
        <f t="shared" si="18"/>
        <v>0</v>
      </c>
      <c r="H396" s="39">
        <v>514.000002597459</v>
      </c>
      <c r="I396" s="34"/>
      <c r="J396" s="34"/>
      <c r="K396" s="34"/>
      <c r="L396" s="39"/>
      <c r="M396" s="39"/>
      <c r="N396" s="48"/>
      <c r="O396" s="48"/>
    </row>
    <row r="397" spans="1:15">
      <c r="A397" s="33" t="s">
        <v>75</v>
      </c>
      <c r="B397" s="34" t="s">
        <v>76</v>
      </c>
      <c r="C397" s="34" t="s">
        <v>35</v>
      </c>
      <c r="D397" s="35">
        <f t="shared" si="17"/>
        <v>1</v>
      </c>
      <c r="E397" s="34">
        <v>4</v>
      </c>
      <c r="F397" s="34" t="s">
        <v>36</v>
      </c>
      <c r="G397" s="38">
        <f t="shared" si="18"/>
        <v>0</v>
      </c>
      <c r="H397" s="39">
        <v>153.000005590729</v>
      </c>
      <c r="I397" s="34"/>
      <c r="J397" s="34"/>
      <c r="K397" s="34"/>
      <c r="L397" s="39"/>
      <c r="M397" s="39"/>
      <c r="N397" s="48"/>
      <c r="O397" s="48"/>
    </row>
    <row r="398" spans="1:15">
      <c r="A398" s="33" t="s">
        <v>57</v>
      </c>
      <c r="B398" s="34" t="s">
        <v>58</v>
      </c>
      <c r="C398" s="34" t="s">
        <v>35</v>
      </c>
      <c r="D398" s="35">
        <f t="shared" si="17"/>
        <v>1</v>
      </c>
      <c r="E398" s="34">
        <v>4</v>
      </c>
      <c r="F398" s="34" t="s">
        <v>36</v>
      </c>
      <c r="G398" s="38">
        <f t="shared" si="18"/>
        <v>0</v>
      </c>
      <c r="H398" s="39">
        <v>863.999991375022</v>
      </c>
      <c r="I398" s="34"/>
      <c r="J398" s="34"/>
      <c r="K398" s="34"/>
      <c r="L398" s="39"/>
      <c r="M398" s="39"/>
      <c r="N398" s="48"/>
      <c r="O398" s="48"/>
    </row>
    <row r="399" spans="1:15">
      <c r="A399" s="33" t="s">
        <v>55</v>
      </c>
      <c r="B399" s="34" t="s">
        <v>56</v>
      </c>
      <c r="C399" s="34" t="s">
        <v>36</v>
      </c>
      <c r="D399" s="35">
        <f t="shared" si="17"/>
        <v>0</v>
      </c>
      <c r="E399" s="34">
        <v>3</v>
      </c>
      <c r="F399" s="34" t="s">
        <v>36</v>
      </c>
      <c r="G399" s="38">
        <f t="shared" si="18"/>
        <v>0</v>
      </c>
      <c r="H399" s="39">
        <v>981.999996327795</v>
      </c>
      <c r="I399" s="34"/>
      <c r="J399" s="34"/>
      <c r="K399" s="34"/>
      <c r="L399" s="39"/>
      <c r="M399" s="39"/>
      <c r="N399" s="48"/>
      <c r="O399" s="48"/>
    </row>
    <row r="400" spans="1:15">
      <c r="A400" s="33" t="s">
        <v>81</v>
      </c>
      <c r="B400" s="34" t="s">
        <v>82</v>
      </c>
      <c r="C400" s="34" t="s">
        <v>35</v>
      </c>
      <c r="D400" s="35">
        <f t="shared" si="17"/>
        <v>1</v>
      </c>
      <c r="E400" s="34">
        <v>3</v>
      </c>
      <c r="F400" s="34" t="s">
        <v>36</v>
      </c>
      <c r="G400" s="38">
        <f t="shared" si="18"/>
        <v>0</v>
      </c>
      <c r="H400" s="39">
        <v>1659.00000056718</v>
      </c>
      <c r="I400" s="34"/>
      <c r="J400" s="34"/>
      <c r="K400" s="34"/>
      <c r="L400" s="39"/>
      <c r="M400" s="39"/>
      <c r="N400" s="48"/>
      <c r="O400" s="48"/>
    </row>
    <row r="401" spans="1:15">
      <c r="A401" s="33" t="s">
        <v>59</v>
      </c>
      <c r="B401" s="34" t="s">
        <v>60</v>
      </c>
      <c r="C401" s="34" t="s">
        <v>35</v>
      </c>
      <c r="D401" s="35">
        <f t="shared" si="17"/>
        <v>1</v>
      </c>
      <c r="E401" s="34">
        <v>4</v>
      </c>
      <c r="F401" s="34" t="s">
        <v>36</v>
      </c>
      <c r="G401" s="38">
        <f t="shared" si="18"/>
        <v>0</v>
      </c>
      <c r="H401" s="39">
        <v>847.000005631708</v>
      </c>
      <c r="I401" s="34"/>
      <c r="J401" s="34"/>
      <c r="K401" s="34"/>
      <c r="L401" s="39"/>
      <c r="M401" s="39"/>
      <c r="N401" s="48"/>
      <c r="O401" s="48"/>
    </row>
    <row r="402" spans="1:15">
      <c r="A402" s="33" t="s">
        <v>67</v>
      </c>
      <c r="B402" s="34" t="s">
        <v>68</v>
      </c>
      <c r="C402" s="34" t="s">
        <v>35</v>
      </c>
      <c r="D402" s="35">
        <f t="shared" si="17"/>
        <v>1</v>
      </c>
      <c r="E402" s="34">
        <v>5</v>
      </c>
      <c r="F402" s="34" t="s">
        <v>36</v>
      </c>
      <c r="G402" s="38">
        <f t="shared" si="18"/>
        <v>0</v>
      </c>
      <c r="H402" s="39">
        <v>1293.00000176299</v>
      </c>
      <c r="I402" s="34"/>
      <c r="J402" s="34"/>
      <c r="K402" s="34"/>
      <c r="L402" s="39"/>
      <c r="M402" s="39"/>
      <c r="N402" s="48"/>
      <c r="O402" s="48"/>
    </row>
    <row r="403" spans="1:15">
      <c r="A403" s="33" t="s">
        <v>53</v>
      </c>
      <c r="B403" s="34" t="s">
        <v>54</v>
      </c>
      <c r="C403" s="34" t="s">
        <v>35</v>
      </c>
      <c r="D403" s="35">
        <f t="shared" si="17"/>
        <v>1</v>
      </c>
      <c r="E403" s="34">
        <v>3</v>
      </c>
      <c r="F403" s="34" t="s">
        <v>36</v>
      </c>
      <c r="G403" s="38">
        <f t="shared" si="18"/>
        <v>0</v>
      </c>
      <c r="H403" s="39">
        <v>1522.9999989504</v>
      </c>
      <c r="I403" s="34"/>
      <c r="J403" s="34"/>
      <c r="K403" s="34"/>
      <c r="L403" s="39"/>
      <c r="M403" s="39"/>
      <c r="N403" s="48"/>
      <c r="O403" s="48"/>
    </row>
    <row r="404" spans="1:15">
      <c r="A404" s="33" t="s">
        <v>75</v>
      </c>
      <c r="B404" s="34" t="s">
        <v>76</v>
      </c>
      <c r="C404" s="34" t="s">
        <v>35</v>
      </c>
      <c r="D404" s="35">
        <f t="shared" si="17"/>
        <v>1</v>
      </c>
      <c r="E404" s="34">
        <v>5</v>
      </c>
      <c r="F404" s="34" t="s">
        <v>36</v>
      </c>
      <c r="G404" s="38">
        <f t="shared" si="18"/>
        <v>0</v>
      </c>
      <c r="H404" s="39">
        <v>1617.99999538343</v>
      </c>
      <c r="I404" s="34"/>
      <c r="J404" s="34"/>
      <c r="K404" s="34"/>
      <c r="L404" s="39"/>
      <c r="M404" s="39"/>
      <c r="N404" s="48"/>
      <c r="O404" s="48"/>
    </row>
    <row r="405" spans="1:15">
      <c r="A405" s="33" t="s">
        <v>71</v>
      </c>
      <c r="B405" s="34" t="s">
        <v>72</v>
      </c>
      <c r="C405" s="34" t="s">
        <v>35</v>
      </c>
      <c r="D405" s="35">
        <f t="shared" si="17"/>
        <v>1</v>
      </c>
      <c r="E405" s="34">
        <v>3</v>
      </c>
      <c r="F405" s="34" t="s">
        <v>36</v>
      </c>
      <c r="G405" s="38">
        <f t="shared" si="18"/>
        <v>0</v>
      </c>
      <c r="H405" s="39">
        <v>924.999998719431</v>
      </c>
      <c r="I405" s="34"/>
      <c r="J405" s="34"/>
      <c r="K405" s="34"/>
      <c r="L405" s="39"/>
      <c r="M405" s="39"/>
      <c r="N405" s="48"/>
      <c r="O405" s="48"/>
    </row>
    <row r="406" spans="1:15">
      <c r="A406" s="33" t="s">
        <v>53</v>
      </c>
      <c r="B406" s="34" t="s">
        <v>54</v>
      </c>
      <c r="C406" s="34" t="s">
        <v>35</v>
      </c>
      <c r="D406" s="35">
        <f t="shared" si="17"/>
        <v>1</v>
      </c>
      <c r="E406" s="34">
        <v>5</v>
      </c>
      <c r="F406" s="34" t="s">
        <v>36</v>
      </c>
      <c r="G406" s="38">
        <f t="shared" si="18"/>
        <v>0</v>
      </c>
      <c r="H406" s="39">
        <v>1668.00000392832</v>
      </c>
      <c r="I406" s="34"/>
      <c r="J406" s="34"/>
      <c r="K406" s="34"/>
      <c r="L406" s="39"/>
      <c r="M406" s="39"/>
      <c r="N406" s="48"/>
      <c r="O406" s="48"/>
    </row>
    <row r="407" spans="1:15">
      <c r="A407" s="33" t="s">
        <v>63</v>
      </c>
      <c r="B407" s="34" t="s">
        <v>64</v>
      </c>
      <c r="C407" s="34" t="s">
        <v>35</v>
      </c>
      <c r="D407" s="35">
        <f t="shared" si="17"/>
        <v>1</v>
      </c>
      <c r="E407" s="34">
        <v>5</v>
      </c>
      <c r="F407" s="34" t="s">
        <v>36</v>
      </c>
      <c r="G407" s="38">
        <f t="shared" si="18"/>
        <v>0</v>
      </c>
      <c r="H407" s="39">
        <v>126.000006194226</v>
      </c>
      <c r="I407" s="34"/>
      <c r="J407" s="34"/>
      <c r="K407" s="34"/>
      <c r="L407" s="39"/>
      <c r="M407" s="39"/>
      <c r="N407" s="48"/>
      <c r="O407" s="48"/>
    </row>
    <row r="408" spans="1:15">
      <c r="A408" s="33" t="s">
        <v>75</v>
      </c>
      <c r="B408" s="34" t="s">
        <v>76</v>
      </c>
      <c r="C408" s="34" t="s">
        <v>35</v>
      </c>
      <c r="D408" s="35">
        <f t="shared" si="17"/>
        <v>1</v>
      </c>
      <c r="E408" s="34">
        <v>4</v>
      </c>
      <c r="F408" s="34" t="s">
        <v>36</v>
      </c>
      <c r="G408" s="38">
        <f t="shared" si="18"/>
        <v>0</v>
      </c>
      <c r="H408" s="39">
        <v>1208.99999532849</v>
      </c>
      <c r="I408" s="34"/>
      <c r="J408" s="34"/>
      <c r="K408" s="34"/>
      <c r="L408" s="39"/>
      <c r="M408" s="39"/>
      <c r="N408" s="48"/>
      <c r="O408" s="48"/>
    </row>
    <row r="409" spans="1:15">
      <c r="A409" s="33" t="s">
        <v>59</v>
      </c>
      <c r="B409" s="34" t="s">
        <v>60</v>
      </c>
      <c r="C409" s="34" t="s">
        <v>35</v>
      </c>
      <c r="D409" s="35">
        <f t="shared" si="17"/>
        <v>1</v>
      </c>
      <c r="E409" s="34">
        <v>5</v>
      </c>
      <c r="F409" s="34" t="s">
        <v>36</v>
      </c>
      <c r="G409" s="38">
        <f t="shared" si="18"/>
        <v>0</v>
      </c>
      <c r="H409" s="39">
        <v>86.0000025015324</v>
      </c>
      <c r="I409" s="34"/>
      <c r="J409" s="34"/>
      <c r="K409" s="34"/>
      <c r="L409" s="39"/>
      <c r="M409" s="39"/>
      <c r="N409" s="48"/>
      <c r="O409" s="48"/>
    </row>
    <row r="410" spans="1:15">
      <c r="A410" s="33" t="s">
        <v>71</v>
      </c>
      <c r="B410" s="34" t="s">
        <v>72</v>
      </c>
      <c r="C410" s="34" t="s">
        <v>36</v>
      </c>
      <c r="D410" s="35">
        <f t="shared" si="17"/>
        <v>0</v>
      </c>
      <c r="E410" s="34">
        <v>3</v>
      </c>
      <c r="F410" s="34" t="s">
        <v>36</v>
      </c>
      <c r="G410" s="38">
        <f t="shared" si="18"/>
        <v>0</v>
      </c>
      <c r="H410" s="39">
        <v>1178.99999711663</v>
      </c>
      <c r="I410" s="34"/>
      <c r="J410" s="34"/>
      <c r="K410" s="34"/>
      <c r="L410" s="39"/>
      <c r="M410" s="39"/>
      <c r="N410" s="48"/>
      <c r="O410" s="48"/>
    </row>
    <row r="411" spans="1:15">
      <c r="A411" s="33" t="s">
        <v>61</v>
      </c>
      <c r="B411" s="34" t="s">
        <v>62</v>
      </c>
      <c r="C411" s="34" t="s">
        <v>36</v>
      </c>
      <c r="D411" s="35">
        <f t="shared" si="17"/>
        <v>0</v>
      </c>
      <c r="E411" s="34">
        <v>2</v>
      </c>
      <c r="F411" s="34" t="s">
        <v>36</v>
      </c>
      <c r="G411" s="38">
        <f t="shared" si="18"/>
        <v>0</v>
      </c>
      <c r="H411" s="39">
        <v>142.99999193754</v>
      </c>
      <c r="I411" s="34"/>
      <c r="J411" s="34"/>
      <c r="K411" s="34"/>
      <c r="L411" s="39"/>
      <c r="M411" s="39"/>
      <c r="N411" s="48"/>
      <c r="O411" s="48"/>
    </row>
    <row r="412" spans="1:15">
      <c r="A412" s="33" t="s">
        <v>73</v>
      </c>
      <c r="B412" s="34" t="s">
        <v>74</v>
      </c>
      <c r="C412" s="34" t="s">
        <v>35</v>
      </c>
      <c r="D412" s="35">
        <f t="shared" si="17"/>
        <v>1</v>
      </c>
      <c r="E412" s="34">
        <v>5</v>
      </c>
      <c r="F412" s="34" t="s">
        <v>36</v>
      </c>
      <c r="G412" s="38">
        <f t="shared" si="18"/>
        <v>0</v>
      </c>
      <c r="H412" s="39">
        <v>720.000006118789</v>
      </c>
      <c r="I412" s="34"/>
      <c r="J412" s="34"/>
      <c r="K412" s="34"/>
      <c r="L412" s="39"/>
      <c r="M412" s="39"/>
      <c r="N412" s="48"/>
      <c r="O412" s="48"/>
    </row>
    <row r="413" spans="1:15">
      <c r="A413" s="33" t="s">
        <v>69</v>
      </c>
      <c r="B413" s="34" t="s">
        <v>70</v>
      </c>
      <c r="C413" s="34" t="s">
        <v>35</v>
      </c>
      <c r="D413" s="35">
        <f t="shared" si="17"/>
        <v>1</v>
      </c>
      <c r="E413" s="34">
        <v>4</v>
      </c>
      <c r="F413" s="34" t="s">
        <v>36</v>
      </c>
      <c r="G413" s="38">
        <f t="shared" si="18"/>
        <v>0</v>
      </c>
      <c r="H413" s="39">
        <v>436.000000080094</v>
      </c>
      <c r="I413" s="34"/>
      <c r="J413" s="34"/>
      <c r="K413" s="34"/>
      <c r="L413" s="39"/>
      <c r="M413" s="39"/>
      <c r="N413" s="48"/>
      <c r="O413" s="48"/>
    </row>
    <row r="414" spans="1:15">
      <c r="A414" s="33" t="s">
        <v>57</v>
      </c>
      <c r="B414" s="34" t="s">
        <v>58</v>
      </c>
      <c r="C414" s="34" t="s">
        <v>36</v>
      </c>
      <c r="D414" s="35">
        <f t="shared" si="17"/>
        <v>0</v>
      </c>
      <c r="E414" s="34">
        <v>3</v>
      </c>
      <c r="F414" s="34" t="s">
        <v>35</v>
      </c>
      <c r="G414" s="38">
        <f t="shared" si="18"/>
        <v>1</v>
      </c>
      <c r="H414" s="39">
        <v>1418.00000520889</v>
      </c>
      <c r="I414" s="34"/>
      <c r="J414" s="34"/>
      <c r="K414" s="34"/>
      <c r="L414" s="39"/>
      <c r="M414" s="39"/>
      <c r="N414" s="48"/>
      <c r="O414" s="48"/>
    </row>
    <row r="415" spans="1:15">
      <c r="A415" s="33" t="s">
        <v>75</v>
      </c>
      <c r="B415" s="34" t="s">
        <v>76</v>
      </c>
      <c r="C415" s="34" t="s">
        <v>35</v>
      </c>
      <c r="D415" s="35">
        <f t="shared" si="17"/>
        <v>1</v>
      </c>
      <c r="E415" s="34">
        <v>4</v>
      </c>
      <c r="F415" s="34" t="s">
        <v>36</v>
      </c>
      <c r="G415" s="38">
        <f t="shared" si="18"/>
        <v>0</v>
      </c>
      <c r="H415" s="39">
        <v>768.000000994653</v>
      </c>
      <c r="I415" s="34"/>
      <c r="J415" s="34"/>
      <c r="K415" s="34"/>
      <c r="L415" s="39"/>
      <c r="M415" s="39"/>
      <c r="N415" s="48"/>
      <c r="O415" s="48"/>
    </row>
    <row r="416" spans="1:15">
      <c r="A416" s="33" t="s">
        <v>59</v>
      </c>
      <c r="B416" s="34" t="s">
        <v>60</v>
      </c>
      <c r="C416" s="34" t="s">
        <v>35</v>
      </c>
      <c r="D416" s="35">
        <f t="shared" si="17"/>
        <v>1</v>
      </c>
      <c r="E416" s="34">
        <v>4</v>
      </c>
      <c r="F416" s="34" t="s">
        <v>36</v>
      </c>
      <c r="G416" s="38">
        <f t="shared" si="18"/>
        <v>0</v>
      </c>
      <c r="H416" s="39">
        <v>1165.99999407772</v>
      </c>
      <c r="I416" s="34"/>
      <c r="J416" s="34"/>
      <c r="K416" s="34"/>
      <c r="L416" s="39"/>
      <c r="M416" s="39"/>
      <c r="N416" s="48"/>
      <c r="O416" s="48"/>
    </row>
    <row r="417" spans="1:15">
      <c r="A417" s="33" t="s">
        <v>73</v>
      </c>
      <c r="B417" s="34" t="s">
        <v>74</v>
      </c>
      <c r="C417" s="34" t="s">
        <v>36</v>
      </c>
      <c r="D417" s="35">
        <f t="shared" si="17"/>
        <v>0</v>
      </c>
      <c r="E417" s="34">
        <v>3</v>
      </c>
      <c r="F417" s="34" t="s">
        <v>35</v>
      </c>
      <c r="G417" s="38">
        <f t="shared" si="18"/>
        <v>1</v>
      </c>
      <c r="H417" s="39">
        <v>453.999997372739</v>
      </c>
      <c r="I417" s="34"/>
      <c r="J417" s="34"/>
      <c r="K417" s="34"/>
      <c r="L417" s="39"/>
      <c r="M417" s="39"/>
      <c r="N417" s="48"/>
      <c r="O417" s="48"/>
    </row>
    <row r="418" spans="1:15">
      <c r="A418" s="33" t="s">
        <v>53</v>
      </c>
      <c r="B418" s="34" t="s">
        <v>54</v>
      </c>
      <c r="C418" s="34" t="s">
        <v>35</v>
      </c>
      <c r="D418" s="35">
        <f t="shared" si="17"/>
        <v>1</v>
      </c>
      <c r="E418" s="34">
        <v>5</v>
      </c>
      <c r="F418" s="34" t="s">
        <v>36</v>
      </c>
      <c r="G418" s="38">
        <f t="shared" si="18"/>
        <v>0</v>
      </c>
      <c r="H418" s="39">
        <v>1644.00000208989</v>
      </c>
      <c r="I418" s="34"/>
      <c r="J418" s="34"/>
      <c r="K418" s="34"/>
      <c r="L418" s="39"/>
      <c r="M418" s="39"/>
      <c r="N418" s="48"/>
      <c r="O418" s="48"/>
    </row>
    <row r="419" spans="1:15">
      <c r="A419" s="33" t="s">
        <v>81</v>
      </c>
      <c r="B419" s="34" t="s">
        <v>82</v>
      </c>
      <c r="C419" s="34" t="s">
        <v>35</v>
      </c>
      <c r="D419" s="35">
        <f t="shared" si="17"/>
        <v>1</v>
      </c>
      <c r="E419" s="34">
        <v>3</v>
      </c>
      <c r="F419" s="34" t="s">
        <v>36</v>
      </c>
      <c r="G419" s="38">
        <f t="shared" si="18"/>
        <v>0</v>
      </c>
      <c r="H419" s="39">
        <v>207.000005641021</v>
      </c>
      <c r="I419" s="34"/>
      <c r="J419" s="34"/>
      <c r="K419" s="34"/>
      <c r="L419" s="39"/>
      <c r="M419" s="39"/>
      <c r="N419" s="48"/>
      <c r="O419" s="48"/>
    </row>
    <row r="420" spans="1:15">
      <c r="A420" s="33" t="s">
        <v>57</v>
      </c>
      <c r="B420" s="34" t="s">
        <v>58</v>
      </c>
      <c r="C420" s="34" t="s">
        <v>35</v>
      </c>
      <c r="D420" s="35">
        <f t="shared" si="17"/>
        <v>1</v>
      </c>
      <c r="E420" s="34">
        <v>4</v>
      </c>
      <c r="F420" s="34" t="s">
        <v>36</v>
      </c>
      <c r="G420" s="38">
        <f t="shared" si="18"/>
        <v>0</v>
      </c>
      <c r="H420" s="39">
        <v>1202.00000500772</v>
      </c>
      <c r="I420" s="34"/>
      <c r="J420" s="34"/>
      <c r="K420" s="34"/>
      <c r="L420" s="39"/>
      <c r="M420" s="39"/>
      <c r="N420" s="48"/>
      <c r="O420" s="48"/>
    </row>
    <row r="421" spans="1:15">
      <c r="A421" s="33" t="s">
        <v>53</v>
      </c>
      <c r="B421" s="34" t="s">
        <v>54</v>
      </c>
      <c r="C421" s="34" t="s">
        <v>35</v>
      </c>
      <c r="D421" s="35">
        <f t="shared" si="17"/>
        <v>1</v>
      </c>
      <c r="E421" s="34">
        <v>3</v>
      </c>
      <c r="F421" s="34" t="s">
        <v>36</v>
      </c>
      <c r="G421" s="38">
        <f t="shared" si="18"/>
        <v>0</v>
      </c>
      <c r="H421" s="39">
        <v>857.0000016829</v>
      </c>
      <c r="I421" s="34"/>
      <c r="J421" s="34"/>
      <c r="K421" s="34"/>
      <c r="L421" s="39"/>
      <c r="M421" s="39"/>
      <c r="N421" s="48"/>
      <c r="O421" s="48"/>
    </row>
    <row r="422" spans="1:15">
      <c r="A422" s="33" t="s">
        <v>63</v>
      </c>
      <c r="B422" s="34" t="s">
        <v>64</v>
      </c>
      <c r="C422" s="34" t="s">
        <v>35</v>
      </c>
      <c r="D422" s="35">
        <f t="shared" si="17"/>
        <v>1</v>
      </c>
      <c r="E422" s="34">
        <v>4</v>
      </c>
      <c r="F422" s="34" t="s">
        <v>36</v>
      </c>
      <c r="G422" s="38">
        <f t="shared" si="18"/>
        <v>0</v>
      </c>
      <c r="H422" s="39">
        <v>207.999998959713</v>
      </c>
      <c r="I422" s="34"/>
      <c r="J422" s="34"/>
      <c r="K422" s="34"/>
      <c r="L422" s="39"/>
      <c r="M422" s="39"/>
      <c r="N422" s="48"/>
      <c r="O422" s="48"/>
    </row>
    <row r="423" spans="1:15">
      <c r="A423" s="33" t="s">
        <v>77</v>
      </c>
      <c r="B423" s="34" t="s">
        <v>78</v>
      </c>
      <c r="C423" s="34" t="s">
        <v>36</v>
      </c>
      <c r="D423" s="35">
        <f t="shared" si="17"/>
        <v>0</v>
      </c>
      <c r="E423" s="34">
        <v>1</v>
      </c>
      <c r="F423" s="34" t="s">
        <v>36</v>
      </c>
      <c r="G423" s="38">
        <f t="shared" si="18"/>
        <v>0</v>
      </c>
      <c r="H423" s="39">
        <v>955.99999842234</v>
      </c>
      <c r="I423" s="34"/>
      <c r="J423" s="34"/>
      <c r="K423" s="34"/>
      <c r="L423" s="39"/>
      <c r="M423" s="39"/>
      <c r="N423" s="48"/>
      <c r="O423" s="48"/>
    </row>
    <row r="424" spans="1:15">
      <c r="A424" s="33" t="s">
        <v>59</v>
      </c>
      <c r="B424" s="34" t="s">
        <v>60</v>
      </c>
      <c r="C424" s="34" t="s">
        <v>36</v>
      </c>
      <c r="D424" s="35">
        <f t="shared" si="17"/>
        <v>0</v>
      </c>
      <c r="E424" s="34">
        <v>3</v>
      </c>
      <c r="F424" s="34" t="s">
        <v>35</v>
      </c>
      <c r="G424" s="38">
        <f t="shared" si="18"/>
        <v>1</v>
      </c>
      <c r="H424" s="39">
        <v>670.000006374903</v>
      </c>
      <c r="I424" s="34"/>
      <c r="J424" s="34"/>
      <c r="K424" s="34"/>
      <c r="L424" s="39"/>
      <c r="M424" s="39"/>
      <c r="N424" s="48"/>
      <c r="O424" s="48"/>
    </row>
    <row r="425" spans="1:15">
      <c r="A425" s="33" t="s">
        <v>75</v>
      </c>
      <c r="B425" s="34" t="s">
        <v>76</v>
      </c>
      <c r="C425" s="34" t="s">
        <v>35</v>
      </c>
      <c r="D425" s="35">
        <f t="shared" si="17"/>
        <v>1</v>
      </c>
      <c r="E425" s="34">
        <v>3</v>
      </c>
      <c r="F425" s="34" t="s">
        <v>36</v>
      </c>
      <c r="G425" s="38">
        <f t="shared" si="18"/>
        <v>0</v>
      </c>
      <c r="H425" s="39">
        <v>1592.00000690762</v>
      </c>
      <c r="I425" s="34"/>
      <c r="J425" s="34"/>
      <c r="K425" s="34"/>
      <c r="L425" s="39"/>
      <c r="M425" s="39"/>
      <c r="N425" s="48"/>
      <c r="O425" s="48"/>
    </row>
    <row r="426" spans="1:15">
      <c r="A426" s="33" t="s">
        <v>61</v>
      </c>
      <c r="B426" s="34" t="s">
        <v>62</v>
      </c>
      <c r="C426" s="34" t="s">
        <v>35</v>
      </c>
      <c r="D426" s="35">
        <f t="shared" si="17"/>
        <v>1</v>
      </c>
      <c r="E426" s="34">
        <v>3</v>
      </c>
      <c r="F426" s="34" t="s">
        <v>36</v>
      </c>
      <c r="G426" s="38">
        <f t="shared" si="18"/>
        <v>0</v>
      </c>
      <c r="H426" s="39">
        <v>577.000005380251</v>
      </c>
      <c r="I426" s="34"/>
      <c r="J426" s="34"/>
      <c r="K426" s="34"/>
      <c r="L426" s="39"/>
      <c r="M426" s="39"/>
      <c r="N426" s="48"/>
      <c r="O426" s="48"/>
    </row>
    <row r="427" spans="1:15">
      <c r="A427" s="33" t="s">
        <v>79</v>
      </c>
      <c r="B427" s="34" t="s">
        <v>80</v>
      </c>
      <c r="C427" s="34" t="s">
        <v>36</v>
      </c>
      <c r="D427" s="35">
        <f t="shared" si="17"/>
        <v>0</v>
      </c>
      <c r="E427" s="34">
        <v>3</v>
      </c>
      <c r="F427" s="34" t="s">
        <v>36</v>
      </c>
      <c r="G427" s="38">
        <f t="shared" si="18"/>
        <v>0</v>
      </c>
      <c r="H427" s="39">
        <v>209.000001708046</v>
      </c>
      <c r="I427" s="34"/>
      <c r="J427" s="34"/>
      <c r="K427" s="34"/>
      <c r="L427" s="39"/>
      <c r="M427" s="39"/>
      <c r="N427" s="48"/>
      <c r="O427" s="48"/>
    </row>
    <row r="428" spans="1:15">
      <c r="A428" s="33" t="s">
        <v>69</v>
      </c>
      <c r="B428" s="34" t="s">
        <v>70</v>
      </c>
      <c r="C428" s="34" t="s">
        <v>35</v>
      </c>
      <c r="D428" s="35">
        <f t="shared" si="17"/>
        <v>1</v>
      </c>
      <c r="E428" s="34">
        <v>4</v>
      </c>
      <c r="F428" s="34" t="s">
        <v>36</v>
      </c>
      <c r="G428" s="38">
        <f t="shared" si="18"/>
        <v>0</v>
      </c>
      <c r="H428" s="39">
        <v>539.999999874271</v>
      </c>
      <c r="I428" s="34"/>
      <c r="J428" s="34"/>
      <c r="K428" s="34"/>
      <c r="L428" s="39"/>
      <c r="M428" s="39"/>
      <c r="N428" s="48"/>
      <c r="O428" s="48"/>
    </row>
    <row r="429" spans="1:15">
      <c r="A429" s="33" t="s">
        <v>69</v>
      </c>
      <c r="B429" s="34" t="s">
        <v>70</v>
      </c>
      <c r="C429" s="34" t="s">
        <v>35</v>
      </c>
      <c r="D429" s="35">
        <f t="shared" si="17"/>
        <v>1</v>
      </c>
      <c r="E429" s="34">
        <v>3</v>
      </c>
      <c r="F429" s="34" t="s">
        <v>36</v>
      </c>
      <c r="G429" s="38">
        <f t="shared" si="18"/>
        <v>0</v>
      </c>
      <c r="H429" s="39">
        <v>372.00000397861</v>
      </c>
      <c r="I429" s="34"/>
      <c r="J429" s="34"/>
      <c r="K429" s="34"/>
      <c r="L429" s="39"/>
      <c r="M429" s="39"/>
      <c r="N429" s="48"/>
      <c r="O429" s="48"/>
    </row>
    <row r="430" spans="1:15">
      <c r="A430" s="33" t="s">
        <v>55</v>
      </c>
      <c r="B430" s="34" t="s">
        <v>56</v>
      </c>
      <c r="C430" s="34" t="s">
        <v>35</v>
      </c>
      <c r="D430" s="35">
        <f t="shared" si="17"/>
        <v>1</v>
      </c>
      <c r="E430" s="34">
        <v>4</v>
      </c>
      <c r="F430" s="34" t="s">
        <v>36</v>
      </c>
      <c r="G430" s="38">
        <f t="shared" si="18"/>
        <v>0</v>
      </c>
      <c r="H430" s="39">
        <v>1518.00000469666</v>
      </c>
      <c r="I430" s="34"/>
      <c r="J430" s="34"/>
      <c r="K430" s="34"/>
      <c r="L430" s="39"/>
      <c r="M430" s="39"/>
      <c r="N430" s="48"/>
      <c r="O430" s="48"/>
    </row>
    <row r="431" spans="1:15">
      <c r="A431" s="33" t="s">
        <v>81</v>
      </c>
      <c r="B431" s="34" t="s">
        <v>82</v>
      </c>
      <c r="C431" s="34" t="s">
        <v>35</v>
      </c>
      <c r="D431" s="35">
        <f t="shared" si="17"/>
        <v>1</v>
      </c>
      <c r="E431" s="34">
        <v>3</v>
      </c>
      <c r="F431" s="34" t="s">
        <v>36</v>
      </c>
      <c r="G431" s="38">
        <f t="shared" si="18"/>
        <v>0</v>
      </c>
      <c r="H431" s="39">
        <v>1645.99999752827</v>
      </c>
      <c r="I431" s="34"/>
      <c r="J431" s="34"/>
      <c r="K431" s="34"/>
      <c r="L431" s="39"/>
      <c r="M431" s="39"/>
      <c r="N431" s="48"/>
      <c r="O431" s="48"/>
    </row>
    <row r="432" spans="1:15">
      <c r="A432" s="33" t="s">
        <v>79</v>
      </c>
      <c r="B432" s="34" t="s">
        <v>80</v>
      </c>
      <c r="C432" s="34" t="s">
        <v>35</v>
      </c>
      <c r="D432" s="35">
        <f t="shared" si="17"/>
        <v>1</v>
      </c>
      <c r="E432" s="34">
        <v>5</v>
      </c>
      <c r="F432" s="34" t="s">
        <v>36</v>
      </c>
      <c r="G432" s="38">
        <f t="shared" si="18"/>
        <v>0</v>
      </c>
      <c r="H432" s="39">
        <v>461.999998614192</v>
      </c>
      <c r="I432" s="34"/>
      <c r="J432" s="34"/>
      <c r="K432" s="34"/>
      <c r="L432" s="39"/>
      <c r="M432" s="39"/>
      <c r="N432" s="48"/>
      <c r="O432" s="48"/>
    </row>
    <row r="433" spans="1:15">
      <c r="A433" s="33" t="s">
        <v>55</v>
      </c>
      <c r="B433" s="34" t="s">
        <v>56</v>
      </c>
      <c r="C433" s="34" t="s">
        <v>35</v>
      </c>
      <c r="D433" s="35">
        <f t="shared" si="17"/>
        <v>1</v>
      </c>
      <c r="E433" s="34">
        <v>5</v>
      </c>
      <c r="F433" s="34" t="s">
        <v>36</v>
      </c>
      <c r="G433" s="38">
        <f t="shared" si="18"/>
        <v>0</v>
      </c>
      <c r="H433" s="39">
        <v>495.000003185123</v>
      </c>
      <c r="I433" s="34"/>
      <c r="J433" s="34"/>
      <c r="K433" s="34"/>
      <c r="L433" s="39"/>
      <c r="M433" s="39"/>
      <c r="N433" s="48"/>
      <c r="O433" s="48"/>
    </row>
    <row r="434" spans="1:15">
      <c r="A434" s="33" t="s">
        <v>73</v>
      </c>
      <c r="B434" s="34" t="s">
        <v>74</v>
      </c>
      <c r="C434" s="34" t="s">
        <v>35</v>
      </c>
      <c r="D434" s="35">
        <f t="shared" si="17"/>
        <v>1</v>
      </c>
      <c r="E434" s="34">
        <v>4</v>
      </c>
      <c r="F434" s="34" t="s">
        <v>36</v>
      </c>
      <c r="G434" s="38">
        <f t="shared" si="18"/>
        <v>0</v>
      </c>
      <c r="H434" s="39">
        <v>517.000000784174</v>
      </c>
      <c r="I434" s="34"/>
      <c r="J434" s="34"/>
      <c r="K434" s="34"/>
      <c r="L434" s="39"/>
      <c r="M434" s="39"/>
      <c r="N434" s="48"/>
      <c r="O434" s="48"/>
    </row>
    <row r="435" spans="1:15">
      <c r="A435" s="33" t="s">
        <v>69</v>
      </c>
      <c r="B435" s="34" t="s">
        <v>70</v>
      </c>
      <c r="C435" s="34" t="s">
        <v>36</v>
      </c>
      <c r="D435" s="35">
        <f t="shared" si="17"/>
        <v>0</v>
      </c>
      <c r="E435" s="34">
        <v>3</v>
      </c>
      <c r="F435" s="34" t="s">
        <v>35</v>
      </c>
      <c r="G435" s="38">
        <f t="shared" si="18"/>
        <v>1</v>
      </c>
      <c r="H435" s="39">
        <v>1795.99999675993</v>
      </c>
      <c r="I435" s="34"/>
      <c r="J435" s="34"/>
      <c r="K435" s="34"/>
      <c r="L435" s="39"/>
      <c r="M435" s="39"/>
      <c r="N435" s="48"/>
      <c r="O435" s="48"/>
    </row>
    <row r="436" spans="1:15">
      <c r="A436" s="33" t="s">
        <v>53</v>
      </c>
      <c r="B436" s="34" t="s">
        <v>54</v>
      </c>
      <c r="C436" s="34" t="s">
        <v>36</v>
      </c>
      <c r="D436" s="35">
        <f t="shared" si="17"/>
        <v>0</v>
      </c>
      <c r="E436" s="34">
        <v>2</v>
      </c>
      <c r="F436" s="34" t="s">
        <v>36</v>
      </c>
      <c r="G436" s="38">
        <f t="shared" si="18"/>
        <v>0</v>
      </c>
      <c r="H436" s="39">
        <v>1049.99999336433</v>
      </c>
      <c r="I436" s="34"/>
      <c r="J436" s="34"/>
      <c r="K436" s="34"/>
      <c r="L436" s="39"/>
      <c r="M436" s="39"/>
      <c r="N436" s="48"/>
      <c r="O436" s="48"/>
    </row>
    <row r="437" spans="1:15">
      <c r="A437" s="33" t="s">
        <v>55</v>
      </c>
      <c r="B437" s="34" t="s">
        <v>56</v>
      </c>
      <c r="C437" s="34" t="s">
        <v>35</v>
      </c>
      <c r="D437" s="35">
        <f t="shared" si="17"/>
        <v>1</v>
      </c>
      <c r="E437" s="34">
        <v>3</v>
      </c>
      <c r="F437" s="34" t="s">
        <v>36</v>
      </c>
      <c r="G437" s="38">
        <f t="shared" si="18"/>
        <v>0</v>
      </c>
      <c r="H437" s="39">
        <v>1679.99999604654</v>
      </c>
      <c r="I437" s="34"/>
      <c r="J437" s="34"/>
      <c r="K437" s="34"/>
      <c r="L437" s="39"/>
      <c r="M437" s="39"/>
      <c r="N437" s="48"/>
      <c r="O437" s="48"/>
    </row>
    <row r="438" spans="1:15">
      <c r="A438" s="33" t="s">
        <v>53</v>
      </c>
      <c r="B438" s="34" t="s">
        <v>54</v>
      </c>
      <c r="C438" s="34" t="s">
        <v>35</v>
      </c>
      <c r="D438" s="35">
        <f t="shared" si="17"/>
        <v>1</v>
      </c>
      <c r="E438" s="34">
        <v>4</v>
      </c>
      <c r="F438" s="34" t="s">
        <v>36</v>
      </c>
      <c r="G438" s="38">
        <f t="shared" si="18"/>
        <v>0</v>
      </c>
      <c r="H438" s="39">
        <v>1357.00000666548</v>
      </c>
      <c r="I438" s="34"/>
      <c r="J438" s="34"/>
      <c r="K438" s="34"/>
      <c r="L438" s="39"/>
      <c r="M438" s="39"/>
      <c r="N438" s="48"/>
      <c r="O438" s="48"/>
    </row>
    <row r="439" spans="1:15">
      <c r="A439" s="33" t="s">
        <v>77</v>
      </c>
      <c r="B439" s="34" t="s">
        <v>78</v>
      </c>
      <c r="C439" s="34" t="s">
        <v>35</v>
      </c>
      <c r="D439" s="35">
        <f t="shared" si="17"/>
        <v>1</v>
      </c>
      <c r="E439" s="34">
        <v>4</v>
      </c>
      <c r="F439" s="34" t="s">
        <v>36</v>
      </c>
      <c r="G439" s="38">
        <f t="shared" si="18"/>
        <v>0</v>
      </c>
      <c r="H439" s="39">
        <v>830.000001657754</v>
      </c>
      <c r="I439" s="34"/>
      <c r="J439" s="34"/>
      <c r="K439" s="34"/>
      <c r="L439" s="39"/>
      <c r="M439" s="39"/>
      <c r="N439" s="48"/>
      <c r="O439" s="48"/>
    </row>
    <row r="440" spans="1:15">
      <c r="A440" s="33" t="s">
        <v>73</v>
      </c>
      <c r="B440" s="34" t="s">
        <v>74</v>
      </c>
      <c r="C440" s="34" t="s">
        <v>36</v>
      </c>
      <c r="D440" s="35">
        <f t="shared" si="17"/>
        <v>0</v>
      </c>
      <c r="E440" s="34">
        <v>3</v>
      </c>
      <c r="F440" s="34" t="s">
        <v>35</v>
      </c>
      <c r="G440" s="38">
        <f t="shared" si="18"/>
        <v>1</v>
      </c>
      <c r="H440" s="39">
        <v>72.9999994626269</v>
      </c>
      <c r="I440" s="34"/>
      <c r="J440" s="34"/>
      <c r="K440" s="34"/>
      <c r="L440" s="39"/>
      <c r="M440" s="39"/>
      <c r="N440" s="48"/>
      <c r="O440" s="48"/>
    </row>
    <row r="441" spans="1:15">
      <c r="A441" s="33" t="s">
        <v>65</v>
      </c>
      <c r="B441" s="34" t="s">
        <v>66</v>
      </c>
      <c r="C441" s="34" t="s">
        <v>35</v>
      </c>
      <c r="D441" s="35">
        <f t="shared" si="17"/>
        <v>1</v>
      </c>
      <c r="E441" s="34">
        <v>4</v>
      </c>
      <c r="F441" s="34" t="s">
        <v>36</v>
      </c>
      <c r="G441" s="38">
        <f t="shared" si="18"/>
        <v>0</v>
      </c>
      <c r="H441" s="39">
        <v>1291.9999996433</v>
      </c>
      <c r="I441" s="34"/>
      <c r="J441" s="34"/>
      <c r="K441" s="34"/>
      <c r="L441" s="39"/>
      <c r="M441" s="39"/>
      <c r="N441" s="48"/>
      <c r="O441" s="48"/>
    </row>
    <row r="442" spans="1:15">
      <c r="A442" s="33" t="s">
        <v>53</v>
      </c>
      <c r="B442" s="34" t="s">
        <v>54</v>
      </c>
      <c r="C442" s="34" t="s">
        <v>36</v>
      </c>
      <c r="D442" s="35">
        <f t="shared" si="17"/>
        <v>0</v>
      </c>
      <c r="E442" s="34">
        <v>3</v>
      </c>
      <c r="F442" s="34" t="s">
        <v>36</v>
      </c>
      <c r="G442" s="38">
        <f t="shared" si="18"/>
        <v>0</v>
      </c>
      <c r="H442" s="39">
        <v>390.000000642613</v>
      </c>
      <c r="I442" s="34"/>
      <c r="J442" s="34"/>
      <c r="K442" s="34"/>
      <c r="L442" s="39"/>
      <c r="M442" s="39"/>
      <c r="N442" s="48"/>
      <c r="O442" s="48"/>
    </row>
    <row r="443" spans="1:15">
      <c r="A443" s="33" t="s">
        <v>53</v>
      </c>
      <c r="B443" s="34" t="s">
        <v>54</v>
      </c>
      <c r="C443" s="34" t="s">
        <v>35</v>
      </c>
      <c r="D443" s="35">
        <f t="shared" si="17"/>
        <v>1</v>
      </c>
      <c r="E443" s="34">
        <v>4</v>
      </c>
      <c r="F443" s="34" t="s">
        <v>36</v>
      </c>
      <c r="G443" s="38">
        <f t="shared" si="18"/>
        <v>0</v>
      </c>
      <c r="H443" s="39">
        <v>359.999994258396</v>
      </c>
      <c r="I443" s="34"/>
      <c r="J443" s="34"/>
      <c r="K443" s="34"/>
      <c r="L443" s="39"/>
      <c r="M443" s="39"/>
      <c r="N443" s="48"/>
      <c r="O443" s="48"/>
    </row>
    <row r="444" spans="1:15">
      <c r="A444" s="33" t="s">
        <v>77</v>
      </c>
      <c r="B444" s="34" t="s">
        <v>78</v>
      </c>
      <c r="C444" s="34" t="s">
        <v>35</v>
      </c>
      <c r="D444" s="35">
        <f t="shared" si="17"/>
        <v>1</v>
      </c>
      <c r="E444" s="34">
        <v>4</v>
      </c>
      <c r="F444" s="34" t="s">
        <v>36</v>
      </c>
      <c r="G444" s="38">
        <f t="shared" si="18"/>
        <v>0</v>
      </c>
      <c r="H444" s="39">
        <v>1549.99999897555</v>
      </c>
      <c r="I444" s="34"/>
      <c r="J444" s="34"/>
      <c r="K444" s="34"/>
      <c r="L444" s="39"/>
      <c r="M444" s="39"/>
      <c r="N444" s="48"/>
      <c r="O444" s="48"/>
    </row>
    <row r="445" spans="1:15">
      <c r="A445" s="33" t="s">
        <v>79</v>
      </c>
      <c r="B445" s="34" t="s">
        <v>80</v>
      </c>
      <c r="C445" s="34" t="s">
        <v>35</v>
      </c>
      <c r="D445" s="35">
        <f t="shared" si="17"/>
        <v>1</v>
      </c>
      <c r="E445" s="34">
        <v>4</v>
      </c>
      <c r="F445" s="34" t="s">
        <v>36</v>
      </c>
      <c r="G445" s="38">
        <f t="shared" si="18"/>
        <v>0</v>
      </c>
      <c r="H445" s="39">
        <v>900.999996881001</v>
      </c>
      <c r="I445" s="34"/>
      <c r="J445" s="34"/>
      <c r="K445" s="34"/>
      <c r="L445" s="39"/>
      <c r="M445" s="39"/>
      <c r="N445" s="48"/>
      <c r="O445" s="48"/>
    </row>
    <row r="446" spans="1:15">
      <c r="A446" s="33" t="s">
        <v>61</v>
      </c>
      <c r="B446" s="34" t="s">
        <v>62</v>
      </c>
      <c r="C446" s="34" t="s">
        <v>36</v>
      </c>
      <c r="D446" s="35">
        <f t="shared" si="17"/>
        <v>0</v>
      </c>
      <c r="E446" s="34">
        <v>1</v>
      </c>
      <c r="F446" s="34" t="s">
        <v>36</v>
      </c>
      <c r="G446" s="38">
        <f t="shared" si="18"/>
        <v>0</v>
      </c>
      <c r="H446" s="39">
        <v>1281.00000084378</v>
      </c>
      <c r="I446" s="34"/>
      <c r="J446" s="34"/>
      <c r="K446" s="34"/>
      <c r="L446" s="39"/>
      <c r="M446" s="39"/>
      <c r="N446" s="48"/>
      <c r="O446" s="48"/>
    </row>
    <row r="447" spans="1:15">
      <c r="A447" s="33" t="s">
        <v>79</v>
      </c>
      <c r="B447" s="34" t="s">
        <v>80</v>
      </c>
      <c r="C447" s="34" t="s">
        <v>35</v>
      </c>
      <c r="D447" s="35">
        <f t="shared" si="17"/>
        <v>1</v>
      </c>
      <c r="E447" s="34">
        <v>5</v>
      </c>
      <c r="F447" s="34" t="s">
        <v>36</v>
      </c>
      <c r="G447" s="38">
        <f t="shared" si="18"/>
        <v>0</v>
      </c>
      <c r="H447" s="39">
        <v>1300.00000025611</v>
      </c>
      <c r="I447" s="34"/>
      <c r="J447" s="34"/>
      <c r="K447" s="34"/>
      <c r="L447" s="39"/>
      <c r="M447" s="39"/>
      <c r="N447" s="48"/>
      <c r="O447" s="48"/>
    </row>
    <row r="448" spans="1:15">
      <c r="A448" s="33" t="s">
        <v>75</v>
      </c>
      <c r="B448" s="34" t="s">
        <v>76</v>
      </c>
      <c r="C448" s="34" t="s">
        <v>35</v>
      </c>
      <c r="D448" s="35">
        <f t="shared" si="17"/>
        <v>1</v>
      </c>
      <c r="E448" s="34">
        <v>5</v>
      </c>
      <c r="F448" s="34" t="s">
        <v>36</v>
      </c>
      <c r="G448" s="38">
        <f t="shared" si="18"/>
        <v>0</v>
      </c>
      <c r="H448" s="39">
        <v>1410.00000522472</v>
      </c>
      <c r="I448" s="34"/>
      <c r="J448" s="34"/>
      <c r="K448" s="34"/>
      <c r="L448" s="39"/>
      <c r="M448" s="39"/>
      <c r="N448" s="48"/>
      <c r="O448" s="48"/>
    </row>
    <row r="449" spans="1:15">
      <c r="A449" s="33" t="s">
        <v>59</v>
      </c>
      <c r="B449" s="34" t="s">
        <v>60</v>
      </c>
      <c r="C449" s="34" t="s">
        <v>35</v>
      </c>
      <c r="D449" s="35">
        <f t="shared" si="17"/>
        <v>1</v>
      </c>
      <c r="E449" s="34">
        <v>5</v>
      </c>
      <c r="F449" s="34" t="s">
        <v>36</v>
      </c>
      <c r="G449" s="38">
        <f t="shared" si="18"/>
        <v>0</v>
      </c>
      <c r="H449" s="39">
        <v>938.000001758337</v>
      </c>
      <c r="I449" s="34"/>
      <c r="J449" s="34"/>
      <c r="K449" s="34"/>
      <c r="L449" s="39"/>
      <c r="M449" s="39"/>
      <c r="N449" s="48"/>
      <c r="O449" s="48"/>
    </row>
    <row r="450" spans="1:15">
      <c r="A450" s="33" t="s">
        <v>81</v>
      </c>
      <c r="B450" s="34" t="s">
        <v>82</v>
      </c>
      <c r="C450" s="34" t="s">
        <v>35</v>
      </c>
      <c r="D450" s="35">
        <f t="shared" ref="D450:D501" si="19">IF(C450="Y",1,0)</f>
        <v>1</v>
      </c>
      <c r="E450" s="34">
        <v>5</v>
      </c>
      <c r="F450" s="34" t="s">
        <v>36</v>
      </c>
      <c r="G450" s="38">
        <f t="shared" si="18"/>
        <v>0</v>
      </c>
      <c r="H450" s="39">
        <v>580.999996885657</v>
      </c>
      <c r="I450" s="34"/>
      <c r="J450" s="34"/>
      <c r="K450" s="34"/>
      <c r="L450" s="39"/>
      <c r="M450" s="39"/>
      <c r="N450" s="48"/>
      <c r="O450" s="48"/>
    </row>
    <row r="451" spans="1:15">
      <c r="A451" s="33" t="s">
        <v>59</v>
      </c>
      <c r="B451" s="34" t="s">
        <v>60</v>
      </c>
      <c r="C451" s="34" t="s">
        <v>36</v>
      </c>
      <c r="D451" s="35">
        <f t="shared" si="19"/>
        <v>0</v>
      </c>
      <c r="E451" s="34">
        <v>3</v>
      </c>
      <c r="F451" s="34" t="s">
        <v>36</v>
      </c>
      <c r="G451" s="38">
        <f t="shared" ref="G451:G501" si="20">IF(F451="Y",1,0)</f>
        <v>0</v>
      </c>
      <c r="H451" s="39">
        <v>1582.00000079814</v>
      </c>
      <c r="I451" s="34"/>
      <c r="J451" s="34"/>
      <c r="K451" s="34"/>
      <c r="L451" s="39"/>
      <c r="M451" s="39"/>
      <c r="N451" s="48"/>
      <c r="O451" s="48"/>
    </row>
    <row r="452" spans="1:15">
      <c r="A452" s="33" t="s">
        <v>63</v>
      </c>
      <c r="B452" s="34" t="s">
        <v>64</v>
      </c>
      <c r="C452" s="34" t="s">
        <v>35</v>
      </c>
      <c r="D452" s="35">
        <f t="shared" si="19"/>
        <v>1</v>
      </c>
      <c r="E452" s="34">
        <v>4</v>
      </c>
      <c r="F452" s="34" t="s">
        <v>36</v>
      </c>
      <c r="G452" s="38">
        <f t="shared" si="20"/>
        <v>0</v>
      </c>
      <c r="H452" s="39">
        <v>376.000004285015</v>
      </c>
      <c r="I452" s="34"/>
      <c r="J452" s="34"/>
      <c r="K452" s="34"/>
      <c r="L452" s="39"/>
      <c r="M452" s="39"/>
      <c r="N452" s="48"/>
      <c r="O452" s="48"/>
    </row>
    <row r="453" spans="1:15">
      <c r="A453" s="33" t="s">
        <v>77</v>
      </c>
      <c r="B453" s="34" t="s">
        <v>78</v>
      </c>
      <c r="C453" s="34" t="s">
        <v>35</v>
      </c>
      <c r="D453" s="35">
        <f t="shared" si="19"/>
        <v>1</v>
      </c>
      <c r="E453" s="34">
        <v>5</v>
      </c>
      <c r="F453" s="34" t="s">
        <v>36</v>
      </c>
      <c r="G453" s="38">
        <f t="shared" si="20"/>
        <v>0</v>
      </c>
      <c r="H453" s="39">
        <v>1606.00000263657</v>
      </c>
      <c r="I453" s="34"/>
      <c r="J453" s="34"/>
      <c r="K453" s="34"/>
      <c r="L453" s="39"/>
      <c r="M453" s="39"/>
      <c r="N453" s="48"/>
      <c r="O453" s="48"/>
    </row>
    <row r="454" spans="1:15">
      <c r="A454" s="33" t="s">
        <v>73</v>
      </c>
      <c r="B454" s="34" t="s">
        <v>74</v>
      </c>
      <c r="C454" s="34" t="s">
        <v>36</v>
      </c>
      <c r="D454" s="35">
        <f t="shared" si="19"/>
        <v>0</v>
      </c>
      <c r="E454" s="34">
        <v>3</v>
      </c>
      <c r="F454" s="34" t="s">
        <v>35</v>
      </c>
      <c r="G454" s="38">
        <f t="shared" si="20"/>
        <v>1</v>
      </c>
      <c r="H454" s="39">
        <v>1645.00000358094</v>
      </c>
      <c r="I454" s="34"/>
      <c r="J454" s="34"/>
      <c r="K454" s="34"/>
      <c r="L454" s="39"/>
      <c r="M454" s="39"/>
      <c r="N454" s="48"/>
      <c r="O454" s="48"/>
    </row>
    <row r="455" spans="1:15">
      <c r="A455" s="33" t="s">
        <v>57</v>
      </c>
      <c r="B455" s="34" t="s">
        <v>58</v>
      </c>
      <c r="C455" s="34" t="s">
        <v>35</v>
      </c>
      <c r="D455" s="35">
        <f t="shared" si="19"/>
        <v>1</v>
      </c>
      <c r="E455" s="34">
        <v>5</v>
      </c>
      <c r="F455" s="34" t="s">
        <v>36</v>
      </c>
      <c r="G455" s="38">
        <f t="shared" si="20"/>
        <v>0</v>
      </c>
      <c r="H455" s="39">
        <v>753.000001888722</v>
      </c>
      <c r="I455" s="34"/>
      <c r="J455" s="34"/>
      <c r="K455" s="34"/>
      <c r="L455" s="39"/>
      <c r="M455" s="39"/>
      <c r="N455" s="48"/>
      <c r="O455" s="48"/>
    </row>
    <row r="456" spans="1:15">
      <c r="A456" s="33" t="s">
        <v>55</v>
      </c>
      <c r="B456" s="34" t="s">
        <v>56</v>
      </c>
      <c r="C456" s="34" t="s">
        <v>36</v>
      </c>
      <c r="D456" s="35">
        <f t="shared" si="19"/>
        <v>0</v>
      </c>
      <c r="E456" s="34">
        <v>1</v>
      </c>
      <c r="F456" s="34" t="s">
        <v>35</v>
      </c>
      <c r="G456" s="38">
        <f t="shared" si="20"/>
        <v>1</v>
      </c>
      <c r="H456" s="39">
        <v>1024.99999757856</v>
      </c>
      <c r="I456" s="34"/>
      <c r="J456" s="34"/>
      <c r="K456" s="34"/>
      <c r="L456" s="39"/>
      <c r="M456" s="39"/>
      <c r="N456" s="48"/>
      <c r="O456" s="48"/>
    </row>
    <row r="457" spans="1:15">
      <c r="A457" s="33" t="s">
        <v>71</v>
      </c>
      <c r="B457" s="34" t="s">
        <v>72</v>
      </c>
      <c r="C457" s="34" t="s">
        <v>35</v>
      </c>
      <c r="D457" s="35">
        <f t="shared" si="19"/>
        <v>1</v>
      </c>
      <c r="E457" s="34">
        <v>4</v>
      </c>
      <c r="F457" s="34" t="s">
        <v>36</v>
      </c>
      <c r="G457" s="38">
        <f t="shared" si="20"/>
        <v>0</v>
      </c>
      <c r="H457" s="39">
        <v>1127.00000130571</v>
      </c>
      <c r="I457" s="34"/>
      <c r="J457" s="34"/>
      <c r="K457" s="34"/>
      <c r="L457" s="39"/>
      <c r="M457" s="39"/>
      <c r="N457" s="48"/>
      <c r="O457" s="48"/>
    </row>
    <row r="458" spans="1:15">
      <c r="A458" s="33" t="s">
        <v>55</v>
      </c>
      <c r="B458" s="34" t="s">
        <v>56</v>
      </c>
      <c r="C458" s="34" t="s">
        <v>36</v>
      </c>
      <c r="D458" s="35">
        <f t="shared" si="19"/>
        <v>0</v>
      </c>
      <c r="E458" s="34">
        <v>1</v>
      </c>
      <c r="F458" s="34" t="s">
        <v>36</v>
      </c>
      <c r="G458" s="38">
        <f t="shared" si="20"/>
        <v>0</v>
      </c>
      <c r="H458" s="39">
        <v>127.999993460253</v>
      </c>
      <c r="I458" s="34"/>
      <c r="J458" s="34"/>
      <c r="K458" s="34"/>
      <c r="L458" s="39"/>
      <c r="M458" s="39"/>
      <c r="N458" s="48"/>
      <c r="O458" s="48"/>
    </row>
    <row r="459" spans="1:15">
      <c r="A459" s="33" t="s">
        <v>53</v>
      </c>
      <c r="B459" s="34" t="s">
        <v>54</v>
      </c>
      <c r="C459" s="34" t="s">
        <v>35</v>
      </c>
      <c r="D459" s="35">
        <f t="shared" si="19"/>
        <v>1</v>
      </c>
      <c r="E459" s="34">
        <v>5</v>
      </c>
      <c r="F459" s="34" t="s">
        <v>36</v>
      </c>
      <c r="G459" s="38">
        <f t="shared" si="20"/>
        <v>0</v>
      </c>
      <c r="H459" s="39">
        <v>1656.0000030091</v>
      </c>
      <c r="I459" s="34"/>
      <c r="J459" s="34"/>
      <c r="K459" s="34"/>
      <c r="L459" s="39"/>
      <c r="M459" s="39"/>
      <c r="N459" s="48"/>
      <c r="O459" s="48"/>
    </row>
    <row r="460" spans="1:15">
      <c r="A460" s="33" t="s">
        <v>55</v>
      </c>
      <c r="B460" s="34" t="s">
        <v>56</v>
      </c>
      <c r="C460" s="34" t="s">
        <v>35</v>
      </c>
      <c r="D460" s="35">
        <f t="shared" si="19"/>
        <v>1</v>
      </c>
      <c r="E460" s="34">
        <v>4</v>
      </c>
      <c r="F460" s="34" t="s">
        <v>36</v>
      </c>
      <c r="G460" s="38">
        <f t="shared" si="20"/>
        <v>0</v>
      </c>
      <c r="H460" s="39">
        <v>1185.00000229105</v>
      </c>
      <c r="I460" s="34"/>
      <c r="J460" s="34"/>
      <c r="K460" s="34"/>
      <c r="L460" s="39"/>
      <c r="M460" s="39"/>
      <c r="N460" s="48"/>
      <c r="O460" s="48"/>
    </row>
    <row r="461" spans="1:15">
      <c r="A461" s="33" t="s">
        <v>65</v>
      </c>
      <c r="B461" s="34" t="s">
        <v>66</v>
      </c>
      <c r="C461" s="34" t="s">
        <v>35</v>
      </c>
      <c r="D461" s="35">
        <f t="shared" si="19"/>
        <v>1</v>
      </c>
      <c r="E461" s="34">
        <v>3</v>
      </c>
      <c r="F461" s="34" t="s">
        <v>36</v>
      </c>
      <c r="G461" s="38">
        <f t="shared" si="20"/>
        <v>0</v>
      </c>
      <c r="H461" s="39">
        <v>886.999999266118</v>
      </c>
      <c r="I461" s="34"/>
      <c r="J461" s="34"/>
      <c r="K461" s="34"/>
      <c r="L461" s="39"/>
      <c r="M461" s="39"/>
      <c r="N461" s="48"/>
      <c r="O461" s="48"/>
    </row>
    <row r="462" spans="1:15">
      <c r="A462" s="33" t="s">
        <v>75</v>
      </c>
      <c r="B462" s="34" t="s">
        <v>76</v>
      </c>
      <c r="C462" s="34" t="s">
        <v>35</v>
      </c>
      <c r="D462" s="35">
        <f t="shared" si="19"/>
        <v>1</v>
      </c>
      <c r="E462" s="34">
        <v>4</v>
      </c>
      <c r="F462" s="34" t="s">
        <v>36</v>
      </c>
      <c r="G462" s="38">
        <f t="shared" si="20"/>
        <v>0</v>
      </c>
      <c r="H462" s="39">
        <v>299.000004515983</v>
      </c>
      <c r="I462" s="34"/>
      <c r="J462" s="34"/>
      <c r="K462" s="34"/>
      <c r="L462" s="39"/>
      <c r="M462" s="39"/>
      <c r="N462" s="48"/>
      <c r="O462" s="48"/>
    </row>
    <row r="463" spans="1:15">
      <c r="A463" s="33" t="s">
        <v>77</v>
      </c>
      <c r="B463" s="34" t="s">
        <v>78</v>
      </c>
      <c r="C463" s="34" t="s">
        <v>36</v>
      </c>
      <c r="D463" s="35">
        <f t="shared" si="19"/>
        <v>0</v>
      </c>
      <c r="E463" s="34">
        <v>1</v>
      </c>
      <c r="F463" s="34" t="s">
        <v>36</v>
      </c>
      <c r="G463" s="38">
        <f t="shared" si="20"/>
        <v>0</v>
      </c>
      <c r="H463" s="39">
        <v>1647.99999359529</v>
      </c>
      <c r="I463" s="34"/>
      <c r="J463" s="34"/>
      <c r="K463" s="34"/>
      <c r="L463" s="39"/>
      <c r="M463" s="39"/>
      <c r="N463" s="48"/>
      <c r="O463" s="48"/>
    </row>
    <row r="464" spans="1:15">
      <c r="A464" s="33" t="s">
        <v>63</v>
      </c>
      <c r="B464" s="34" t="s">
        <v>64</v>
      </c>
      <c r="C464" s="34" t="s">
        <v>35</v>
      </c>
      <c r="D464" s="35">
        <f t="shared" si="19"/>
        <v>1</v>
      </c>
      <c r="E464" s="34">
        <v>3</v>
      </c>
      <c r="F464" s="34" t="s">
        <v>36</v>
      </c>
      <c r="G464" s="38">
        <f t="shared" si="20"/>
        <v>0</v>
      </c>
      <c r="H464" s="39">
        <v>904.000003240071</v>
      </c>
      <c r="I464" s="34"/>
      <c r="J464" s="34"/>
      <c r="K464" s="34"/>
      <c r="L464" s="39"/>
      <c r="M464" s="39"/>
      <c r="N464" s="48"/>
      <c r="O464" s="48"/>
    </row>
    <row r="465" spans="1:15">
      <c r="A465" s="33" t="s">
        <v>67</v>
      </c>
      <c r="B465" s="34" t="s">
        <v>68</v>
      </c>
      <c r="C465" s="34" t="s">
        <v>35</v>
      </c>
      <c r="D465" s="35">
        <f t="shared" si="19"/>
        <v>1</v>
      </c>
      <c r="E465" s="34">
        <v>3</v>
      </c>
      <c r="F465" s="34" t="s">
        <v>36</v>
      </c>
      <c r="G465" s="38">
        <f t="shared" si="20"/>
        <v>0</v>
      </c>
      <c r="H465" s="39">
        <v>1741.00000339095</v>
      </c>
      <c r="I465" s="34"/>
      <c r="J465" s="34"/>
      <c r="K465" s="34"/>
      <c r="L465" s="39"/>
      <c r="M465" s="39"/>
      <c r="N465" s="48"/>
      <c r="O465" s="48"/>
    </row>
    <row r="466" spans="1:15">
      <c r="A466" s="33" t="s">
        <v>81</v>
      </c>
      <c r="B466" s="34" t="s">
        <v>82</v>
      </c>
      <c r="C466" s="34" t="s">
        <v>35</v>
      </c>
      <c r="D466" s="35">
        <f t="shared" si="19"/>
        <v>1</v>
      </c>
      <c r="E466" s="34">
        <v>4</v>
      </c>
      <c r="F466" s="34" t="s">
        <v>36</v>
      </c>
      <c r="G466" s="38">
        <f t="shared" si="20"/>
        <v>0</v>
      </c>
      <c r="H466" s="39">
        <v>1459.00000222027</v>
      </c>
      <c r="I466" s="34"/>
      <c r="J466" s="34"/>
      <c r="K466" s="34"/>
      <c r="L466" s="39"/>
      <c r="M466" s="39"/>
      <c r="N466" s="48"/>
      <c r="O466" s="48"/>
    </row>
    <row r="467" spans="1:15">
      <c r="A467" s="33" t="s">
        <v>65</v>
      </c>
      <c r="B467" s="34" t="s">
        <v>66</v>
      </c>
      <c r="C467" s="34" t="s">
        <v>35</v>
      </c>
      <c r="D467" s="35">
        <f t="shared" si="19"/>
        <v>1</v>
      </c>
      <c r="E467" s="34">
        <v>5</v>
      </c>
      <c r="F467" s="34" t="s">
        <v>36</v>
      </c>
      <c r="G467" s="38">
        <f t="shared" si="20"/>
        <v>0</v>
      </c>
      <c r="H467" s="39">
        <v>1771.99999429286</v>
      </c>
      <c r="I467" s="34"/>
      <c r="J467" s="34"/>
      <c r="K467" s="34"/>
      <c r="L467" s="39"/>
      <c r="M467" s="39"/>
      <c r="N467" s="48"/>
      <c r="O467" s="48"/>
    </row>
    <row r="468" spans="1:15">
      <c r="A468" s="33" t="s">
        <v>53</v>
      </c>
      <c r="B468" s="34" t="s">
        <v>54</v>
      </c>
      <c r="C468" s="34" t="s">
        <v>35</v>
      </c>
      <c r="D468" s="35">
        <f t="shared" si="19"/>
        <v>1</v>
      </c>
      <c r="E468" s="34">
        <v>5</v>
      </c>
      <c r="F468" s="34" t="s">
        <v>36</v>
      </c>
      <c r="G468" s="38">
        <f t="shared" si="20"/>
        <v>0</v>
      </c>
      <c r="H468" s="39">
        <v>1168.0000071181</v>
      </c>
      <c r="I468" s="34"/>
      <c r="J468" s="34"/>
      <c r="K468" s="34"/>
      <c r="L468" s="39"/>
      <c r="M468" s="39"/>
      <c r="N468" s="48"/>
      <c r="O468" s="48"/>
    </row>
    <row r="469" spans="1:15">
      <c r="A469" s="33" t="s">
        <v>79</v>
      </c>
      <c r="B469" s="34" t="s">
        <v>80</v>
      </c>
      <c r="C469" s="34" t="s">
        <v>36</v>
      </c>
      <c r="D469" s="35">
        <f t="shared" si="19"/>
        <v>0</v>
      </c>
      <c r="E469" s="34">
        <v>3</v>
      </c>
      <c r="F469" s="34" t="s">
        <v>35</v>
      </c>
      <c r="G469" s="38">
        <f t="shared" si="20"/>
        <v>1</v>
      </c>
      <c r="H469" s="39">
        <v>1106.000006455</v>
      </c>
      <c r="I469" s="34"/>
      <c r="J469" s="34"/>
      <c r="K469" s="34"/>
      <c r="L469" s="39"/>
      <c r="M469" s="39"/>
      <c r="N469" s="48"/>
      <c r="O469" s="48"/>
    </row>
    <row r="470" spans="1:15">
      <c r="A470" s="33" t="s">
        <v>73</v>
      </c>
      <c r="B470" s="34" t="s">
        <v>74</v>
      </c>
      <c r="C470" s="34" t="s">
        <v>35</v>
      </c>
      <c r="D470" s="35">
        <f t="shared" si="19"/>
        <v>1</v>
      </c>
      <c r="E470" s="34">
        <v>4</v>
      </c>
      <c r="F470" s="34" t="s">
        <v>36</v>
      </c>
      <c r="G470" s="38">
        <f t="shared" si="20"/>
        <v>0</v>
      </c>
      <c r="H470" s="39">
        <v>866.0000044154</v>
      </c>
      <c r="I470" s="34"/>
      <c r="J470" s="34"/>
      <c r="K470" s="34"/>
      <c r="L470" s="39"/>
      <c r="M470" s="39"/>
      <c r="N470" s="48"/>
      <c r="O470" s="48"/>
    </row>
    <row r="471" spans="1:15">
      <c r="A471" s="33" t="s">
        <v>71</v>
      </c>
      <c r="B471" s="34" t="s">
        <v>72</v>
      </c>
      <c r="C471" s="34" t="s">
        <v>35</v>
      </c>
      <c r="D471" s="35">
        <f t="shared" si="19"/>
        <v>1</v>
      </c>
      <c r="E471" s="34">
        <v>3</v>
      </c>
      <c r="F471" s="34" t="s">
        <v>36</v>
      </c>
      <c r="G471" s="38">
        <f t="shared" si="20"/>
        <v>0</v>
      </c>
      <c r="H471" s="39">
        <v>837.000000150874</v>
      </c>
      <c r="I471" s="34"/>
      <c r="J471" s="34"/>
      <c r="K471" s="34"/>
      <c r="L471" s="39"/>
      <c r="M471" s="39"/>
      <c r="N471" s="48"/>
      <c r="O471" s="48"/>
    </row>
    <row r="472" spans="1:15">
      <c r="A472" s="33" t="s">
        <v>75</v>
      </c>
      <c r="B472" s="34" t="s">
        <v>76</v>
      </c>
      <c r="C472" s="34" t="s">
        <v>35</v>
      </c>
      <c r="D472" s="35">
        <f t="shared" si="19"/>
        <v>1</v>
      </c>
      <c r="E472" s="34">
        <v>4</v>
      </c>
      <c r="F472" s="34" t="s">
        <v>36</v>
      </c>
      <c r="G472" s="38">
        <f t="shared" si="20"/>
        <v>0</v>
      </c>
      <c r="H472" s="39">
        <v>1315.00000816304</v>
      </c>
      <c r="I472" s="34"/>
      <c r="J472" s="34"/>
      <c r="K472" s="34"/>
      <c r="L472" s="39"/>
      <c r="M472" s="39"/>
      <c r="N472" s="48"/>
      <c r="O472" s="48"/>
    </row>
    <row r="473" spans="1:15">
      <c r="A473" s="33" t="s">
        <v>71</v>
      </c>
      <c r="B473" s="34" t="s">
        <v>72</v>
      </c>
      <c r="C473" s="34" t="s">
        <v>36</v>
      </c>
      <c r="D473" s="35">
        <f t="shared" si="19"/>
        <v>0</v>
      </c>
      <c r="E473" s="34">
        <v>3</v>
      </c>
      <c r="F473" s="34" t="s">
        <v>35</v>
      </c>
      <c r="G473" s="38">
        <f t="shared" si="20"/>
        <v>1</v>
      </c>
      <c r="H473" s="39">
        <v>879.999992600642</v>
      </c>
      <c r="I473" s="34"/>
      <c r="J473" s="34"/>
      <c r="K473" s="34"/>
      <c r="L473" s="39"/>
      <c r="M473" s="39"/>
      <c r="N473" s="48"/>
      <c r="O473" s="48"/>
    </row>
    <row r="474" spans="1:15">
      <c r="A474" s="33" t="s">
        <v>79</v>
      </c>
      <c r="B474" s="34" t="s">
        <v>80</v>
      </c>
      <c r="C474" s="34" t="s">
        <v>35</v>
      </c>
      <c r="D474" s="35">
        <f t="shared" si="19"/>
        <v>1</v>
      </c>
      <c r="E474" s="34">
        <v>5</v>
      </c>
      <c r="F474" s="34" t="s">
        <v>36</v>
      </c>
      <c r="G474" s="38">
        <f t="shared" si="20"/>
        <v>0</v>
      </c>
      <c r="H474" s="39">
        <v>1197.00000258163</v>
      </c>
      <c r="I474" s="34"/>
      <c r="J474" s="34"/>
      <c r="K474" s="34"/>
      <c r="L474" s="39"/>
      <c r="M474" s="39"/>
      <c r="N474" s="48"/>
      <c r="O474" s="48"/>
    </row>
    <row r="475" spans="1:15">
      <c r="A475" s="33" t="s">
        <v>61</v>
      </c>
      <c r="B475" s="34" t="s">
        <v>62</v>
      </c>
      <c r="C475" s="34" t="s">
        <v>35</v>
      </c>
      <c r="D475" s="35">
        <f t="shared" si="19"/>
        <v>1</v>
      </c>
      <c r="E475" s="34">
        <v>5</v>
      </c>
      <c r="F475" s="34" t="s">
        <v>36</v>
      </c>
      <c r="G475" s="38">
        <f t="shared" si="20"/>
        <v>0</v>
      </c>
      <c r="H475" s="39">
        <v>1082.99999793526</v>
      </c>
      <c r="I475" s="34"/>
      <c r="J475" s="34"/>
      <c r="K475" s="34"/>
      <c r="L475" s="39"/>
      <c r="M475" s="39"/>
      <c r="N475" s="48"/>
      <c r="O475" s="48"/>
    </row>
    <row r="476" spans="1:15">
      <c r="A476" s="33" t="s">
        <v>79</v>
      </c>
      <c r="B476" s="34" t="s">
        <v>80</v>
      </c>
      <c r="C476" s="34" t="s">
        <v>35</v>
      </c>
      <c r="D476" s="35">
        <f t="shared" si="19"/>
        <v>1</v>
      </c>
      <c r="E476" s="34">
        <v>5</v>
      </c>
      <c r="F476" s="34" t="s">
        <v>36</v>
      </c>
      <c r="G476" s="38">
        <f t="shared" si="20"/>
        <v>0</v>
      </c>
      <c r="H476" s="39">
        <v>1474.0000013262</v>
      </c>
      <c r="I476" s="34"/>
      <c r="J476" s="34"/>
      <c r="K476" s="34"/>
      <c r="L476" s="39"/>
      <c r="M476" s="39"/>
      <c r="N476" s="48"/>
      <c r="O476" s="48"/>
    </row>
    <row r="477" spans="1:15">
      <c r="A477" s="33" t="s">
        <v>57</v>
      </c>
      <c r="B477" s="34" t="s">
        <v>58</v>
      </c>
      <c r="C477" s="34" t="s">
        <v>36</v>
      </c>
      <c r="D477" s="35">
        <f t="shared" si="19"/>
        <v>0</v>
      </c>
      <c r="E477" s="34">
        <v>1</v>
      </c>
      <c r="F477" s="34" t="s">
        <v>36</v>
      </c>
      <c r="G477" s="38">
        <f t="shared" si="20"/>
        <v>0</v>
      </c>
      <c r="H477" s="39">
        <v>796.999997086823</v>
      </c>
      <c r="I477" s="34"/>
      <c r="J477" s="34"/>
      <c r="K477" s="34"/>
      <c r="L477" s="39"/>
      <c r="M477" s="39"/>
      <c r="N477" s="48"/>
      <c r="O477" s="48"/>
    </row>
    <row r="478" spans="1:15">
      <c r="A478" s="33" t="s">
        <v>53</v>
      </c>
      <c r="B478" s="34" t="s">
        <v>54</v>
      </c>
      <c r="C478" s="34" t="s">
        <v>35</v>
      </c>
      <c r="D478" s="35">
        <f t="shared" si="19"/>
        <v>1</v>
      </c>
      <c r="E478" s="34">
        <v>5</v>
      </c>
      <c r="F478" s="34" t="s">
        <v>36</v>
      </c>
      <c r="G478" s="38">
        <f t="shared" si="20"/>
        <v>0</v>
      </c>
      <c r="H478" s="39">
        <v>1389.99999426305</v>
      </c>
      <c r="I478" s="34"/>
      <c r="J478" s="34"/>
      <c r="K478" s="34"/>
      <c r="L478" s="39"/>
      <c r="M478" s="39"/>
      <c r="N478" s="48"/>
      <c r="O478" s="48"/>
    </row>
    <row r="479" spans="1:15">
      <c r="A479" s="33" t="s">
        <v>73</v>
      </c>
      <c r="B479" s="34" t="s">
        <v>74</v>
      </c>
      <c r="C479" s="34" t="s">
        <v>35</v>
      </c>
      <c r="D479" s="35">
        <f t="shared" si="19"/>
        <v>1</v>
      </c>
      <c r="E479" s="34">
        <v>4</v>
      </c>
      <c r="F479" s="34" t="s">
        <v>36</v>
      </c>
      <c r="G479" s="38">
        <f t="shared" si="20"/>
        <v>0</v>
      </c>
      <c r="H479" s="39">
        <v>839.999998337589</v>
      </c>
      <c r="I479" s="34"/>
      <c r="J479" s="34"/>
      <c r="K479" s="34"/>
      <c r="L479" s="39"/>
      <c r="M479" s="39"/>
      <c r="N479" s="48"/>
      <c r="O479" s="48"/>
    </row>
    <row r="480" spans="1:15">
      <c r="A480" s="33" t="s">
        <v>59</v>
      </c>
      <c r="B480" s="34" t="s">
        <v>60</v>
      </c>
      <c r="C480" s="34" t="s">
        <v>35</v>
      </c>
      <c r="D480" s="35">
        <f t="shared" si="19"/>
        <v>1</v>
      </c>
      <c r="E480" s="34">
        <v>5</v>
      </c>
      <c r="F480" s="34" t="s">
        <v>36</v>
      </c>
      <c r="G480" s="38">
        <f t="shared" si="20"/>
        <v>0</v>
      </c>
      <c r="H480" s="39">
        <v>206.000003521331</v>
      </c>
      <c r="I480" s="34"/>
      <c r="J480" s="34"/>
      <c r="K480" s="34"/>
      <c r="L480" s="39"/>
      <c r="M480" s="39"/>
      <c r="N480" s="48"/>
      <c r="O480" s="48"/>
    </row>
    <row r="481" spans="1:15">
      <c r="A481" s="33" t="s">
        <v>67</v>
      </c>
      <c r="B481" s="34" t="s">
        <v>68</v>
      </c>
      <c r="C481" s="34" t="s">
        <v>35</v>
      </c>
      <c r="D481" s="35">
        <f t="shared" si="19"/>
        <v>1</v>
      </c>
      <c r="E481" s="34">
        <v>4</v>
      </c>
      <c r="F481" s="34" t="s">
        <v>36</v>
      </c>
      <c r="G481" s="38">
        <f t="shared" si="20"/>
        <v>0</v>
      </c>
      <c r="H481" s="39">
        <v>868.999993801117</v>
      </c>
      <c r="I481" s="34"/>
      <c r="J481" s="34"/>
      <c r="K481" s="34"/>
      <c r="L481" s="39"/>
      <c r="M481" s="39"/>
      <c r="N481" s="48"/>
      <c r="O481" s="48"/>
    </row>
    <row r="482" spans="1:15">
      <c r="A482" s="33" t="s">
        <v>59</v>
      </c>
      <c r="B482" s="34" t="s">
        <v>60</v>
      </c>
      <c r="C482" s="34" t="s">
        <v>36</v>
      </c>
      <c r="D482" s="35">
        <f t="shared" si="19"/>
        <v>0</v>
      </c>
      <c r="E482" s="34">
        <v>1</v>
      </c>
      <c r="F482" s="34" t="s">
        <v>36</v>
      </c>
      <c r="G482" s="38">
        <f t="shared" si="20"/>
        <v>0</v>
      </c>
      <c r="H482" s="39">
        <v>315.999999688938</v>
      </c>
      <c r="I482" s="34"/>
      <c r="J482" s="34"/>
      <c r="K482" s="34"/>
      <c r="L482" s="39"/>
      <c r="M482" s="39"/>
      <c r="N482" s="48"/>
      <c r="O482" s="48"/>
    </row>
    <row r="483" spans="1:15">
      <c r="A483" s="33" t="s">
        <v>81</v>
      </c>
      <c r="B483" s="34" t="s">
        <v>82</v>
      </c>
      <c r="C483" s="34" t="s">
        <v>35</v>
      </c>
      <c r="D483" s="35">
        <f t="shared" si="19"/>
        <v>1</v>
      </c>
      <c r="E483" s="34">
        <v>3</v>
      </c>
      <c r="F483" s="34" t="s">
        <v>36</v>
      </c>
      <c r="G483" s="38">
        <f t="shared" si="20"/>
        <v>0</v>
      </c>
      <c r="H483" s="39">
        <v>873.00000290852</v>
      </c>
      <c r="I483" s="34"/>
      <c r="J483" s="34"/>
      <c r="K483" s="34"/>
      <c r="L483" s="39"/>
      <c r="M483" s="39"/>
      <c r="N483" s="48"/>
      <c r="O483" s="48"/>
    </row>
    <row r="484" spans="1:15">
      <c r="A484" s="33" t="s">
        <v>53</v>
      </c>
      <c r="B484" s="34" t="s">
        <v>54</v>
      </c>
      <c r="C484" s="34" t="s">
        <v>35</v>
      </c>
      <c r="D484" s="35">
        <f t="shared" si="19"/>
        <v>1</v>
      </c>
      <c r="E484" s="34">
        <v>3</v>
      </c>
      <c r="F484" s="34" t="s">
        <v>36</v>
      </c>
      <c r="G484" s="38">
        <f t="shared" si="20"/>
        <v>0</v>
      </c>
      <c r="H484" s="39">
        <v>1570.00000050757</v>
      </c>
      <c r="I484" s="34"/>
      <c r="J484" s="34"/>
      <c r="K484" s="34"/>
      <c r="L484" s="39"/>
      <c r="M484" s="39"/>
      <c r="N484" s="48"/>
      <c r="O484" s="48"/>
    </row>
    <row r="485" spans="1:15">
      <c r="A485" s="33" t="s">
        <v>55</v>
      </c>
      <c r="B485" s="34" t="s">
        <v>56</v>
      </c>
      <c r="C485" s="34" t="s">
        <v>35</v>
      </c>
      <c r="D485" s="35">
        <f t="shared" si="19"/>
        <v>1</v>
      </c>
      <c r="E485" s="34">
        <v>5</v>
      </c>
      <c r="F485" s="34" t="s">
        <v>36</v>
      </c>
      <c r="G485" s="38">
        <f t="shared" si="20"/>
        <v>0</v>
      </c>
      <c r="H485" s="39">
        <v>726.000001863576</v>
      </c>
      <c r="I485" s="34"/>
      <c r="J485" s="34"/>
      <c r="K485" s="34"/>
      <c r="L485" s="39"/>
      <c r="M485" s="39"/>
      <c r="N485" s="48"/>
      <c r="O485" s="48"/>
    </row>
    <row r="486" spans="1:15">
      <c r="A486" s="33" t="s">
        <v>75</v>
      </c>
      <c r="B486" s="34" t="s">
        <v>76</v>
      </c>
      <c r="C486" s="34" t="s">
        <v>35</v>
      </c>
      <c r="D486" s="35">
        <f t="shared" si="19"/>
        <v>1</v>
      </c>
      <c r="E486" s="34">
        <v>3</v>
      </c>
      <c r="F486" s="34" t="s">
        <v>36</v>
      </c>
      <c r="G486" s="38">
        <f t="shared" si="20"/>
        <v>0</v>
      </c>
      <c r="H486" s="39">
        <v>1362.00000091922</v>
      </c>
      <c r="I486" s="34"/>
      <c r="J486" s="34"/>
      <c r="K486" s="34"/>
      <c r="L486" s="39"/>
      <c r="M486" s="39"/>
      <c r="N486" s="48"/>
      <c r="O486" s="48"/>
    </row>
    <row r="487" spans="1:15">
      <c r="A487" s="33" t="s">
        <v>63</v>
      </c>
      <c r="B487" s="34" t="s">
        <v>64</v>
      </c>
      <c r="C487" s="34" t="s">
        <v>36</v>
      </c>
      <c r="D487" s="35">
        <f t="shared" si="19"/>
        <v>0</v>
      </c>
      <c r="E487" s="34">
        <v>1</v>
      </c>
      <c r="F487" s="34" t="s">
        <v>36</v>
      </c>
      <c r="G487" s="38">
        <f t="shared" si="20"/>
        <v>0</v>
      </c>
      <c r="H487" s="39">
        <v>903.999994439073</v>
      </c>
      <c r="I487" s="34"/>
      <c r="J487" s="34"/>
      <c r="K487" s="34"/>
      <c r="L487" s="39"/>
      <c r="M487" s="39"/>
      <c r="N487" s="48"/>
      <c r="O487" s="48"/>
    </row>
    <row r="488" spans="1:15">
      <c r="A488" s="33" t="s">
        <v>73</v>
      </c>
      <c r="B488" s="34" t="s">
        <v>74</v>
      </c>
      <c r="C488" s="34" t="s">
        <v>35</v>
      </c>
      <c r="D488" s="35">
        <f t="shared" si="19"/>
        <v>1</v>
      </c>
      <c r="E488" s="34">
        <v>5</v>
      </c>
      <c r="F488" s="34" t="s">
        <v>36</v>
      </c>
      <c r="G488" s="38">
        <f t="shared" si="20"/>
        <v>0</v>
      </c>
      <c r="H488" s="39">
        <v>1067.00000551064</v>
      </c>
      <c r="I488" s="34"/>
      <c r="J488" s="34"/>
      <c r="K488" s="34"/>
      <c r="L488" s="39"/>
      <c r="M488" s="39"/>
      <c r="N488" s="48"/>
      <c r="O488" s="48"/>
    </row>
    <row r="489" spans="1:15">
      <c r="A489" s="33" t="s">
        <v>65</v>
      </c>
      <c r="B489" s="34" t="s">
        <v>66</v>
      </c>
      <c r="C489" s="34" t="s">
        <v>36</v>
      </c>
      <c r="D489" s="35">
        <f t="shared" si="19"/>
        <v>0</v>
      </c>
      <c r="E489" s="34">
        <v>3</v>
      </c>
      <c r="F489" s="34" t="s">
        <v>35</v>
      </c>
      <c r="G489" s="38">
        <f t="shared" si="20"/>
        <v>1</v>
      </c>
      <c r="H489" s="39">
        <v>445.999996759929</v>
      </c>
      <c r="I489" s="34"/>
      <c r="J489" s="34"/>
      <c r="K489" s="34"/>
      <c r="L489" s="39"/>
      <c r="M489" s="39"/>
      <c r="N489" s="48"/>
      <c r="O489" s="48"/>
    </row>
    <row r="490" spans="1:15">
      <c r="A490" s="33" t="s">
        <v>59</v>
      </c>
      <c r="B490" s="34" t="s">
        <v>60</v>
      </c>
      <c r="C490" s="34" t="s">
        <v>35</v>
      </c>
      <c r="D490" s="35">
        <f t="shared" si="19"/>
        <v>1</v>
      </c>
      <c r="E490" s="34">
        <v>5</v>
      </c>
      <c r="F490" s="34" t="s">
        <v>36</v>
      </c>
      <c r="G490" s="38">
        <f t="shared" si="20"/>
        <v>0</v>
      </c>
      <c r="H490" s="39">
        <v>222.000004746951</v>
      </c>
      <c r="I490" s="34"/>
      <c r="J490" s="34"/>
      <c r="K490" s="34"/>
      <c r="L490" s="39"/>
      <c r="M490" s="39"/>
      <c r="N490" s="48"/>
      <c r="O490" s="48"/>
    </row>
    <row r="491" spans="1:15">
      <c r="A491" s="33" t="s">
        <v>63</v>
      </c>
      <c r="B491" s="34" t="s">
        <v>64</v>
      </c>
      <c r="C491" s="34" t="s">
        <v>35</v>
      </c>
      <c r="D491" s="35">
        <f t="shared" si="19"/>
        <v>1</v>
      </c>
      <c r="E491" s="34">
        <v>5</v>
      </c>
      <c r="F491" s="34" t="s">
        <v>36</v>
      </c>
      <c r="G491" s="38">
        <f t="shared" si="20"/>
        <v>0</v>
      </c>
      <c r="H491" s="39">
        <v>199.999998346902</v>
      </c>
      <c r="I491" s="34"/>
      <c r="J491" s="34"/>
      <c r="K491" s="34"/>
      <c r="L491" s="39"/>
      <c r="M491" s="39"/>
      <c r="N491" s="48"/>
      <c r="O491" s="48"/>
    </row>
    <row r="492" spans="1:15">
      <c r="A492" s="33" t="s">
        <v>73</v>
      </c>
      <c r="B492" s="34" t="s">
        <v>74</v>
      </c>
      <c r="C492" s="34" t="s">
        <v>35</v>
      </c>
      <c r="D492" s="35">
        <f t="shared" si="19"/>
        <v>1</v>
      </c>
      <c r="E492" s="34">
        <v>4</v>
      </c>
      <c r="F492" s="34" t="s">
        <v>36</v>
      </c>
      <c r="G492" s="38">
        <f t="shared" si="20"/>
        <v>0</v>
      </c>
      <c r="H492" s="39">
        <v>98.9999967394397</v>
      </c>
      <c r="I492" s="34"/>
      <c r="J492" s="34"/>
      <c r="K492" s="34"/>
      <c r="L492" s="39"/>
      <c r="M492" s="39"/>
      <c r="N492" s="48"/>
      <c r="O492" s="48"/>
    </row>
    <row r="493" spans="1:15">
      <c r="A493" s="33" t="s">
        <v>67</v>
      </c>
      <c r="B493" s="34" t="s">
        <v>68</v>
      </c>
      <c r="C493" s="34" t="s">
        <v>36</v>
      </c>
      <c r="D493" s="35">
        <f t="shared" si="19"/>
        <v>0</v>
      </c>
      <c r="E493" s="34">
        <v>2</v>
      </c>
      <c r="F493" s="34" t="s">
        <v>36</v>
      </c>
      <c r="G493" s="38">
        <f t="shared" si="20"/>
        <v>0</v>
      </c>
      <c r="H493" s="39">
        <v>536.000000196509</v>
      </c>
      <c r="I493" s="34"/>
      <c r="J493" s="34"/>
      <c r="K493" s="34"/>
      <c r="L493" s="39"/>
      <c r="M493" s="39"/>
      <c r="N493" s="48"/>
      <c r="O493" s="48"/>
    </row>
    <row r="494" spans="1:15">
      <c r="A494" s="33" t="s">
        <v>63</v>
      </c>
      <c r="B494" s="34" t="s">
        <v>64</v>
      </c>
      <c r="C494" s="34" t="s">
        <v>36</v>
      </c>
      <c r="D494" s="35">
        <f t="shared" si="19"/>
        <v>0</v>
      </c>
      <c r="E494" s="34">
        <v>2</v>
      </c>
      <c r="F494" s="34" t="s">
        <v>36</v>
      </c>
      <c r="G494" s="38">
        <f t="shared" si="20"/>
        <v>0</v>
      </c>
      <c r="H494" s="39">
        <v>1679.99999604654</v>
      </c>
      <c r="I494" s="34"/>
      <c r="J494" s="34"/>
      <c r="K494" s="34"/>
      <c r="L494" s="39"/>
      <c r="M494" s="39"/>
      <c r="N494" s="48"/>
      <c r="O494" s="48"/>
    </row>
    <row r="495" spans="1:15">
      <c r="A495" s="33" t="s">
        <v>73</v>
      </c>
      <c r="B495" s="34" t="s">
        <v>74</v>
      </c>
      <c r="C495" s="34" t="s">
        <v>36</v>
      </c>
      <c r="D495" s="35">
        <f t="shared" si="19"/>
        <v>0</v>
      </c>
      <c r="E495" s="34">
        <v>2</v>
      </c>
      <c r="F495" s="34" t="s">
        <v>36</v>
      </c>
      <c r="G495" s="38">
        <f t="shared" si="20"/>
        <v>0</v>
      </c>
      <c r="H495" s="39">
        <v>571.999994153157</v>
      </c>
      <c r="I495" s="34"/>
      <c r="J495" s="34"/>
      <c r="K495" s="34"/>
      <c r="L495" s="39"/>
      <c r="M495" s="39"/>
      <c r="N495" s="48"/>
      <c r="O495" s="48"/>
    </row>
    <row r="496" spans="1:15">
      <c r="A496" s="33" t="s">
        <v>55</v>
      </c>
      <c r="B496" s="34" t="s">
        <v>56</v>
      </c>
      <c r="C496" s="34" t="s">
        <v>35</v>
      </c>
      <c r="D496" s="35">
        <f t="shared" si="19"/>
        <v>1</v>
      </c>
      <c r="E496" s="34">
        <v>4</v>
      </c>
      <c r="F496" s="34" t="s">
        <v>36</v>
      </c>
      <c r="G496" s="38">
        <f t="shared" si="20"/>
        <v>0</v>
      </c>
      <c r="H496" s="39">
        <v>251.999994786456</v>
      </c>
      <c r="I496" s="34"/>
      <c r="J496" s="34"/>
      <c r="K496" s="34"/>
      <c r="L496" s="39"/>
      <c r="M496" s="39"/>
      <c r="N496" s="48"/>
      <c r="O496" s="48"/>
    </row>
    <row r="497" spans="1:15">
      <c r="A497" s="33" t="s">
        <v>81</v>
      </c>
      <c r="B497" s="34" t="s">
        <v>82</v>
      </c>
      <c r="C497" s="34" t="s">
        <v>35</v>
      </c>
      <c r="D497" s="35">
        <f t="shared" si="19"/>
        <v>1</v>
      </c>
      <c r="E497" s="34">
        <v>4</v>
      </c>
      <c r="F497" s="34" t="s">
        <v>36</v>
      </c>
      <c r="G497" s="38">
        <f t="shared" si="20"/>
        <v>0</v>
      </c>
      <c r="H497" s="39">
        <v>145.999998296611</v>
      </c>
      <c r="I497" s="34"/>
      <c r="J497" s="34"/>
      <c r="K497" s="34"/>
      <c r="L497" s="39"/>
      <c r="M497" s="39"/>
      <c r="N497" s="48"/>
      <c r="O497" s="48"/>
    </row>
    <row r="498" spans="1:15">
      <c r="A498" s="33" t="s">
        <v>65</v>
      </c>
      <c r="B498" s="34" t="s">
        <v>66</v>
      </c>
      <c r="C498" s="34" t="s">
        <v>36</v>
      </c>
      <c r="D498" s="35">
        <f t="shared" si="19"/>
        <v>0</v>
      </c>
      <c r="E498" s="34">
        <v>2</v>
      </c>
      <c r="F498" s="34" t="s">
        <v>35</v>
      </c>
      <c r="G498" s="38">
        <f t="shared" si="20"/>
        <v>1</v>
      </c>
      <c r="H498" s="39">
        <v>506.000001356006</v>
      </c>
      <c r="I498" s="34"/>
      <c r="J498" s="34"/>
      <c r="K498" s="34"/>
      <c r="L498" s="39"/>
      <c r="M498" s="39"/>
      <c r="N498" s="48"/>
      <c r="O498" s="48"/>
    </row>
    <row r="499" spans="1:15">
      <c r="A499" s="33" t="s">
        <v>59</v>
      </c>
      <c r="B499" s="34" t="s">
        <v>60</v>
      </c>
      <c r="C499" s="34" t="s">
        <v>35</v>
      </c>
      <c r="D499" s="35">
        <f t="shared" si="19"/>
        <v>1</v>
      </c>
      <c r="E499" s="34">
        <v>3</v>
      </c>
      <c r="F499" s="34" t="s">
        <v>36</v>
      </c>
      <c r="G499" s="38">
        <f t="shared" si="20"/>
        <v>0</v>
      </c>
      <c r="H499" s="39">
        <v>1250.00000051223</v>
      </c>
      <c r="I499" s="34"/>
      <c r="J499" s="34"/>
      <c r="K499" s="34"/>
      <c r="L499" s="39"/>
      <c r="M499" s="39"/>
      <c r="N499" s="48"/>
      <c r="O499" s="48"/>
    </row>
    <row r="500" spans="1:15">
      <c r="A500" s="33" t="s">
        <v>61</v>
      </c>
      <c r="B500" s="34" t="s">
        <v>62</v>
      </c>
      <c r="C500" s="34" t="s">
        <v>36</v>
      </c>
      <c r="D500" s="35">
        <f t="shared" si="19"/>
        <v>0</v>
      </c>
      <c r="E500" s="34">
        <v>3</v>
      </c>
      <c r="F500" s="34" t="s">
        <v>35</v>
      </c>
      <c r="G500" s="38">
        <f t="shared" si="20"/>
        <v>1</v>
      </c>
      <c r="H500" s="39">
        <v>753.000001888722</v>
      </c>
      <c r="I500" s="34"/>
      <c r="J500" s="34"/>
      <c r="K500" s="34"/>
      <c r="L500" s="39"/>
      <c r="M500" s="39"/>
      <c r="N500" s="48"/>
      <c r="O500" s="48"/>
    </row>
    <row r="501" spans="1:15">
      <c r="A501" s="50" t="s">
        <v>61</v>
      </c>
      <c r="B501" s="51" t="s">
        <v>62</v>
      </c>
      <c r="C501" s="51" t="s">
        <v>35</v>
      </c>
      <c r="D501" s="35">
        <f t="shared" si="19"/>
        <v>1</v>
      </c>
      <c r="E501" s="51">
        <v>4</v>
      </c>
      <c r="F501" s="51" t="s">
        <v>36</v>
      </c>
      <c r="G501" s="38">
        <f t="shared" si="20"/>
        <v>0</v>
      </c>
      <c r="H501" s="52">
        <v>1674.00000910275</v>
      </c>
      <c r="I501" s="51"/>
      <c r="J501" s="51"/>
      <c r="K501" s="51"/>
      <c r="L501" s="52"/>
      <c r="M501" s="52"/>
      <c r="N501" s="53"/>
      <c r="O501" s="53"/>
    </row>
  </sheetData>
  <conditionalFormatting sqref="D1:D501">
    <cfRule type="expression" dxfId="0" priority="1">
      <formula>MOD(ROW(),2)=1</formula>
    </cfRule>
  </conditionalFormatting>
  <conditionalFormatting sqref="A1:C501 E1:G501">
    <cfRule type="expression" dxfId="0" priority="3">
      <formula>MOD(ROW(),2)=1</formula>
    </cfRule>
  </conditionalFormatting>
  <conditionalFormatting sqref="H1:O501">
    <cfRule type="expression" dxfId="0" priority="2">
      <formula>MOD(ROW(),2)=1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E16" sqref="E16"/>
    </sheetView>
  </sheetViews>
  <sheetFormatPr defaultColWidth="8.8" defaultRowHeight="15"/>
  <cols>
    <col min="1" max="1" width="8.2" customWidth="1"/>
    <col min="2" max="2" width="11.7" customWidth="1"/>
    <col min="3" max="3" width="9.8" customWidth="1"/>
    <col min="4" max="4" width="12.7" style="1" customWidth="1"/>
    <col min="5" max="5" width="16" style="1" customWidth="1"/>
    <col min="6" max="6" width="18.3" style="2" customWidth="1"/>
    <col min="7" max="7" width="18.4" style="2" customWidth="1"/>
    <col min="8" max="8" width="12.5" style="1"/>
    <col min="10" max="10" width="6.7" style="19" customWidth="1"/>
    <col min="11" max="11" width="5.9" style="19" customWidth="1"/>
    <col min="12" max="12" width="10.5" customWidth="1"/>
  </cols>
  <sheetData>
    <row r="1" ht="135" spans="1:12">
      <c r="A1" s="3" t="s">
        <v>44</v>
      </c>
      <c r="B1" s="3" t="s">
        <v>45</v>
      </c>
      <c r="C1" s="3" t="s">
        <v>48</v>
      </c>
      <c r="D1" s="4" t="s">
        <v>49</v>
      </c>
      <c r="E1" s="4" t="s">
        <v>50</v>
      </c>
      <c r="F1" s="5" t="s">
        <v>51</v>
      </c>
      <c r="G1" s="5" t="s">
        <v>52</v>
      </c>
      <c r="H1" s="24" t="s">
        <v>83</v>
      </c>
      <c r="I1" s="24" t="s">
        <v>84</v>
      </c>
      <c r="J1" s="27" t="s">
        <v>85</v>
      </c>
      <c r="K1" s="27" t="s">
        <v>86</v>
      </c>
      <c r="L1" s="24" t="s">
        <v>87</v>
      </c>
    </row>
    <row r="2" spans="1:12">
      <c r="A2" s="22" t="s">
        <v>55</v>
      </c>
      <c r="B2" s="22" t="s">
        <v>56</v>
      </c>
      <c r="C2" s="22">
        <v>33</v>
      </c>
      <c r="D2" s="23">
        <v>1049.3030306862</v>
      </c>
      <c r="E2" s="23">
        <v>3.48484848484848</v>
      </c>
      <c r="F2" s="25">
        <v>0.787878787878788</v>
      </c>
      <c r="G2" s="25">
        <v>0.121212121212121</v>
      </c>
      <c r="H2" s="26">
        <f>(F2*40)+(E2/5*0.35)+(C2*0.25)</f>
        <v>40.0090909090909</v>
      </c>
      <c r="I2" s="26">
        <f>_xlfn.RANK.AVG(H2,$H$2:$H$16,1)</f>
        <v>10</v>
      </c>
      <c r="J2" s="28">
        <f>SMALL(I2:I16,1)</f>
        <v>1</v>
      </c>
      <c r="K2" s="28">
        <f>MATCH(J2,$I$2:$I$16,0)</f>
        <v>3</v>
      </c>
      <c r="L2" s="26" t="str">
        <f>INDEX($B$2:$B$16,K2,0)</f>
        <v>Sneha Patil</v>
      </c>
    </row>
    <row r="3" spans="1:12">
      <c r="A3" s="22" t="s">
        <v>57</v>
      </c>
      <c r="B3" s="22" t="s">
        <v>58</v>
      </c>
      <c r="C3" s="22">
        <v>30</v>
      </c>
      <c r="D3" s="23">
        <v>939.46666658856</v>
      </c>
      <c r="E3" s="23">
        <v>3.13333333333333</v>
      </c>
      <c r="F3" s="25">
        <v>0.633333333333333</v>
      </c>
      <c r="G3" s="25">
        <v>0.2</v>
      </c>
      <c r="H3" s="26">
        <f t="shared" ref="H3:H16" si="0">(F3*40)+(E3/5*0.35)+(C3*0.25)</f>
        <v>33.0526666666667</v>
      </c>
      <c r="I3" s="26">
        <f t="shared" ref="I3:I16" si="1">_xlfn.RANK.AVG(H3,$H$2:$H$16,1)</f>
        <v>2</v>
      </c>
      <c r="J3" s="28">
        <f>LARGE(I2:I16,5)</f>
        <v>11</v>
      </c>
      <c r="K3" s="28">
        <f>MATCH(J3,$I$2:$I$16,0)</f>
        <v>9</v>
      </c>
      <c r="L3" s="26" t="str">
        <f>INDEX($B$2:$B$16,K3,0)</f>
        <v>Neha Gupta</v>
      </c>
    </row>
    <row r="4" spans="1:9">
      <c r="A4" s="22" t="s">
        <v>61</v>
      </c>
      <c r="B4" s="22" t="s">
        <v>62</v>
      </c>
      <c r="C4" s="22">
        <v>25</v>
      </c>
      <c r="D4" s="23">
        <v>1015.36000078171</v>
      </c>
      <c r="E4" s="23">
        <v>3.52</v>
      </c>
      <c r="F4" s="25">
        <v>0.64</v>
      </c>
      <c r="G4" s="25">
        <v>0.2</v>
      </c>
      <c r="H4" s="26">
        <f t="shared" si="0"/>
        <v>32.0964</v>
      </c>
      <c r="I4" s="26">
        <f t="shared" si="1"/>
        <v>1</v>
      </c>
    </row>
    <row r="5" spans="1:9">
      <c r="A5" s="22" t="s">
        <v>65</v>
      </c>
      <c r="B5" s="22" t="s">
        <v>66</v>
      </c>
      <c r="C5" s="22">
        <v>38</v>
      </c>
      <c r="D5" s="23">
        <v>913.184210205892</v>
      </c>
      <c r="E5" s="23">
        <v>3.36842105263158</v>
      </c>
      <c r="F5" s="25">
        <v>0.710526315789474</v>
      </c>
      <c r="G5" s="25">
        <v>0.131578947368421</v>
      </c>
      <c r="H5" s="26">
        <f t="shared" si="0"/>
        <v>38.1568421052632</v>
      </c>
      <c r="I5" s="26">
        <f t="shared" si="1"/>
        <v>8</v>
      </c>
    </row>
    <row r="6" spans="1:9">
      <c r="A6" s="22" t="s">
        <v>67</v>
      </c>
      <c r="B6" s="22" t="s">
        <v>68</v>
      </c>
      <c r="C6" s="22">
        <v>26</v>
      </c>
      <c r="D6" s="23">
        <v>1111.34615364449</v>
      </c>
      <c r="E6" s="23">
        <v>3.69230769230769</v>
      </c>
      <c r="F6" s="25">
        <v>0.884615384615385</v>
      </c>
      <c r="G6" s="25">
        <v>0</v>
      </c>
      <c r="H6" s="26">
        <f t="shared" si="0"/>
        <v>42.1430769230769</v>
      </c>
      <c r="I6" s="26">
        <f t="shared" si="1"/>
        <v>12</v>
      </c>
    </row>
    <row r="7" spans="1:9">
      <c r="A7" s="22" t="s">
        <v>69</v>
      </c>
      <c r="B7" s="22" t="s">
        <v>70</v>
      </c>
      <c r="C7" s="22">
        <v>37</v>
      </c>
      <c r="D7" s="23">
        <v>1017.67567548385</v>
      </c>
      <c r="E7" s="23">
        <v>3.51351351351351</v>
      </c>
      <c r="F7" s="25">
        <v>0.756756756756757</v>
      </c>
      <c r="G7" s="25">
        <v>0.0810810810810811</v>
      </c>
      <c r="H7" s="26">
        <f t="shared" si="0"/>
        <v>39.7662162162162</v>
      </c>
      <c r="I7" s="26">
        <f t="shared" si="1"/>
        <v>9</v>
      </c>
    </row>
    <row r="8" spans="1:9">
      <c r="A8" s="22" t="s">
        <v>59</v>
      </c>
      <c r="B8" s="22" t="s">
        <v>60</v>
      </c>
      <c r="C8" s="22">
        <v>33</v>
      </c>
      <c r="D8" s="23">
        <v>976.696969985708</v>
      </c>
      <c r="E8" s="23">
        <v>3.54545454545455</v>
      </c>
      <c r="F8" s="25">
        <v>0.696969696969697</v>
      </c>
      <c r="G8" s="25">
        <v>0.181818181818182</v>
      </c>
      <c r="H8" s="26">
        <f t="shared" si="0"/>
        <v>36.3769696969697</v>
      </c>
      <c r="I8" s="26">
        <f t="shared" si="1"/>
        <v>5</v>
      </c>
    </row>
    <row r="9" spans="1:9">
      <c r="A9" s="22" t="s">
        <v>73</v>
      </c>
      <c r="B9" s="22" t="s">
        <v>74</v>
      </c>
      <c r="C9" s="22">
        <v>40</v>
      </c>
      <c r="D9" s="23">
        <v>816.900000339956</v>
      </c>
      <c r="E9" s="23">
        <v>3.625</v>
      </c>
      <c r="F9" s="25">
        <v>0.8</v>
      </c>
      <c r="G9" s="25">
        <v>0.125</v>
      </c>
      <c r="H9" s="26">
        <f t="shared" si="0"/>
        <v>42.25375</v>
      </c>
      <c r="I9" s="26">
        <f t="shared" si="1"/>
        <v>13</v>
      </c>
    </row>
    <row r="10" spans="1:9">
      <c r="A10" s="22" t="s">
        <v>75</v>
      </c>
      <c r="B10" s="22" t="s">
        <v>76</v>
      </c>
      <c r="C10" s="22">
        <v>37</v>
      </c>
      <c r="D10" s="23">
        <v>1041.37837786567</v>
      </c>
      <c r="E10" s="23">
        <v>3.51351351351351</v>
      </c>
      <c r="F10" s="25">
        <v>0.810810810810811</v>
      </c>
      <c r="G10" s="25">
        <v>0.0810810810810811</v>
      </c>
      <c r="H10" s="26">
        <f t="shared" si="0"/>
        <v>41.9283783783784</v>
      </c>
      <c r="I10" s="26">
        <f t="shared" si="1"/>
        <v>11</v>
      </c>
    </row>
    <row r="11" spans="1:9">
      <c r="A11" s="22" t="s">
        <v>77</v>
      </c>
      <c r="B11" s="22" t="s">
        <v>78</v>
      </c>
      <c r="C11" s="22">
        <v>32</v>
      </c>
      <c r="D11" s="23">
        <v>1001.18749920221</v>
      </c>
      <c r="E11" s="23">
        <v>3.15625</v>
      </c>
      <c r="F11" s="25">
        <v>0.625</v>
      </c>
      <c r="G11" s="25">
        <v>0.125</v>
      </c>
      <c r="H11" s="26">
        <f t="shared" si="0"/>
        <v>33.2209375</v>
      </c>
      <c r="I11" s="26">
        <f t="shared" si="1"/>
        <v>3</v>
      </c>
    </row>
    <row r="12" spans="1:9">
      <c r="A12" s="22" t="s">
        <v>53</v>
      </c>
      <c r="B12" s="22" t="s">
        <v>54</v>
      </c>
      <c r="C12" s="22">
        <v>36</v>
      </c>
      <c r="D12" s="23">
        <v>1035.22222271422</v>
      </c>
      <c r="E12" s="23">
        <v>3.69444444444444</v>
      </c>
      <c r="F12" s="25">
        <v>0.861111111111111</v>
      </c>
      <c r="G12" s="25">
        <v>0.0555555555555556</v>
      </c>
      <c r="H12" s="26">
        <f t="shared" si="0"/>
        <v>43.7030555555556</v>
      </c>
      <c r="I12" s="26">
        <f t="shared" si="1"/>
        <v>14</v>
      </c>
    </row>
    <row r="13" spans="1:9">
      <c r="A13" s="22" t="s">
        <v>71</v>
      </c>
      <c r="B13" s="22" t="s">
        <v>72</v>
      </c>
      <c r="C13" s="22">
        <v>36</v>
      </c>
      <c r="D13" s="23">
        <v>964.388889149996</v>
      </c>
      <c r="E13" s="23">
        <v>3.13888888888889</v>
      </c>
      <c r="F13" s="25">
        <v>0.638888888888889</v>
      </c>
      <c r="G13" s="25">
        <v>0.138888888888889</v>
      </c>
      <c r="H13" s="26">
        <f t="shared" si="0"/>
        <v>34.7752777777778</v>
      </c>
      <c r="I13" s="26">
        <f t="shared" si="1"/>
        <v>4</v>
      </c>
    </row>
    <row r="14" spans="1:9">
      <c r="A14" s="22" t="s">
        <v>63</v>
      </c>
      <c r="B14" s="22" t="s">
        <v>64</v>
      </c>
      <c r="C14" s="22">
        <v>34</v>
      </c>
      <c r="D14" s="23">
        <v>896.705883185324</v>
      </c>
      <c r="E14" s="23">
        <v>3.41176470588235</v>
      </c>
      <c r="F14" s="25">
        <v>0.735294117647059</v>
      </c>
      <c r="G14" s="25">
        <v>0.0588235294117647</v>
      </c>
      <c r="H14" s="26">
        <f t="shared" si="0"/>
        <v>38.1505882352941</v>
      </c>
      <c r="I14" s="26">
        <f t="shared" si="1"/>
        <v>7</v>
      </c>
    </row>
    <row r="15" spans="1:9">
      <c r="A15" s="22" t="s">
        <v>79</v>
      </c>
      <c r="B15" s="22" t="s">
        <v>80</v>
      </c>
      <c r="C15" s="22">
        <v>30</v>
      </c>
      <c r="D15" s="23">
        <v>928.999999256339</v>
      </c>
      <c r="E15" s="23">
        <v>3.83333333333333</v>
      </c>
      <c r="F15" s="25">
        <v>0.733333333333333</v>
      </c>
      <c r="G15" s="25">
        <v>0.166666666666667</v>
      </c>
      <c r="H15" s="26">
        <f t="shared" si="0"/>
        <v>37.1016666666667</v>
      </c>
      <c r="I15" s="26">
        <f t="shared" si="1"/>
        <v>6</v>
      </c>
    </row>
    <row r="16" spans="1:9">
      <c r="A16" s="22" t="s">
        <v>81</v>
      </c>
      <c r="B16" s="22" t="s">
        <v>82</v>
      </c>
      <c r="C16" s="22">
        <v>33</v>
      </c>
      <c r="D16" s="23">
        <v>865.424242437902</v>
      </c>
      <c r="E16" s="23">
        <v>3.6969696969697</v>
      </c>
      <c r="F16" s="25">
        <v>0.909090909090909</v>
      </c>
      <c r="G16" s="25">
        <v>0.0303030303030303</v>
      </c>
      <c r="H16" s="26">
        <f t="shared" si="0"/>
        <v>44.8724242424242</v>
      </c>
      <c r="I16" s="26">
        <f t="shared" si="1"/>
        <v>15</v>
      </c>
    </row>
  </sheetData>
  <conditionalFormatting sqref="A1:I16">
    <cfRule type="expression" dxfId="0" priority="2">
      <formula>MOD(ROW(),2)=1</formula>
    </cfRule>
  </conditionalFormatting>
  <conditionalFormatting sqref="J1:L3">
    <cfRule type="expression" dxfId="0" priority="1">
      <formula>MOD(ROW(),2)=1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D6" sqref="D6"/>
    </sheetView>
  </sheetViews>
  <sheetFormatPr defaultColWidth="8.8" defaultRowHeight="15"/>
  <cols>
    <col min="1" max="1" width="11.7" customWidth="1"/>
    <col min="2" max="2" width="6.5" style="1" customWidth="1"/>
    <col min="3" max="5" width="12.5" customWidth="1"/>
    <col min="6" max="6" width="8.3" customWidth="1"/>
    <col min="7" max="7" width="12.5" customWidth="1"/>
    <col min="8" max="9" width="13.6" customWidth="1"/>
    <col min="10" max="10" width="12.5" customWidth="1"/>
  </cols>
  <sheetData>
    <row r="1" spans="1:10">
      <c r="A1" s="3" t="s">
        <v>45</v>
      </c>
      <c r="B1" s="4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</row>
    <row r="2" spans="1:10">
      <c r="A2" s="6" t="s">
        <v>56</v>
      </c>
      <c r="B2" s="7">
        <v>40.0090909090909</v>
      </c>
      <c r="C2" s="6">
        <f>AVERAGE(B2:B16)</f>
        <v>38.5071560582254</v>
      </c>
      <c r="D2" s="6">
        <f>MEDIAN(B2:B16)</f>
        <v>38.1568421052632</v>
      </c>
      <c r="E2" s="6">
        <f>STDEV(B2:B16)</f>
        <v>4.05145410432467</v>
      </c>
      <c r="F2" s="6">
        <f>MIN(B2:B16)</f>
        <v>32.0964</v>
      </c>
      <c r="G2" s="6">
        <f>MAX(B2:B16)</f>
        <v>44.8724242424242</v>
      </c>
      <c r="H2" s="6">
        <f>KURT(B2:B16)</f>
        <v>-1.13427071214788</v>
      </c>
      <c r="I2" s="6">
        <f>SKEW(B2:B16)</f>
        <v>-0.116136557458631</v>
      </c>
      <c r="J2" s="6">
        <f>PERCENTILE(B2:B16,1)</f>
        <v>44.8724242424242</v>
      </c>
    </row>
    <row r="3" spans="1:2">
      <c r="A3" s="6" t="s">
        <v>58</v>
      </c>
      <c r="B3" s="7">
        <v>33.0526666666667</v>
      </c>
    </row>
    <row r="4" spans="1:2">
      <c r="A4" s="6" t="s">
        <v>62</v>
      </c>
      <c r="B4" s="7">
        <v>32.0964</v>
      </c>
    </row>
    <row r="5" spans="1:2">
      <c r="A5" s="6" t="s">
        <v>66</v>
      </c>
      <c r="B5" s="7">
        <v>38.1568421052632</v>
      </c>
    </row>
    <row r="6" spans="1:2">
      <c r="A6" s="6" t="s">
        <v>68</v>
      </c>
      <c r="B6" s="7">
        <v>42.1430769230769</v>
      </c>
    </row>
    <row r="7" spans="1:2">
      <c r="A7" s="6" t="s">
        <v>70</v>
      </c>
      <c r="B7" s="7">
        <v>39.7662162162162</v>
      </c>
    </row>
    <row r="8" spans="1:2">
      <c r="A8" s="6" t="s">
        <v>60</v>
      </c>
      <c r="B8" s="7">
        <v>36.3769696969697</v>
      </c>
    </row>
    <row r="9" spans="1:2">
      <c r="A9" s="6" t="s">
        <v>74</v>
      </c>
      <c r="B9" s="7">
        <v>42.25375</v>
      </c>
    </row>
    <row r="10" spans="1:2">
      <c r="A10" s="6" t="s">
        <v>76</v>
      </c>
      <c r="B10" s="7">
        <v>41.9283783783784</v>
      </c>
    </row>
    <row r="11" spans="1:2">
      <c r="A11" s="6" t="s">
        <v>78</v>
      </c>
      <c r="B11" s="7">
        <v>33.2209375</v>
      </c>
    </row>
    <row r="12" spans="1:2">
      <c r="A12" s="6" t="s">
        <v>54</v>
      </c>
      <c r="B12" s="7">
        <v>43.7030555555556</v>
      </c>
    </row>
    <row r="13" spans="1:2">
      <c r="A13" s="6" t="s">
        <v>72</v>
      </c>
      <c r="B13" s="7">
        <v>34.7752777777778</v>
      </c>
    </row>
    <row r="14" spans="1:2">
      <c r="A14" s="6" t="s">
        <v>64</v>
      </c>
      <c r="B14" s="7">
        <v>38.1505882352941</v>
      </c>
    </row>
    <row r="15" spans="1:2">
      <c r="A15" s="6" t="s">
        <v>80</v>
      </c>
      <c r="B15" s="7">
        <v>37.1016666666667</v>
      </c>
    </row>
    <row r="16" spans="1:2">
      <c r="A16" s="6" t="s">
        <v>82</v>
      </c>
      <c r="B16" s="7">
        <v>44.8724242424242</v>
      </c>
    </row>
  </sheetData>
  <conditionalFormatting sqref="A1:B16 C1:J2">
    <cfRule type="expression" dxfId="0" priority="1">
      <formula>MOD(ROW(),2)=1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1"/>
  <sheetViews>
    <sheetView workbookViewId="0">
      <selection activeCell="L3" sqref="L3"/>
    </sheetView>
  </sheetViews>
  <sheetFormatPr defaultColWidth="8.8" defaultRowHeight="15" outlineLevelCol="1"/>
  <cols>
    <col min="1" max="1" width="15.5" style="18" customWidth="1"/>
    <col min="2" max="2" width="15.8" style="19" customWidth="1"/>
  </cols>
  <sheetData>
    <row r="1" spans="1:2">
      <c r="A1" s="20" t="s">
        <v>11</v>
      </c>
      <c r="B1" s="20" t="s">
        <v>97</v>
      </c>
    </row>
    <row r="2" spans="1:2">
      <c r="A2" s="21">
        <v>6</v>
      </c>
      <c r="B2" s="21">
        <f>COUNTIF('A4'!$K$2:$K$501,A2)</f>
        <v>23</v>
      </c>
    </row>
    <row r="3" spans="1:2">
      <c r="A3" s="21">
        <v>19</v>
      </c>
      <c r="B3" s="21">
        <f>COUNTIF('A4'!$K$2:$K$501,A3)</f>
        <v>27</v>
      </c>
    </row>
    <row r="4" spans="1:2">
      <c r="A4" s="21">
        <v>20</v>
      </c>
      <c r="B4" s="21">
        <f>COUNTIF('A4'!$K$2:$K$501,A4)</f>
        <v>27</v>
      </c>
    </row>
    <row r="5" spans="1:2">
      <c r="A5" s="21">
        <v>9</v>
      </c>
      <c r="B5" s="21">
        <f>COUNTIF('A4'!$K$2:$K$501,A5)</f>
        <v>26</v>
      </c>
    </row>
    <row r="6" spans="1:2">
      <c r="A6" s="21">
        <v>8</v>
      </c>
      <c r="B6" s="21">
        <f>COUNTIF('A4'!$K$2:$K$501,A6)</f>
        <v>30</v>
      </c>
    </row>
    <row r="7" spans="1:2">
      <c r="A7" s="21">
        <v>13</v>
      </c>
      <c r="B7" s="21">
        <f>COUNTIF('A4'!$K$2:$K$501,A7)</f>
        <v>33</v>
      </c>
    </row>
    <row r="8" spans="1:2">
      <c r="A8" s="21">
        <v>16</v>
      </c>
      <c r="B8" s="21">
        <f>COUNTIF('A4'!$K$2:$K$501,A8)</f>
        <v>32</v>
      </c>
    </row>
    <row r="9" spans="1:2">
      <c r="A9" s="21">
        <v>10</v>
      </c>
      <c r="B9" s="21">
        <f>COUNTIF('A4'!$K$2:$K$501,A9)</f>
        <v>30</v>
      </c>
    </row>
    <row r="10" spans="1:2">
      <c r="A10" s="21">
        <v>14</v>
      </c>
      <c r="B10" s="21">
        <f>COUNTIF('A4'!$K$2:$K$501,A10)</f>
        <v>26</v>
      </c>
    </row>
    <row r="11" spans="1:2">
      <c r="A11" s="21">
        <v>11</v>
      </c>
      <c r="B11" s="21">
        <f>COUNTIF('A4'!$K$2:$K$501,A11)</f>
        <v>24</v>
      </c>
    </row>
    <row r="12" spans="1:2">
      <c r="A12" s="21">
        <v>15</v>
      </c>
      <c r="B12" s="21">
        <f>COUNTIF('A4'!$K$2:$K$501,A12)</f>
        <v>29</v>
      </c>
    </row>
    <row r="13" spans="1:2">
      <c r="A13" s="21">
        <v>12</v>
      </c>
      <c r="B13" s="21">
        <f>COUNTIF('A4'!$K$2:$K$501,A13)</f>
        <v>30</v>
      </c>
    </row>
    <row r="14" spans="1:2">
      <c r="A14" s="21">
        <v>18</v>
      </c>
      <c r="B14" s="21">
        <f>COUNTIF('A4'!$K$2:$K$501,A14)</f>
        <v>34</v>
      </c>
    </row>
    <row r="15" spans="1:2">
      <c r="A15" s="21">
        <v>21</v>
      </c>
      <c r="B15" s="21">
        <f>COUNTIF('A4'!$K$2:$K$501,A15)</f>
        <v>26</v>
      </c>
    </row>
    <row r="16" spans="1:2">
      <c r="A16" s="21">
        <v>22</v>
      </c>
      <c r="B16" s="21">
        <f>COUNTIF('A4'!$K$2:$K$501,A16)</f>
        <v>34</v>
      </c>
    </row>
    <row r="17" spans="1:2">
      <c r="A17" s="21">
        <v>7</v>
      </c>
      <c r="B17" s="21">
        <f>COUNTIF('A4'!$K$2:$K$501,A17)</f>
        <v>39</v>
      </c>
    </row>
    <row r="18" spans="1:2">
      <c r="A18" s="21">
        <v>17</v>
      </c>
      <c r="B18" s="21">
        <f>COUNTIF('A4'!$K$2:$K$501,A18)</f>
        <v>30</v>
      </c>
    </row>
    <row r="19" spans="1:2">
      <c r="A19" s="19"/>
      <c r="B19"/>
    </row>
    <row r="20" spans="1:2">
      <c r="A20" s="19"/>
      <c r="B20"/>
    </row>
    <row r="21" spans="1:2">
      <c r="A21" s="19"/>
      <c r="B21"/>
    </row>
    <row r="22" spans="1:2">
      <c r="A22" s="19"/>
      <c r="B22"/>
    </row>
    <row r="23" spans="1:2">
      <c r="A23" s="19"/>
      <c r="B23"/>
    </row>
    <row r="24" spans="1:2">
      <c r="A24" s="19"/>
      <c r="B24"/>
    </row>
    <row r="25" spans="1:2">
      <c r="A25" s="19"/>
      <c r="B25"/>
    </row>
    <row r="26" spans="1:2">
      <c r="A26" s="19"/>
      <c r="B26"/>
    </row>
    <row r="27" spans="1:2">
      <c r="A27" s="19"/>
      <c r="B27"/>
    </row>
    <row r="28" spans="1:2">
      <c r="A28" s="19"/>
      <c r="B28"/>
    </row>
    <row r="29" spans="1:2">
      <c r="A29" s="19"/>
      <c r="B29"/>
    </row>
    <row r="30" spans="1:2">
      <c r="A30" s="19"/>
      <c r="B30"/>
    </row>
    <row r="31" spans="1:2">
      <c r="A31" s="19"/>
      <c r="B31"/>
    </row>
    <row r="32" spans="1:2">
      <c r="A32" s="19"/>
      <c r="B32"/>
    </row>
    <row r="33" spans="1:2">
      <c r="A33" s="19"/>
      <c r="B33"/>
    </row>
    <row r="34" spans="1:2">
      <c r="A34" s="19"/>
      <c r="B34"/>
    </row>
    <row r="35" spans="1:2">
      <c r="A35" s="19"/>
      <c r="B35"/>
    </row>
    <row r="36" spans="1:2">
      <c r="A36" s="19"/>
      <c r="B36"/>
    </row>
    <row r="37" spans="1:2">
      <c r="A37" s="19"/>
      <c r="B37"/>
    </row>
    <row r="38" spans="1:2">
      <c r="A38" s="19"/>
      <c r="B38"/>
    </row>
    <row r="39" spans="1:2">
      <c r="A39" s="19"/>
      <c r="B39"/>
    </row>
    <row r="40" spans="1:2">
      <c r="A40" s="19"/>
      <c r="B40"/>
    </row>
    <row r="41" spans="1:2">
      <c r="A41" s="19"/>
      <c r="B41"/>
    </row>
    <row r="42" spans="1:2">
      <c r="A42" s="19"/>
      <c r="B42"/>
    </row>
    <row r="43" spans="1:2">
      <c r="A43" s="19"/>
      <c r="B43"/>
    </row>
    <row r="44" spans="1:2">
      <c r="A44" s="19"/>
      <c r="B44"/>
    </row>
    <row r="45" spans="1:2">
      <c r="A45" s="19"/>
      <c r="B45"/>
    </row>
    <row r="46" spans="1:2">
      <c r="A46" s="19"/>
      <c r="B46"/>
    </row>
    <row r="47" spans="1:2">
      <c r="A47" s="19"/>
      <c r="B47"/>
    </row>
    <row r="48" spans="1:2">
      <c r="A48" s="19"/>
      <c r="B48"/>
    </row>
    <row r="49" spans="1:2">
      <c r="A49" s="19"/>
      <c r="B49"/>
    </row>
    <row r="50" spans="1:2">
      <c r="A50" s="19"/>
      <c r="B50"/>
    </row>
    <row r="51" spans="1:2">
      <c r="A51" s="19"/>
      <c r="B51"/>
    </row>
    <row r="52" spans="1:2">
      <c r="A52" s="19"/>
      <c r="B52"/>
    </row>
    <row r="53" spans="1:2">
      <c r="A53" s="19"/>
      <c r="B53"/>
    </row>
    <row r="54" spans="1:2">
      <c r="A54" s="19"/>
      <c r="B54"/>
    </row>
    <row r="55" spans="1:2">
      <c r="A55" s="19"/>
      <c r="B55"/>
    </row>
    <row r="56" spans="1:2">
      <c r="A56" s="19"/>
      <c r="B56"/>
    </row>
    <row r="57" spans="1:2">
      <c r="A57" s="19"/>
      <c r="B57"/>
    </row>
    <row r="58" spans="1:2">
      <c r="A58" s="19"/>
      <c r="B58"/>
    </row>
    <row r="59" spans="1:2">
      <c r="A59" s="19"/>
      <c r="B59"/>
    </row>
    <row r="60" spans="1:2">
      <c r="A60" s="19"/>
      <c r="B60"/>
    </row>
    <row r="61" spans="1:2">
      <c r="A61" s="19"/>
      <c r="B61"/>
    </row>
    <row r="62" spans="1:2">
      <c r="A62" s="19"/>
      <c r="B62"/>
    </row>
    <row r="63" spans="1:2">
      <c r="A63" s="19"/>
      <c r="B63"/>
    </row>
    <row r="64" spans="1:2">
      <c r="A64" s="19"/>
      <c r="B64"/>
    </row>
    <row r="65" spans="1:2">
      <c r="A65" s="19"/>
      <c r="B65"/>
    </row>
    <row r="66" spans="1:2">
      <c r="A66" s="19"/>
      <c r="B66"/>
    </row>
    <row r="67" spans="1:2">
      <c r="A67" s="19"/>
      <c r="B67"/>
    </row>
    <row r="68" spans="1:2">
      <c r="A68" s="19"/>
      <c r="B68"/>
    </row>
    <row r="69" spans="1:2">
      <c r="A69" s="19"/>
      <c r="B69"/>
    </row>
    <row r="70" spans="1:2">
      <c r="A70" s="19"/>
      <c r="B70"/>
    </row>
    <row r="71" spans="1:2">
      <c r="A71" s="19"/>
      <c r="B71"/>
    </row>
    <row r="72" spans="1:2">
      <c r="A72" s="19"/>
      <c r="B72"/>
    </row>
    <row r="73" spans="1:2">
      <c r="A73" s="19"/>
      <c r="B73"/>
    </row>
    <row r="74" spans="1:2">
      <c r="A74" s="19"/>
      <c r="B74"/>
    </row>
    <row r="75" spans="1:2">
      <c r="A75" s="19"/>
      <c r="B75"/>
    </row>
    <row r="76" spans="1:2">
      <c r="A76" s="19"/>
      <c r="B76"/>
    </row>
    <row r="77" spans="1:2">
      <c r="A77" s="19"/>
      <c r="B77"/>
    </row>
    <row r="78" spans="1:2">
      <c r="A78" s="19"/>
      <c r="B78"/>
    </row>
    <row r="79" spans="1:2">
      <c r="A79" s="19"/>
      <c r="B79"/>
    </row>
    <row r="80" spans="1:2">
      <c r="A80" s="19"/>
      <c r="B80"/>
    </row>
    <row r="81" spans="1:2">
      <c r="A81" s="19"/>
      <c r="B81"/>
    </row>
    <row r="82" spans="1:2">
      <c r="A82" s="19"/>
      <c r="B82"/>
    </row>
    <row r="83" spans="1:2">
      <c r="A83" s="19"/>
      <c r="B83"/>
    </row>
    <row r="84" spans="1:2">
      <c r="A84" s="19"/>
      <c r="B84"/>
    </row>
    <row r="85" spans="1:2">
      <c r="A85" s="19"/>
      <c r="B85"/>
    </row>
    <row r="86" spans="1:2">
      <c r="A86" s="19"/>
      <c r="B86"/>
    </row>
    <row r="87" spans="1:2">
      <c r="A87" s="19"/>
      <c r="B87"/>
    </row>
    <row r="88" spans="1:2">
      <c r="A88" s="19"/>
      <c r="B88"/>
    </row>
    <row r="89" spans="1:2">
      <c r="A89" s="19"/>
      <c r="B89"/>
    </row>
    <row r="90" spans="1:2">
      <c r="A90" s="19"/>
      <c r="B90"/>
    </row>
    <row r="91" spans="1:2">
      <c r="A91" s="19"/>
      <c r="B91"/>
    </row>
    <row r="92" spans="1:2">
      <c r="A92" s="19"/>
      <c r="B92"/>
    </row>
    <row r="93" spans="1:2">
      <c r="A93" s="19"/>
      <c r="B93"/>
    </row>
    <row r="94" spans="1:2">
      <c r="A94" s="19"/>
      <c r="B94"/>
    </row>
    <row r="95" spans="1:2">
      <c r="A95" s="19"/>
      <c r="B95"/>
    </row>
    <row r="96" spans="1:2">
      <c r="A96" s="19"/>
      <c r="B96"/>
    </row>
    <row r="97" spans="1:2">
      <c r="A97" s="19"/>
      <c r="B97"/>
    </row>
    <row r="98" spans="1:2">
      <c r="A98" s="19"/>
      <c r="B98"/>
    </row>
    <row r="99" spans="1:2">
      <c r="A99" s="19"/>
      <c r="B99"/>
    </row>
    <row r="100" spans="1:2">
      <c r="A100" s="19"/>
      <c r="B100"/>
    </row>
    <row r="101" spans="1:2">
      <c r="A101" s="19"/>
      <c r="B101"/>
    </row>
    <row r="102" spans="1:2">
      <c r="A102" s="19"/>
      <c r="B102"/>
    </row>
    <row r="103" spans="1:2">
      <c r="A103" s="19"/>
      <c r="B103"/>
    </row>
    <row r="104" spans="1:2">
      <c r="A104" s="19"/>
      <c r="B104"/>
    </row>
    <row r="105" spans="1:2">
      <c r="A105" s="19"/>
      <c r="B105"/>
    </row>
    <row r="106" spans="1:2">
      <c r="A106" s="19"/>
      <c r="B106"/>
    </row>
    <row r="107" spans="1:2">
      <c r="A107" s="19"/>
      <c r="B107"/>
    </row>
    <row r="108" spans="1:2">
      <c r="A108" s="19"/>
      <c r="B108"/>
    </row>
    <row r="109" spans="1:2">
      <c r="A109" s="19"/>
      <c r="B109"/>
    </row>
    <row r="110" spans="1:2">
      <c r="A110" s="19"/>
      <c r="B110"/>
    </row>
    <row r="111" spans="1:2">
      <c r="A111" s="19"/>
      <c r="B111"/>
    </row>
    <row r="112" spans="1:2">
      <c r="A112" s="19"/>
      <c r="B112"/>
    </row>
    <row r="113" spans="1:2">
      <c r="A113" s="19"/>
      <c r="B113"/>
    </row>
    <row r="114" spans="1:2">
      <c r="A114" s="19"/>
      <c r="B114"/>
    </row>
    <row r="115" spans="1:2">
      <c r="A115" s="19"/>
      <c r="B115"/>
    </row>
    <row r="116" spans="1:2">
      <c r="A116" s="19"/>
      <c r="B116"/>
    </row>
    <row r="117" spans="1:2">
      <c r="A117" s="19"/>
      <c r="B117"/>
    </row>
    <row r="118" spans="1:2">
      <c r="A118" s="19"/>
      <c r="B118"/>
    </row>
    <row r="119" spans="1:2">
      <c r="A119" s="19"/>
      <c r="B119"/>
    </row>
    <row r="120" spans="1:2">
      <c r="A120" s="19"/>
      <c r="B120"/>
    </row>
    <row r="121" spans="1:2">
      <c r="A121" s="19"/>
      <c r="B121"/>
    </row>
    <row r="122" spans="1:2">
      <c r="A122" s="19"/>
      <c r="B122"/>
    </row>
    <row r="123" spans="1:2">
      <c r="A123" s="19"/>
      <c r="B123"/>
    </row>
    <row r="124" spans="1:2">
      <c r="A124" s="19"/>
      <c r="B124"/>
    </row>
    <row r="125" spans="1:2">
      <c r="A125" s="19"/>
      <c r="B125"/>
    </row>
    <row r="126" spans="1:2">
      <c r="A126" s="19"/>
      <c r="B126"/>
    </row>
    <row r="127" spans="1:2">
      <c r="A127" s="19"/>
      <c r="B127"/>
    </row>
    <row r="128" spans="1:2">
      <c r="A128" s="19"/>
      <c r="B128"/>
    </row>
    <row r="129" spans="1:2">
      <c r="A129" s="19"/>
      <c r="B129"/>
    </row>
    <row r="130" spans="1:2">
      <c r="A130" s="19"/>
      <c r="B130"/>
    </row>
    <row r="131" spans="1:2">
      <c r="A131" s="19"/>
      <c r="B131"/>
    </row>
    <row r="132" spans="1:2">
      <c r="A132" s="19"/>
      <c r="B132"/>
    </row>
    <row r="133" spans="1:2">
      <c r="A133" s="19"/>
      <c r="B133"/>
    </row>
    <row r="134" spans="1:2">
      <c r="A134" s="19"/>
      <c r="B134"/>
    </row>
    <row r="135" spans="1:2">
      <c r="A135" s="19"/>
      <c r="B135"/>
    </row>
    <row r="136" spans="1:2">
      <c r="A136" s="19"/>
      <c r="B136"/>
    </row>
    <row r="137" spans="1:2">
      <c r="A137" s="19"/>
      <c r="B137"/>
    </row>
    <row r="138" spans="1:2">
      <c r="A138" s="19"/>
      <c r="B138"/>
    </row>
    <row r="139" spans="1:2">
      <c r="A139" s="19"/>
      <c r="B139"/>
    </row>
    <row r="140" spans="1:2">
      <c r="A140" s="19"/>
      <c r="B140"/>
    </row>
    <row r="141" spans="1:2">
      <c r="A141" s="19"/>
      <c r="B141"/>
    </row>
    <row r="142" spans="1:2">
      <c r="A142" s="19"/>
      <c r="B142"/>
    </row>
    <row r="143" spans="1:2">
      <c r="A143" s="19"/>
      <c r="B143"/>
    </row>
    <row r="144" spans="1:2">
      <c r="A144" s="19"/>
      <c r="B144"/>
    </row>
    <row r="145" spans="1:2">
      <c r="A145" s="19"/>
      <c r="B145"/>
    </row>
    <row r="146" spans="1:2">
      <c r="A146" s="19"/>
      <c r="B146"/>
    </row>
    <row r="147" spans="1:2">
      <c r="A147" s="19"/>
      <c r="B147"/>
    </row>
    <row r="148" spans="1:2">
      <c r="A148" s="19"/>
      <c r="B148"/>
    </row>
    <row r="149" spans="1:2">
      <c r="A149" s="19"/>
      <c r="B149"/>
    </row>
    <row r="150" spans="1:2">
      <c r="A150" s="19"/>
      <c r="B150"/>
    </row>
    <row r="151" spans="1:2">
      <c r="A151" s="19"/>
      <c r="B151"/>
    </row>
    <row r="152" spans="1:2">
      <c r="A152" s="19"/>
      <c r="B152"/>
    </row>
    <row r="153" spans="1:2">
      <c r="A153" s="19"/>
      <c r="B153"/>
    </row>
    <row r="154" spans="1:2">
      <c r="A154" s="19"/>
      <c r="B154"/>
    </row>
    <row r="155" spans="1:2">
      <c r="A155" s="19"/>
      <c r="B155"/>
    </row>
    <row r="156" spans="1:2">
      <c r="A156" s="19"/>
      <c r="B156"/>
    </row>
    <row r="157" spans="1:2">
      <c r="A157" s="19"/>
      <c r="B157"/>
    </row>
    <row r="158" spans="1:2">
      <c r="A158" s="19"/>
      <c r="B158"/>
    </row>
    <row r="159" spans="1:2">
      <c r="A159" s="19"/>
      <c r="B159"/>
    </row>
    <row r="160" spans="1:2">
      <c r="A160" s="19"/>
      <c r="B160"/>
    </row>
    <row r="161" spans="1:2">
      <c r="A161" s="19"/>
      <c r="B161"/>
    </row>
    <row r="162" spans="1:2">
      <c r="A162" s="19"/>
      <c r="B162"/>
    </row>
    <row r="163" spans="1:2">
      <c r="A163" s="19"/>
      <c r="B163"/>
    </row>
    <row r="164" spans="1:2">
      <c r="A164" s="19"/>
      <c r="B164"/>
    </row>
    <row r="165" spans="1:2">
      <c r="A165" s="19"/>
      <c r="B165"/>
    </row>
    <row r="166" spans="1:2">
      <c r="A166" s="19"/>
      <c r="B166"/>
    </row>
    <row r="167" spans="1:2">
      <c r="A167" s="19"/>
      <c r="B167"/>
    </row>
    <row r="168" spans="1:2">
      <c r="A168" s="19"/>
      <c r="B168"/>
    </row>
    <row r="169" spans="1:2">
      <c r="A169" s="19"/>
      <c r="B169"/>
    </row>
    <row r="170" spans="1:2">
      <c r="A170" s="19"/>
      <c r="B170"/>
    </row>
    <row r="171" spans="1:2">
      <c r="A171" s="19"/>
      <c r="B171"/>
    </row>
    <row r="172" spans="1:2">
      <c r="A172" s="19"/>
      <c r="B172"/>
    </row>
    <row r="173" spans="1:2">
      <c r="A173" s="19"/>
      <c r="B173"/>
    </row>
    <row r="174" spans="1:2">
      <c r="A174" s="19"/>
      <c r="B174"/>
    </row>
    <row r="175" spans="1:2">
      <c r="A175" s="19"/>
      <c r="B175"/>
    </row>
    <row r="176" spans="1:2">
      <c r="A176" s="19"/>
      <c r="B176"/>
    </row>
    <row r="177" spans="1:2">
      <c r="A177" s="19"/>
      <c r="B177"/>
    </row>
    <row r="178" spans="1:2">
      <c r="A178" s="19"/>
      <c r="B178"/>
    </row>
    <row r="179" spans="1:2">
      <c r="A179" s="19"/>
      <c r="B179"/>
    </row>
    <row r="180" spans="1:2">
      <c r="A180" s="19"/>
      <c r="B180"/>
    </row>
    <row r="181" spans="1:2">
      <c r="A181" s="19"/>
      <c r="B181"/>
    </row>
    <row r="182" spans="1:2">
      <c r="A182" s="19"/>
      <c r="B182"/>
    </row>
    <row r="183" spans="1:2">
      <c r="A183" s="19"/>
      <c r="B183"/>
    </row>
    <row r="184" spans="1:2">
      <c r="A184" s="19"/>
      <c r="B184"/>
    </row>
    <row r="185" spans="1:2">
      <c r="A185" s="19"/>
      <c r="B185"/>
    </row>
    <row r="186" spans="1:2">
      <c r="A186" s="19"/>
      <c r="B186"/>
    </row>
    <row r="187" spans="1:2">
      <c r="A187" s="19"/>
      <c r="B187"/>
    </row>
    <row r="188" spans="1:2">
      <c r="A188" s="19"/>
      <c r="B188"/>
    </row>
    <row r="189" spans="1:2">
      <c r="A189" s="19"/>
      <c r="B189"/>
    </row>
    <row r="190" spans="1:2">
      <c r="A190" s="19"/>
      <c r="B190"/>
    </row>
    <row r="191" spans="1:2">
      <c r="A191" s="19"/>
      <c r="B191"/>
    </row>
    <row r="192" spans="1:2">
      <c r="A192" s="19"/>
      <c r="B192"/>
    </row>
    <row r="193" spans="1:2">
      <c r="A193" s="19"/>
      <c r="B193"/>
    </row>
    <row r="194" spans="1:2">
      <c r="A194" s="19"/>
      <c r="B194"/>
    </row>
    <row r="195" spans="1:2">
      <c r="A195" s="19"/>
      <c r="B195"/>
    </row>
    <row r="196" spans="1:2">
      <c r="A196" s="19"/>
      <c r="B196"/>
    </row>
    <row r="197" spans="1:2">
      <c r="A197" s="19"/>
      <c r="B197"/>
    </row>
    <row r="198" spans="1:2">
      <c r="A198" s="19"/>
      <c r="B198"/>
    </row>
    <row r="199" spans="1:2">
      <c r="A199" s="19"/>
      <c r="B199"/>
    </row>
    <row r="200" spans="1:2">
      <c r="A200" s="19"/>
      <c r="B200"/>
    </row>
    <row r="201" spans="1:2">
      <c r="A201" s="19"/>
      <c r="B201"/>
    </row>
    <row r="202" spans="1:2">
      <c r="A202" s="19"/>
      <c r="B202"/>
    </row>
    <row r="203" spans="1:2">
      <c r="A203" s="19"/>
      <c r="B203"/>
    </row>
    <row r="204" spans="1:2">
      <c r="A204" s="19"/>
      <c r="B204"/>
    </row>
    <row r="205" spans="1:2">
      <c r="A205" s="19"/>
      <c r="B205"/>
    </row>
    <row r="206" spans="1:2">
      <c r="A206" s="19"/>
      <c r="B206"/>
    </row>
    <row r="207" spans="1:2">
      <c r="A207" s="19"/>
      <c r="B207"/>
    </row>
    <row r="208" spans="1:2">
      <c r="A208" s="19"/>
      <c r="B208"/>
    </row>
    <row r="209" spans="1:2">
      <c r="A209" s="19"/>
      <c r="B209"/>
    </row>
    <row r="210" spans="1:2">
      <c r="A210" s="19"/>
      <c r="B210"/>
    </row>
    <row r="211" spans="1:2">
      <c r="A211" s="19"/>
      <c r="B211"/>
    </row>
    <row r="212" spans="1:2">
      <c r="A212" s="19"/>
      <c r="B212"/>
    </row>
    <row r="213" spans="1:2">
      <c r="A213" s="19"/>
      <c r="B213"/>
    </row>
    <row r="214" spans="1:2">
      <c r="A214" s="19"/>
      <c r="B214"/>
    </row>
    <row r="215" spans="1:2">
      <c r="A215" s="19"/>
      <c r="B215"/>
    </row>
    <row r="216" spans="1:2">
      <c r="A216" s="19"/>
      <c r="B216"/>
    </row>
    <row r="217" spans="1:2">
      <c r="A217" s="19"/>
      <c r="B217"/>
    </row>
    <row r="218" spans="1:2">
      <c r="A218" s="19"/>
      <c r="B218"/>
    </row>
    <row r="219" spans="1:2">
      <c r="A219" s="19"/>
      <c r="B219"/>
    </row>
    <row r="220" spans="1:2">
      <c r="A220" s="19"/>
      <c r="B220"/>
    </row>
    <row r="221" spans="1:2">
      <c r="A221" s="19"/>
      <c r="B221"/>
    </row>
    <row r="222" spans="1:2">
      <c r="A222" s="19"/>
      <c r="B222"/>
    </row>
    <row r="223" spans="1:2">
      <c r="A223" s="19"/>
      <c r="B223"/>
    </row>
    <row r="224" spans="1:2">
      <c r="A224" s="19"/>
      <c r="B224"/>
    </row>
    <row r="225" spans="1:2">
      <c r="A225" s="19"/>
      <c r="B225"/>
    </row>
    <row r="226" spans="1:2">
      <c r="A226" s="19"/>
      <c r="B226"/>
    </row>
    <row r="227" spans="1:2">
      <c r="A227" s="19"/>
      <c r="B227"/>
    </row>
    <row r="228" spans="1:2">
      <c r="A228" s="19"/>
      <c r="B228"/>
    </row>
    <row r="229" spans="1:2">
      <c r="A229" s="19"/>
      <c r="B229"/>
    </row>
    <row r="230" spans="1:2">
      <c r="A230" s="19"/>
      <c r="B230"/>
    </row>
    <row r="231" spans="1:2">
      <c r="A231" s="19"/>
      <c r="B231"/>
    </row>
    <row r="232" spans="1:2">
      <c r="A232" s="19"/>
      <c r="B232"/>
    </row>
    <row r="233" spans="1:2">
      <c r="A233" s="19"/>
      <c r="B233"/>
    </row>
    <row r="234" spans="1:2">
      <c r="A234" s="19"/>
      <c r="B234"/>
    </row>
    <row r="235" spans="1:2">
      <c r="A235" s="19"/>
      <c r="B235"/>
    </row>
    <row r="236" spans="1:2">
      <c r="A236" s="19"/>
      <c r="B236"/>
    </row>
    <row r="237" spans="1:2">
      <c r="A237" s="19"/>
      <c r="B237"/>
    </row>
    <row r="238" spans="1:2">
      <c r="A238" s="19"/>
      <c r="B238"/>
    </row>
    <row r="239" spans="1:2">
      <c r="A239" s="19"/>
      <c r="B239"/>
    </row>
    <row r="240" spans="1:2">
      <c r="A240" s="19"/>
      <c r="B240"/>
    </row>
    <row r="241" spans="1:2">
      <c r="A241" s="19"/>
      <c r="B241"/>
    </row>
    <row r="242" spans="1:2">
      <c r="A242" s="19"/>
      <c r="B242"/>
    </row>
    <row r="243" spans="1:2">
      <c r="A243" s="19"/>
      <c r="B243"/>
    </row>
    <row r="244" spans="1:2">
      <c r="A244" s="19"/>
      <c r="B244"/>
    </row>
    <row r="245" spans="1:2">
      <c r="A245" s="19"/>
      <c r="B245"/>
    </row>
    <row r="246" spans="1:2">
      <c r="A246" s="19"/>
      <c r="B246"/>
    </row>
    <row r="247" spans="1:2">
      <c r="A247" s="19"/>
      <c r="B247"/>
    </row>
    <row r="248" spans="1:2">
      <c r="A248" s="19"/>
      <c r="B248"/>
    </row>
    <row r="249" spans="1:2">
      <c r="A249" s="19"/>
      <c r="B249"/>
    </row>
    <row r="250" spans="1:2">
      <c r="A250" s="19"/>
      <c r="B250"/>
    </row>
    <row r="251" spans="1:2">
      <c r="A251" s="19"/>
      <c r="B251"/>
    </row>
    <row r="252" spans="1:2">
      <c r="A252" s="19"/>
      <c r="B252"/>
    </row>
    <row r="253" spans="1:2">
      <c r="A253" s="19"/>
      <c r="B253"/>
    </row>
    <row r="254" spans="1:2">
      <c r="A254" s="19"/>
      <c r="B254"/>
    </row>
    <row r="255" spans="1:2">
      <c r="A255" s="19"/>
      <c r="B255"/>
    </row>
    <row r="256" spans="1:2">
      <c r="A256" s="19"/>
      <c r="B256"/>
    </row>
    <row r="257" spans="1:2">
      <c r="A257" s="19"/>
      <c r="B257"/>
    </row>
    <row r="258" spans="1:2">
      <c r="A258" s="19"/>
      <c r="B258"/>
    </row>
    <row r="259" spans="1:2">
      <c r="A259" s="19"/>
      <c r="B259"/>
    </row>
    <row r="260" spans="1:2">
      <c r="A260" s="19"/>
      <c r="B260"/>
    </row>
    <row r="261" spans="1:2">
      <c r="A261" s="19"/>
      <c r="B261"/>
    </row>
    <row r="262" spans="1:2">
      <c r="A262" s="19"/>
      <c r="B262"/>
    </row>
    <row r="263" spans="1:2">
      <c r="A263" s="19"/>
      <c r="B263"/>
    </row>
    <row r="264" spans="1:2">
      <c r="A264" s="19"/>
      <c r="B264"/>
    </row>
    <row r="265" spans="1:2">
      <c r="A265" s="19"/>
      <c r="B265"/>
    </row>
    <row r="266" spans="1:2">
      <c r="A266" s="19"/>
      <c r="B266"/>
    </row>
    <row r="267" spans="1:2">
      <c r="A267" s="19"/>
      <c r="B267"/>
    </row>
    <row r="268" spans="1:2">
      <c r="A268" s="19"/>
      <c r="B268"/>
    </row>
    <row r="269" spans="1:2">
      <c r="A269" s="19"/>
      <c r="B269"/>
    </row>
    <row r="270" spans="1:2">
      <c r="A270" s="19"/>
      <c r="B270"/>
    </row>
    <row r="271" spans="1:2">
      <c r="A271" s="19"/>
      <c r="B271"/>
    </row>
    <row r="272" spans="1:2">
      <c r="A272" s="19"/>
      <c r="B272"/>
    </row>
    <row r="273" spans="1:2">
      <c r="A273" s="19"/>
      <c r="B273"/>
    </row>
    <row r="274" spans="1:2">
      <c r="A274" s="19"/>
      <c r="B274"/>
    </row>
    <row r="275" spans="1:2">
      <c r="A275" s="19"/>
      <c r="B275"/>
    </row>
    <row r="276" spans="1:2">
      <c r="A276" s="19"/>
      <c r="B276"/>
    </row>
    <row r="277" spans="1:2">
      <c r="A277" s="19"/>
      <c r="B277"/>
    </row>
    <row r="278" spans="1:2">
      <c r="A278" s="19"/>
      <c r="B278"/>
    </row>
    <row r="279" spans="1:2">
      <c r="A279" s="19"/>
      <c r="B279"/>
    </row>
    <row r="280" spans="1:2">
      <c r="A280" s="19"/>
      <c r="B280"/>
    </row>
    <row r="281" spans="1:2">
      <c r="A281" s="19"/>
      <c r="B281"/>
    </row>
    <row r="282" spans="1:2">
      <c r="A282" s="19"/>
      <c r="B282"/>
    </row>
    <row r="283" spans="1:2">
      <c r="A283" s="19"/>
      <c r="B283"/>
    </row>
    <row r="284" spans="1:2">
      <c r="A284" s="19"/>
      <c r="B284"/>
    </row>
    <row r="285" spans="1:2">
      <c r="A285" s="19"/>
      <c r="B285"/>
    </row>
    <row r="286" spans="1:2">
      <c r="A286" s="19"/>
      <c r="B286"/>
    </row>
    <row r="287" spans="1:2">
      <c r="A287" s="19"/>
      <c r="B287"/>
    </row>
    <row r="288" spans="1:2">
      <c r="A288" s="19"/>
      <c r="B288"/>
    </row>
    <row r="289" spans="1:2">
      <c r="A289" s="19"/>
      <c r="B289"/>
    </row>
    <row r="290" spans="1:2">
      <c r="A290" s="19"/>
      <c r="B290"/>
    </row>
    <row r="291" spans="1:2">
      <c r="A291" s="19"/>
      <c r="B291"/>
    </row>
    <row r="292" spans="1:2">
      <c r="A292" s="19"/>
      <c r="B292"/>
    </row>
    <row r="293" spans="1:2">
      <c r="A293" s="19"/>
      <c r="B293"/>
    </row>
    <row r="294" spans="1:2">
      <c r="A294" s="19"/>
      <c r="B294"/>
    </row>
    <row r="295" spans="1:2">
      <c r="A295" s="19"/>
      <c r="B295"/>
    </row>
    <row r="296" spans="1:2">
      <c r="A296" s="19"/>
      <c r="B296"/>
    </row>
    <row r="297" spans="1:2">
      <c r="A297" s="19"/>
      <c r="B297"/>
    </row>
    <row r="298" spans="1:2">
      <c r="A298" s="19"/>
      <c r="B298"/>
    </row>
    <row r="299" spans="1:2">
      <c r="A299" s="19"/>
      <c r="B299"/>
    </row>
    <row r="300" spans="1:2">
      <c r="A300" s="19"/>
      <c r="B300"/>
    </row>
    <row r="301" spans="1:2">
      <c r="A301" s="19"/>
      <c r="B301"/>
    </row>
    <row r="302" spans="1:2">
      <c r="A302" s="19"/>
      <c r="B302"/>
    </row>
    <row r="303" spans="1:2">
      <c r="A303" s="19"/>
      <c r="B303"/>
    </row>
    <row r="304" spans="1:2">
      <c r="A304" s="19"/>
      <c r="B304"/>
    </row>
    <row r="305" spans="1:2">
      <c r="A305" s="19"/>
      <c r="B305"/>
    </row>
    <row r="306" spans="1:2">
      <c r="A306" s="19"/>
      <c r="B306"/>
    </row>
    <row r="307" spans="1:2">
      <c r="A307" s="19"/>
      <c r="B307"/>
    </row>
    <row r="308" spans="1:2">
      <c r="A308" s="19"/>
      <c r="B308"/>
    </row>
    <row r="309" spans="1:2">
      <c r="A309" s="19"/>
      <c r="B309"/>
    </row>
    <row r="310" spans="1:2">
      <c r="A310" s="19"/>
      <c r="B310"/>
    </row>
    <row r="311" spans="1:2">
      <c r="A311" s="19"/>
      <c r="B311"/>
    </row>
    <row r="312" spans="1:2">
      <c r="A312" s="19"/>
      <c r="B312"/>
    </row>
    <row r="313" spans="1:2">
      <c r="A313" s="19"/>
      <c r="B313"/>
    </row>
    <row r="314" spans="1:2">
      <c r="A314" s="19"/>
      <c r="B314"/>
    </row>
    <row r="315" spans="1:2">
      <c r="A315" s="19"/>
      <c r="B315"/>
    </row>
    <row r="316" spans="1:2">
      <c r="A316" s="19"/>
      <c r="B316"/>
    </row>
    <row r="317" spans="1:2">
      <c r="A317" s="19"/>
      <c r="B317"/>
    </row>
    <row r="318" spans="1:2">
      <c r="A318" s="19"/>
      <c r="B318"/>
    </row>
    <row r="319" spans="1:2">
      <c r="A319" s="19"/>
      <c r="B319"/>
    </row>
    <row r="320" spans="1:2">
      <c r="A320" s="19"/>
      <c r="B320"/>
    </row>
    <row r="321" spans="1:2">
      <c r="A321" s="19"/>
      <c r="B321"/>
    </row>
    <row r="322" spans="1:2">
      <c r="A322" s="19"/>
      <c r="B322"/>
    </row>
    <row r="323" spans="1:2">
      <c r="A323" s="19"/>
      <c r="B323"/>
    </row>
    <row r="324" spans="1:2">
      <c r="A324" s="19"/>
      <c r="B324"/>
    </row>
    <row r="325" spans="1:2">
      <c r="A325" s="19"/>
      <c r="B325"/>
    </row>
    <row r="326" spans="1:2">
      <c r="A326" s="19"/>
      <c r="B326"/>
    </row>
    <row r="327" spans="1:2">
      <c r="A327" s="19"/>
      <c r="B327"/>
    </row>
    <row r="328" spans="1:2">
      <c r="A328" s="19"/>
      <c r="B328"/>
    </row>
    <row r="329" spans="1:2">
      <c r="A329" s="19"/>
      <c r="B329"/>
    </row>
    <row r="330" spans="1:2">
      <c r="A330" s="19"/>
      <c r="B330"/>
    </row>
    <row r="331" spans="1:2">
      <c r="A331" s="19"/>
      <c r="B331"/>
    </row>
    <row r="332" spans="1:2">
      <c r="A332" s="19"/>
      <c r="B332"/>
    </row>
    <row r="333" spans="1:2">
      <c r="A333" s="19"/>
      <c r="B333"/>
    </row>
    <row r="334" spans="1:2">
      <c r="A334" s="19"/>
      <c r="B334"/>
    </row>
    <row r="335" spans="1:2">
      <c r="A335" s="19"/>
      <c r="B335"/>
    </row>
    <row r="336" spans="1:2">
      <c r="A336" s="19"/>
      <c r="B336"/>
    </row>
    <row r="337" spans="1:2">
      <c r="A337" s="19"/>
      <c r="B337"/>
    </row>
    <row r="338" spans="1:2">
      <c r="A338" s="19"/>
      <c r="B338"/>
    </row>
    <row r="339" spans="1:2">
      <c r="A339" s="19"/>
      <c r="B339"/>
    </row>
    <row r="340" spans="1:2">
      <c r="A340" s="19"/>
      <c r="B340"/>
    </row>
    <row r="341" spans="1:2">
      <c r="A341" s="19"/>
      <c r="B341"/>
    </row>
    <row r="342" spans="1:2">
      <c r="A342" s="19"/>
      <c r="B342"/>
    </row>
    <row r="343" spans="1:2">
      <c r="A343" s="19"/>
      <c r="B343"/>
    </row>
    <row r="344" spans="1:2">
      <c r="A344" s="19"/>
      <c r="B344"/>
    </row>
    <row r="345" spans="1:2">
      <c r="A345" s="19"/>
      <c r="B345"/>
    </row>
    <row r="346" spans="1:2">
      <c r="A346" s="19"/>
      <c r="B346"/>
    </row>
    <row r="347" spans="1:2">
      <c r="A347" s="19"/>
      <c r="B347"/>
    </row>
    <row r="348" spans="1:2">
      <c r="A348" s="19"/>
      <c r="B348"/>
    </row>
    <row r="349" spans="1:2">
      <c r="A349" s="19"/>
      <c r="B349"/>
    </row>
    <row r="350" spans="1:2">
      <c r="A350" s="19"/>
      <c r="B350"/>
    </row>
    <row r="351" spans="1:2">
      <c r="A351" s="19"/>
      <c r="B351"/>
    </row>
    <row r="352" spans="1:2">
      <c r="A352" s="19"/>
      <c r="B352"/>
    </row>
    <row r="353" spans="1:2">
      <c r="A353" s="19"/>
      <c r="B353"/>
    </row>
    <row r="354" spans="1:2">
      <c r="A354" s="19"/>
      <c r="B354"/>
    </row>
    <row r="355" spans="1:2">
      <c r="A355" s="19"/>
      <c r="B355"/>
    </row>
    <row r="356" spans="1:2">
      <c r="A356" s="19"/>
      <c r="B356"/>
    </row>
    <row r="357" spans="1:2">
      <c r="A357" s="19"/>
      <c r="B357"/>
    </row>
    <row r="358" spans="1:2">
      <c r="A358" s="19"/>
      <c r="B358"/>
    </row>
    <row r="359" spans="1:2">
      <c r="A359" s="19"/>
      <c r="B359"/>
    </row>
    <row r="360" spans="1:2">
      <c r="A360" s="19"/>
      <c r="B360"/>
    </row>
    <row r="361" spans="1:2">
      <c r="A361" s="19"/>
      <c r="B361"/>
    </row>
    <row r="362" spans="1:2">
      <c r="A362" s="19"/>
      <c r="B362"/>
    </row>
    <row r="363" spans="1:2">
      <c r="A363" s="19"/>
      <c r="B363"/>
    </row>
    <row r="364" spans="1:2">
      <c r="A364" s="19"/>
      <c r="B364"/>
    </row>
    <row r="365" spans="1:2">
      <c r="A365" s="19"/>
      <c r="B365"/>
    </row>
    <row r="366" spans="1:2">
      <c r="A366" s="19"/>
      <c r="B366"/>
    </row>
    <row r="367" spans="1:2">
      <c r="A367" s="19"/>
      <c r="B367"/>
    </row>
    <row r="368" spans="1:2">
      <c r="A368" s="19"/>
      <c r="B368"/>
    </row>
    <row r="369" spans="1:2">
      <c r="A369" s="19"/>
      <c r="B369"/>
    </row>
    <row r="370" spans="1:2">
      <c r="A370" s="19"/>
      <c r="B370"/>
    </row>
    <row r="371" spans="1:2">
      <c r="A371" s="19"/>
      <c r="B371"/>
    </row>
    <row r="372" spans="1:2">
      <c r="A372" s="19"/>
      <c r="B372"/>
    </row>
    <row r="373" spans="1:2">
      <c r="A373" s="19"/>
      <c r="B373"/>
    </row>
    <row r="374" spans="1:2">
      <c r="A374" s="19"/>
      <c r="B374"/>
    </row>
    <row r="375" spans="1:2">
      <c r="A375" s="19"/>
      <c r="B375"/>
    </row>
    <row r="376" spans="1:2">
      <c r="A376" s="19"/>
      <c r="B376"/>
    </row>
    <row r="377" spans="1:2">
      <c r="A377" s="19"/>
      <c r="B377"/>
    </row>
    <row r="378" spans="1:2">
      <c r="A378" s="19"/>
      <c r="B378"/>
    </row>
    <row r="379" spans="1:2">
      <c r="A379" s="19"/>
      <c r="B379"/>
    </row>
    <row r="380" spans="1:2">
      <c r="A380" s="19"/>
      <c r="B380"/>
    </row>
    <row r="381" spans="1:2">
      <c r="A381" s="19"/>
      <c r="B381"/>
    </row>
    <row r="382" spans="1:2">
      <c r="A382" s="19"/>
      <c r="B382"/>
    </row>
    <row r="383" spans="1:2">
      <c r="A383" s="19"/>
      <c r="B383"/>
    </row>
    <row r="384" spans="1:2">
      <c r="A384" s="19"/>
      <c r="B384"/>
    </row>
    <row r="385" spans="1:2">
      <c r="A385" s="19"/>
      <c r="B385"/>
    </row>
    <row r="386" spans="1:2">
      <c r="A386" s="19"/>
      <c r="B386"/>
    </row>
    <row r="387" spans="1:2">
      <c r="A387" s="19"/>
      <c r="B387"/>
    </row>
    <row r="388" spans="1:2">
      <c r="A388" s="19"/>
      <c r="B388"/>
    </row>
    <row r="389" spans="1:2">
      <c r="A389" s="19"/>
      <c r="B389"/>
    </row>
    <row r="390" spans="1:2">
      <c r="A390" s="19"/>
      <c r="B390"/>
    </row>
    <row r="391" spans="1:2">
      <c r="A391" s="19"/>
      <c r="B391"/>
    </row>
    <row r="392" spans="1:2">
      <c r="A392" s="19"/>
      <c r="B392"/>
    </row>
    <row r="393" spans="1:2">
      <c r="A393" s="19"/>
      <c r="B393"/>
    </row>
    <row r="394" spans="1:2">
      <c r="A394" s="19"/>
      <c r="B394"/>
    </row>
    <row r="395" spans="1:2">
      <c r="A395" s="19"/>
      <c r="B395"/>
    </row>
    <row r="396" spans="1:2">
      <c r="A396" s="19"/>
      <c r="B396"/>
    </row>
    <row r="397" spans="1:2">
      <c r="A397" s="19"/>
      <c r="B397"/>
    </row>
    <row r="398" spans="1:2">
      <c r="A398" s="19"/>
      <c r="B398"/>
    </row>
    <row r="399" spans="1:2">
      <c r="A399" s="19"/>
      <c r="B399"/>
    </row>
    <row r="400" spans="1:2">
      <c r="A400" s="19"/>
      <c r="B400"/>
    </row>
    <row r="401" spans="1:2">
      <c r="A401" s="19"/>
      <c r="B401"/>
    </row>
    <row r="402" spans="1:2">
      <c r="A402" s="19"/>
      <c r="B402"/>
    </row>
    <row r="403" spans="1:2">
      <c r="A403" s="19"/>
      <c r="B403"/>
    </row>
    <row r="404" spans="1:2">
      <c r="A404" s="19"/>
      <c r="B404"/>
    </row>
    <row r="405" spans="1:2">
      <c r="A405" s="19"/>
      <c r="B405"/>
    </row>
    <row r="406" spans="1:2">
      <c r="A406" s="19"/>
      <c r="B406"/>
    </row>
    <row r="407" spans="1:2">
      <c r="A407" s="19"/>
      <c r="B407"/>
    </row>
    <row r="408" spans="1:2">
      <c r="A408" s="19"/>
      <c r="B408"/>
    </row>
    <row r="409" spans="1:2">
      <c r="A409" s="19"/>
      <c r="B409"/>
    </row>
    <row r="410" spans="1:2">
      <c r="A410" s="19"/>
      <c r="B410"/>
    </row>
    <row r="411" spans="1:2">
      <c r="A411" s="19"/>
      <c r="B411"/>
    </row>
    <row r="412" spans="1:2">
      <c r="A412" s="19"/>
      <c r="B412"/>
    </row>
    <row r="413" spans="1:2">
      <c r="A413" s="19"/>
      <c r="B413"/>
    </row>
    <row r="414" spans="1:2">
      <c r="A414" s="19"/>
      <c r="B414"/>
    </row>
    <row r="415" spans="1:2">
      <c r="A415" s="19"/>
      <c r="B415"/>
    </row>
    <row r="416" spans="1:2">
      <c r="A416" s="19"/>
      <c r="B416"/>
    </row>
    <row r="417" spans="1:2">
      <c r="A417" s="19"/>
      <c r="B417"/>
    </row>
    <row r="418" spans="1:2">
      <c r="A418" s="19"/>
      <c r="B418"/>
    </row>
    <row r="419" spans="1:2">
      <c r="A419" s="19"/>
      <c r="B419"/>
    </row>
    <row r="420" spans="1:2">
      <c r="A420" s="19"/>
      <c r="B420"/>
    </row>
    <row r="421" spans="1:2">
      <c r="A421" s="19"/>
      <c r="B421"/>
    </row>
    <row r="422" spans="1:2">
      <c r="A422" s="19"/>
      <c r="B422"/>
    </row>
    <row r="423" spans="1:2">
      <c r="A423" s="19"/>
      <c r="B423"/>
    </row>
    <row r="424" spans="1:2">
      <c r="A424" s="19"/>
      <c r="B424"/>
    </row>
    <row r="425" spans="1:2">
      <c r="A425" s="19"/>
      <c r="B425"/>
    </row>
    <row r="426" spans="1:2">
      <c r="A426" s="19"/>
      <c r="B426"/>
    </row>
    <row r="427" spans="1:2">
      <c r="A427" s="19"/>
      <c r="B427"/>
    </row>
    <row r="428" spans="1:2">
      <c r="A428" s="19"/>
      <c r="B428"/>
    </row>
    <row r="429" spans="1:2">
      <c r="A429" s="19"/>
      <c r="B429"/>
    </row>
    <row r="430" spans="1:2">
      <c r="A430" s="19"/>
      <c r="B430"/>
    </row>
    <row r="431" spans="1:2">
      <c r="A431" s="19"/>
      <c r="B431"/>
    </row>
    <row r="432" spans="1:2">
      <c r="A432" s="19"/>
      <c r="B432"/>
    </row>
    <row r="433" spans="1:2">
      <c r="A433" s="19"/>
      <c r="B433"/>
    </row>
    <row r="434" spans="1:2">
      <c r="A434" s="19"/>
      <c r="B434"/>
    </row>
    <row r="435" spans="1:2">
      <c r="A435" s="19"/>
      <c r="B435"/>
    </row>
    <row r="436" spans="1:2">
      <c r="A436" s="19"/>
      <c r="B436"/>
    </row>
    <row r="437" spans="1:2">
      <c r="A437" s="19"/>
      <c r="B437"/>
    </row>
    <row r="438" spans="1:2">
      <c r="A438" s="19"/>
      <c r="B438"/>
    </row>
    <row r="439" spans="1:2">
      <c r="A439" s="19"/>
      <c r="B439"/>
    </row>
    <row r="440" spans="1:2">
      <c r="A440" s="19"/>
      <c r="B440"/>
    </row>
    <row r="441" spans="1:2">
      <c r="A441" s="19"/>
      <c r="B441"/>
    </row>
    <row r="442" spans="1:2">
      <c r="A442" s="19"/>
      <c r="B442"/>
    </row>
    <row r="443" spans="1:2">
      <c r="A443" s="19"/>
      <c r="B443"/>
    </row>
    <row r="444" spans="1:2">
      <c r="A444" s="19"/>
      <c r="B444"/>
    </row>
    <row r="445" spans="1:2">
      <c r="A445" s="19"/>
      <c r="B445"/>
    </row>
    <row r="446" spans="1:2">
      <c r="A446" s="19"/>
      <c r="B446"/>
    </row>
    <row r="447" spans="1:2">
      <c r="A447" s="19"/>
      <c r="B447"/>
    </row>
    <row r="448" spans="1:2">
      <c r="A448" s="19"/>
      <c r="B448"/>
    </row>
    <row r="449" spans="1:2">
      <c r="A449" s="19"/>
      <c r="B449"/>
    </row>
    <row r="450" spans="1:2">
      <c r="A450" s="19"/>
      <c r="B450"/>
    </row>
    <row r="451" spans="1:2">
      <c r="A451" s="19"/>
      <c r="B451"/>
    </row>
    <row r="452" spans="1:2">
      <c r="A452" s="19"/>
      <c r="B452"/>
    </row>
    <row r="453" spans="1:2">
      <c r="A453" s="19"/>
      <c r="B453"/>
    </row>
    <row r="454" spans="1:2">
      <c r="A454" s="19"/>
      <c r="B454"/>
    </row>
    <row r="455" spans="1:2">
      <c r="A455" s="19"/>
      <c r="B455"/>
    </row>
    <row r="456" spans="1:2">
      <c r="A456" s="19"/>
      <c r="B456"/>
    </row>
    <row r="457" spans="1:2">
      <c r="A457" s="19"/>
      <c r="B457"/>
    </row>
    <row r="458" spans="1:2">
      <c r="A458" s="19"/>
      <c r="B458"/>
    </row>
    <row r="459" spans="1:2">
      <c r="A459" s="19"/>
      <c r="B459"/>
    </row>
    <row r="460" spans="1:2">
      <c r="A460" s="19"/>
      <c r="B460"/>
    </row>
    <row r="461" spans="1:2">
      <c r="A461" s="19"/>
      <c r="B461"/>
    </row>
    <row r="462" spans="1:2">
      <c r="A462" s="19"/>
      <c r="B462"/>
    </row>
    <row r="463" spans="1:2">
      <c r="A463" s="19"/>
      <c r="B463"/>
    </row>
    <row r="464" spans="1:2">
      <c r="A464" s="19"/>
      <c r="B464"/>
    </row>
    <row r="465" spans="1:2">
      <c r="A465" s="19"/>
      <c r="B465"/>
    </row>
    <row r="466" spans="1:2">
      <c r="A466" s="19"/>
      <c r="B466"/>
    </row>
    <row r="467" spans="1:2">
      <c r="A467" s="19"/>
      <c r="B467"/>
    </row>
    <row r="468" spans="1:2">
      <c r="A468" s="19"/>
      <c r="B468"/>
    </row>
    <row r="469" spans="1:2">
      <c r="A469" s="19"/>
      <c r="B469"/>
    </row>
    <row r="470" spans="1:2">
      <c r="A470" s="19"/>
      <c r="B470"/>
    </row>
    <row r="471" spans="1:2">
      <c r="A471" s="19"/>
      <c r="B471"/>
    </row>
    <row r="472" spans="1:2">
      <c r="A472" s="19"/>
      <c r="B472"/>
    </row>
    <row r="473" spans="1:2">
      <c r="A473" s="19"/>
      <c r="B473"/>
    </row>
    <row r="474" spans="1:2">
      <c r="A474" s="19"/>
      <c r="B474"/>
    </row>
    <row r="475" spans="1:2">
      <c r="A475" s="19"/>
      <c r="B475"/>
    </row>
    <row r="476" spans="1:2">
      <c r="A476" s="19"/>
      <c r="B476"/>
    </row>
    <row r="477" spans="1:2">
      <c r="A477" s="19"/>
      <c r="B477"/>
    </row>
    <row r="478" spans="1:2">
      <c r="A478" s="19"/>
      <c r="B478"/>
    </row>
    <row r="479" spans="1:2">
      <c r="A479" s="19"/>
      <c r="B479"/>
    </row>
    <row r="480" spans="1:2">
      <c r="A480" s="19"/>
      <c r="B480"/>
    </row>
    <row r="481" spans="1:2">
      <c r="A481" s="19"/>
      <c r="B481"/>
    </row>
    <row r="482" spans="1:2">
      <c r="A482" s="19"/>
      <c r="B482"/>
    </row>
    <row r="483" spans="1:2">
      <c r="A483" s="19"/>
      <c r="B483"/>
    </row>
    <row r="484" spans="1:2">
      <c r="A484" s="19"/>
      <c r="B484"/>
    </row>
    <row r="485" spans="1:2">
      <c r="A485" s="19"/>
      <c r="B485"/>
    </row>
    <row r="486" spans="1:2">
      <c r="A486" s="19"/>
      <c r="B486"/>
    </row>
    <row r="487" spans="1:2">
      <c r="A487" s="19"/>
      <c r="B487"/>
    </row>
    <row r="488" spans="1:2">
      <c r="A488" s="19"/>
      <c r="B488"/>
    </row>
    <row r="489" spans="1:2">
      <c r="A489" s="19"/>
      <c r="B489"/>
    </row>
    <row r="490" spans="1:2">
      <c r="A490" s="19"/>
      <c r="B490"/>
    </row>
    <row r="491" spans="1:2">
      <c r="A491" s="19"/>
      <c r="B491"/>
    </row>
    <row r="492" spans="1:2">
      <c r="A492" s="19"/>
      <c r="B492"/>
    </row>
    <row r="493" spans="1:2">
      <c r="A493" s="19"/>
      <c r="B493"/>
    </row>
    <row r="494" spans="1:2">
      <c r="A494" s="19"/>
      <c r="B494"/>
    </row>
    <row r="495" spans="1:2">
      <c r="A495" s="19"/>
      <c r="B495"/>
    </row>
    <row r="496" spans="1:2">
      <c r="A496" s="19"/>
      <c r="B496"/>
    </row>
    <row r="497" spans="1:2">
      <c r="A497" s="19"/>
      <c r="B497"/>
    </row>
    <row r="498" spans="1:2">
      <c r="A498" s="19"/>
      <c r="B498"/>
    </row>
    <row r="499" spans="1:2">
      <c r="A499" s="19"/>
      <c r="B499"/>
    </row>
    <row r="500" spans="1:2">
      <c r="A500" s="19"/>
      <c r="B500"/>
    </row>
    <row r="501" spans="1:2">
      <c r="A501" s="19"/>
      <c r="B501"/>
    </row>
  </sheetData>
  <conditionalFormatting sqref="A1:B18">
    <cfRule type="expression" dxfId="0" priority="1">
      <formula>MOD(ROW(),2)=1</formula>
    </cfRule>
  </conditionalFormatting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D11" sqref="D11"/>
    </sheetView>
  </sheetViews>
  <sheetFormatPr defaultColWidth="8.8" defaultRowHeight="15" outlineLevelCol="4"/>
  <cols>
    <col min="1" max="1" width="13" customWidth="1"/>
    <col min="2" max="2" width="20.8" customWidth="1"/>
    <col min="3" max="3" width="18.2" customWidth="1"/>
    <col min="4" max="4" width="27.4" customWidth="1"/>
    <col min="5" max="5" width="35.7" customWidth="1"/>
  </cols>
  <sheetData>
    <row r="1" ht="16.5" spans="1:5">
      <c r="A1" s="9" t="s">
        <v>44</v>
      </c>
      <c r="B1" s="10" t="s">
        <v>45</v>
      </c>
      <c r="C1" s="10" t="s">
        <v>98</v>
      </c>
      <c r="D1" s="10" t="s">
        <v>99</v>
      </c>
      <c r="E1" s="10" t="s">
        <v>100</v>
      </c>
    </row>
    <row r="2" ht="16.5" spans="1:5">
      <c r="A2" s="11" t="s">
        <v>55</v>
      </c>
      <c r="B2" s="12" t="s">
        <v>56</v>
      </c>
      <c r="C2" s="12">
        <v>18</v>
      </c>
      <c r="D2" s="12" t="s">
        <v>101</v>
      </c>
      <c r="E2" s="12">
        <v>1</v>
      </c>
    </row>
    <row r="3" ht="16.5" spans="1:5">
      <c r="A3" s="13" t="s">
        <v>57</v>
      </c>
      <c r="B3" s="14" t="s">
        <v>58</v>
      </c>
      <c r="C3" s="14">
        <v>17</v>
      </c>
      <c r="D3" s="14" t="s">
        <v>102</v>
      </c>
      <c r="E3" s="14">
        <v>1.2</v>
      </c>
    </row>
    <row r="4" ht="16.5" spans="1:5">
      <c r="A4" s="11" t="s">
        <v>61</v>
      </c>
      <c r="B4" s="12" t="s">
        <v>62</v>
      </c>
      <c r="C4" s="12">
        <v>16</v>
      </c>
      <c r="D4" s="12" t="s">
        <v>103</v>
      </c>
      <c r="E4" s="12">
        <v>0.8</v>
      </c>
    </row>
    <row r="5" ht="16.5" spans="1:5">
      <c r="A5" s="13" t="s">
        <v>65</v>
      </c>
      <c r="B5" s="14" t="s">
        <v>66</v>
      </c>
      <c r="C5" s="14">
        <v>19</v>
      </c>
      <c r="D5" s="14" t="s">
        <v>104</v>
      </c>
      <c r="E5" s="14">
        <v>1</v>
      </c>
    </row>
    <row r="6" ht="16.5" spans="1:5">
      <c r="A6" s="11" t="s">
        <v>67</v>
      </c>
      <c r="B6" s="12" t="s">
        <v>68</v>
      </c>
      <c r="C6" s="12">
        <v>18</v>
      </c>
      <c r="D6" s="15" t="s">
        <v>105</v>
      </c>
      <c r="E6" s="15">
        <v>1.3</v>
      </c>
    </row>
    <row r="7" ht="16.5" spans="1:3">
      <c r="A7" s="13" t="s">
        <v>69</v>
      </c>
      <c r="B7" s="14" t="s">
        <v>70</v>
      </c>
      <c r="C7" s="14">
        <v>17</v>
      </c>
    </row>
    <row r="8" ht="16.5" spans="1:3">
      <c r="A8" s="11" t="s">
        <v>59</v>
      </c>
      <c r="B8" s="12" t="s">
        <v>60</v>
      </c>
      <c r="C8" s="12">
        <v>16</v>
      </c>
    </row>
    <row r="9" ht="16.5" spans="1:3">
      <c r="A9" s="13" t="s">
        <v>73</v>
      </c>
      <c r="B9" s="14" t="s">
        <v>74</v>
      </c>
      <c r="C9" s="14">
        <v>20</v>
      </c>
    </row>
    <row r="10" ht="16.5" spans="1:3">
      <c r="A10" s="11" t="s">
        <v>75</v>
      </c>
      <c r="B10" s="12" t="s">
        <v>76</v>
      </c>
      <c r="C10" s="12">
        <v>18</v>
      </c>
    </row>
    <row r="11" ht="16.5" spans="1:3">
      <c r="A11" s="13" t="s">
        <v>77</v>
      </c>
      <c r="B11" s="14" t="s">
        <v>78</v>
      </c>
      <c r="C11" s="14">
        <v>17</v>
      </c>
    </row>
    <row r="12" ht="16.5" spans="1:3">
      <c r="A12" s="11" t="s">
        <v>53</v>
      </c>
      <c r="B12" s="12" t="s">
        <v>54</v>
      </c>
      <c r="C12" s="12">
        <v>16</v>
      </c>
    </row>
    <row r="13" ht="16.5" spans="1:3">
      <c r="A13" s="13" t="s">
        <v>71</v>
      </c>
      <c r="B13" s="14" t="s">
        <v>72</v>
      </c>
      <c r="C13" s="14">
        <v>15</v>
      </c>
    </row>
    <row r="14" ht="16.5" spans="1:3">
      <c r="A14" s="11" t="s">
        <v>63</v>
      </c>
      <c r="B14" s="12" t="s">
        <v>64</v>
      </c>
      <c r="C14" s="12">
        <v>17</v>
      </c>
    </row>
    <row r="15" ht="16.5" spans="1:3">
      <c r="A15" s="13" t="s">
        <v>79</v>
      </c>
      <c r="B15" s="14" t="s">
        <v>80</v>
      </c>
      <c r="C15" s="14">
        <v>18</v>
      </c>
    </row>
    <row r="16" ht="16.5" spans="1:3">
      <c r="A16" s="16" t="s">
        <v>81</v>
      </c>
      <c r="B16" s="15" t="s">
        <v>82</v>
      </c>
      <c r="C16" s="15">
        <v>16</v>
      </c>
    </row>
    <row r="17" spans="1:1">
      <c r="A17" s="17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F6" sqref="F6"/>
    </sheetView>
  </sheetViews>
  <sheetFormatPr defaultColWidth="8.8" defaultRowHeight="15" outlineLevelCol="3"/>
  <cols>
    <col min="1" max="1" width="11.7" customWidth="1"/>
    <col min="2" max="2" width="16" style="1" customWidth="1"/>
    <col min="3" max="3" width="18.3" style="2" customWidth="1"/>
    <col min="4" max="4" width="5.6" customWidth="1"/>
  </cols>
  <sheetData>
    <row r="1" spans="1:4">
      <c r="A1" s="3" t="s">
        <v>45</v>
      </c>
      <c r="B1" s="4" t="s">
        <v>50</v>
      </c>
      <c r="C1" s="5" t="s">
        <v>51</v>
      </c>
      <c r="D1" s="3" t="s">
        <v>84</v>
      </c>
    </row>
    <row r="2" spans="1:4">
      <c r="A2" s="6" t="s">
        <v>56</v>
      </c>
      <c r="B2" s="7">
        <v>3.48484848484848</v>
      </c>
      <c r="C2" s="8">
        <v>0.787878787878788</v>
      </c>
      <c r="D2" s="6">
        <v>10</v>
      </c>
    </row>
    <row r="3" spans="1:4">
      <c r="A3" s="6" t="s">
        <v>58</v>
      </c>
      <c r="B3" s="7">
        <v>3.13333333333333</v>
      </c>
      <c r="C3" s="8">
        <v>0.633333333333333</v>
      </c>
      <c r="D3" s="6">
        <v>2</v>
      </c>
    </row>
    <row r="4" spans="1:4">
      <c r="A4" s="6" t="s">
        <v>62</v>
      </c>
      <c r="B4" s="7">
        <v>3.52</v>
      </c>
      <c r="C4" s="8">
        <v>0.64</v>
      </c>
      <c r="D4" s="6">
        <v>1</v>
      </c>
    </row>
    <row r="5" spans="1:4">
      <c r="A5" s="6" t="s">
        <v>66</v>
      </c>
      <c r="B5" s="7">
        <v>3.36842105263158</v>
      </c>
      <c r="C5" s="8">
        <v>0.710526315789474</v>
      </c>
      <c r="D5" s="6">
        <v>8</v>
      </c>
    </row>
    <row r="6" spans="1:4">
      <c r="A6" s="6" t="s">
        <v>68</v>
      </c>
      <c r="B6" s="7">
        <v>3.69230769230769</v>
      </c>
      <c r="C6" s="8">
        <v>0.884615384615385</v>
      </c>
      <c r="D6" s="6">
        <v>12</v>
      </c>
    </row>
    <row r="7" spans="1:4">
      <c r="A7" s="6" t="s">
        <v>70</v>
      </c>
      <c r="B7" s="7">
        <v>3.51351351351351</v>
      </c>
      <c r="C7" s="8">
        <v>0.756756756756757</v>
      </c>
      <c r="D7" s="6">
        <v>9</v>
      </c>
    </row>
    <row r="8" spans="1:4">
      <c r="A8" s="6" t="s">
        <v>60</v>
      </c>
      <c r="B8" s="7">
        <v>3.54545454545455</v>
      </c>
      <c r="C8" s="8">
        <v>0.696969696969697</v>
      </c>
      <c r="D8" s="6">
        <v>5</v>
      </c>
    </row>
    <row r="9" spans="1:4">
      <c r="A9" s="6" t="s">
        <v>74</v>
      </c>
      <c r="B9" s="7">
        <v>3.625</v>
      </c>
      <c r="C9" s="8">
        <v>0.8</v>
      </c>
      <c r="D9" s="6">
        <v>13</v>
      </c>
    </row>
    <row r="10" spans="1:4">
      <c r="A10" s="6" t="s">
        <v>76</v>
      </c>
      <c r="B10" s="7">
        <v>3.51351351351351</v>
      </c>
      <c r="C10" s="8">
        <v>0.810810810810811</v>
      </c>
      <c r="D10" s="6">
        <v>11</v>
      </c>
    </row>
    <row r="11" spans="1:4">
      <c r="A11" s="6" t="s">
        <v>78</v>
      </c>
      <c r="B11" s="7">
        <v>3.15625</v>
      </c>
      <c r="C11" s="8">
        <v>0.625</v>
      </c>
      <c r="D11" s="6">
        <v>3</v>
      </c>
    </row>
    <row r="12" spans="1:4">
      <c r="A12" s="6" t="s">
        <v>54</v>
      </c>
      <c r="B12" s="7">
        <v>3.69444444444444</v>
      </c>
      <c r="C12" s="8">
        <v>0.861111111111111</v>
      </c>
      <c r="D12" s="6">
        <v>14</v>
      </c>
    </row>
    <row r="13" spans="1:4">
      <c r="A13" s="6" t="s">
        <v>72</v>
      </c>
      <c r="B13" s="7">
        <v>3.13888888888889</v>
      </c>
      <c r="C13" s="8">
        <v>0.638888888888889</v>
      </c>
      <c r="D13" s="6">
        <v>4</v>
      </c>
    </row>
    <row r="14" spans="1:4">
      <c r="A14" s="6" t="s">
        <v>64</v>
      </c>
      <c r="B14" s="7">
        <v>3.41176470588235</v>
      </c>
      <c r="C14" s="8">
        <v>0.735294117647059</v>
      </c>
      <c r="D14" s="6">
        <v>7</v>
      </c>
    </row>
    <row r="15" spans="1:4">
      <c r="A15" s="6" t="s">
        <v>80</v>
      </c>
      <c r="B15" s="7">
        <v>3.83333333333333</v>
      </c>
      <c r="C15" s="8">
        <v>0.733333333333333</v>
      </c>
      <c r="D15" s="6">
        <v>6</v>
      </c>
    </row>
    <row r="16" spans="1:4">
      <c r="A16" s="6" t="s">
        <v>82</v>
      </c>
      <c r="B16" s="7">
        <v>3.6969696969697</v>
      </c>
      <c r="C16" s="8">
        <v>0.909090909090909</v>
      </c>
      <c r="D16" s="6">
        <v>15</v>
      </c>
    </row>
  </sheetData>
  <conditionalFormatting sqref="B1:B16">
    <cfRule type="cellIs" dxfId="1" priority="2" operator="lessThan">
      <formula>3.5</formula>
    </cfRule>
  </conditionalFormatting>
  <conditionalFormatting sqref="C1:C16">
    <cfRule type="cellIs" dxfId="2" priority="3" operator="lessThan">
      <formula>70%</formula>
      <formula>70</formula>
    </cfRule>
  </conditionalFormatting>
  <conditionalFormatting sqref="D1:D16">
    <cfRule type="top10" dxfId="3" priority="1" bottom="1" rank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A1</vt:lpstr>
      <vt:lpstr>A2</vt:lpstr>
      <vt:lpstr>A3</vt:lpstr>
      <vt:lpstr>A4</vt:lpstr>
      <vt:lpstr>A5</vt:lpstr>
      <vt:lpstr>A6</vt:lpstr>
      <vt:lpstr>A7</vt:lpstr>
      <vt:lpstr>A8</vt:lpstr>
      <vt:lpstr>A9</vt:lpstr>
      <vt:lpstr>A10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idkjustpratham</dc:creator>
  <cp:lastModifiedBy>idkjustpratham</cp:lastModifiedBy>
  <dcterms:created xsi:type="dcterms:W3CDTF">2026-06-30T09:07:07Z</dcterms:created>
  <dcterms:modified xsi:type="dcterms:W3CDTF">2026-06-30T12:56:47Z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