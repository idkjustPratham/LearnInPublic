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Problem Statement" sheetId="1" r:id="rId1"/>
    <sheet name="Employees" sheetId="2" r:id="rId2"/>
    <sheet name="TaxBrackets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</sheets>
  <definedNames>
    <definedName name="SlicerCache_Table_1_Col_9">#N/A</definedName>
    <definedName name="_xlnm._FilterDatabase" localSheetId="7" hidden="1">'5'!$A$1:$D$999</definedName>
    <definedName name="_xlnm._FilterDatabase" localSheetId="10" hidden="1">'8'!$B$1:$B$999</definedName>
    <definedName name="Z_0C770F13_D988_410C_8954_823C0EC7D105_.wvu.FilterData" localSheetId="1" hidden="1">Employees!$A$1:$I$51</definedName>
    <definedName name="solver_opt" localSheetId="11" hidden="1">'9'!$B$4</definedName>
    <definedName name="solver_typ" localSheetId="11" hidden="1">1</definedName>
    <definedName name="solver_val" localSheetId="11" hidden="1">0</definedName>
    <definedName name="solver_adj" localSheetId="11" hidden="1">'9'!$C$2</definedName>
    <definedName name="solver_neg" localSheetId="11" hidden="1">1</definedName>
    <definedName name="solver_num" localSheetId="11" hidden="1">0</definedName>
    <definedName name="solver_lin" localSheetId="11" hidden="1">0</definedName>
    <definedName name="solver_eng" localSheetId="11" hidden="1">1</definedName>
    <definedName name="solver_ver" localSheetId="11" hidden="1">3</definedName>
    <definedName name="_xlnm._FilterDatabase" localSheetId="11" hidden="1">'9'!$A:$F</definedName>
  </definedNames>
  <calcPr calcId="191029"/>
  <customWorkbookViews>
    <customWorkbookView name="Filter 1" guid="{0C770F13-D988-410C-8954-823C0EC7D105}" maximized="1" windowWidth="0" windowHeight="0" activeSheetId="0"/>
  </customWorkbookViews>
  <pivotCaches>
    <pivotCache cacheId="0" r:id="rId13"/>
    <pivotCache cacheId="1" r:id="rId14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15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<sst xmlns="http://schemas.openxmlformats.org/spreadsheetml/2006/main" count="875" uniqueCount="185">
  <si>
    <t>Scenario</t>
  </si>
  <si>
    <t>You're a junior data analyst at a 50-person company. HR has handed you a raw employee export and needs a clean, automated payroll summary report.</t>
  </si>
  <si>
    <t>Dataset to build</t>
  </si>
  <si>
    <t>Sheet: Employees — EmpID, Name, Department, Role, JoinDate, Salary, HoursWorked (weekly avg), Rating (1–5), Region</t>
  </si>
  <si>
    <t>Sheet: TaxBrackets — MinSalary, MaxSalary, TaxRate%</t>
  </si>
  <si>
    <t>50 rows of employee data across 5 departments, 3 regions</t>
  </si>
  <si>
    <t>Tasks</t>
  </si>
  <si>
    <t>Status</t>
  </si>
  <si>
    <t>Use XLOOKUP to pull each employee's tax rate from TaxBrackets and calculate net salary.</t>
  </si>
  <si>
    <t>Done</t>
  </si>
  <si>
    <t>Add a Tenure column using date functions (years since JoinDate).</t>
  </si>
  <si>
    <t>Flag employees as "High Performer", "Needs Review", or "Standard" using IFS based on Rating + Tenure combination.</t>
  </si>
  <si>
    <t>Use COUNTIFS / AVERAGEIFS / SUMIFS to build a Department Summary table: headcount, avg salary, avg rating per dept.</t>
  </si>
  <si>
    <t>Rank employees within their department by salary using RANK with absolute references.</t>
  </si>
  <si>
    <t>Apply conditional formatting: red for Rating &lt; 2, green for Rating ≥ 4, salary heatmap.</t>
  </si>
  <si>
    <t>Build a Pivot Table: avg salary by Department × Region, with a slicer on Region.</t>
  </si>
  <si>
    <t>Create a bar chart of avg salary by department and a sparkline showing salary distribution per dept.</t>
  </si>
  <si>
    <t>Add a What-If Data Table: show total payroll cost if all salaries are raised by 0%, 5%, 10%, 15%.</t>
  </si>
  <si>
    <t>EmpID</t>
  </si>
  <si>
    <t>Name</t>
  </si>
  <si>
    <t>Department</t>
  </si>
  <si>
    <t>Role</t>
  </si>
  <si>
    <t>JoinDate</t>
  </si>
  <si>
    <t>Salary</t>
  </si>
  <si>
    <t>HoursWorked</t>
  </si>
  <si>
    <t>Rating</t>
  </si>
  <si>
    <t>Region</t>
  </si>
  <si>
    <t>EMP1001</t>
  </si>
  <si>
    <t>Saurav Gupta</t>
  </si>
  <si>
    <t>Engineering</t>
  </si>
  <si>
    <t>Junior Dev</t>
  </si>
  <si>
    <t>North</t>
  </si>
  <si>
    <t>EMP1002</t>
  </si>
  <si>
    <t>Rekha Jadhav</t>
  </si>
  <si>
    <t>EMP1003</t>
  </si>
  <si>
    <t>Ayaan Trivedi</t>
  </si>
  <si>
    <t>South</t>
  </si>
  <si>
    <t>EMP1004</t>
  </si>
  <si>
    <t>Rahul Bhat</t>
  </si>
  <si>
    <t>QA Engineer</t>
  </si>
  <si>
    <t>West</t>
  </si>
  <si>
    <t>EMP1005</t>
  </si>
  <si>
    <t>Harsh Mishra</t>
  </si>
  <si>
    <t>EMP1006</t>
  </si>
  <si>
    <t>Simran Verma</t>
  </si>
  <si>
    <t>EMP1007</t>
  </si>
  <si>
    <t>Raj Gupta</t>
  </si>
  <si>
    <t>DevOps Engineer</t>
  </si>
  <si>
    <t>EMP1008</t>
  </si>
  <si>
    <t>Akash Iyer</t>
  </si>
  <si>
    <t>EMP1009</t>
  </si>
  <si>
    <t>Rahul Verma</t>
  </si>
  <si>
    <t>EMP1010</t>
  </si>
  <si>
    <t>Nisha Bose</t>
  </si>
  <si>
    <t>EMP1011</t>
  </si>
  <si>
    <t>Siddharth Saxena</t>
  </si>
  <si>
    <t>Sales</t>
  </si>
  <si>
    <t>Account Manager</t>
  </si>
  <si>
    <t>EMP1012</t>
  </si>
  <si>
    <t>Gaurav Bhatnagar</t>
  </si>
  <si>
    <t>EMP1013</t>
  </si>
  <si>
    <t>Rohan Sinha</t>
  </si>
  <si>
    <t>BDR</t>
  </si>
  <si>
    <t>EMP1014</t>
  </si>
  <si>
    <t>Kunal Bose</t>
  </si>
  <si>
    <t>EMP1015</t>
  </si>
  <si>
    <t>Heena Bhatnagar</t>
  </si>
  <si>
    <t>Sales Lead</t>
  </si>
  <si>
    <t>EMP1016</t>
  </si>
  <si>
    <t>Rahul Shah</t>
  </si>
  <si>
    <t>EMP1017</t>
  </si>
  <si>
    <t>Siddharth Gaikwad</t>
  </si>
  <si>
    <t>EMP1018</t>
  </si>
  <si>
    <t>Leena Ghosh</t>
  </si>
  <si>
    <t>Sales Rep</t>
  </si>
  <si>
    <t>EMP1019</t>
  </si>
  <si>
    <t>Jyoti Jain</t>
  </si>
  <si>
    <t>EMP1020</t>
  </si>
  <si>
    <t>Nitin Ghosh</t>
  </si>
  <si>
    <t>EMP1021</t>
  </si>
  <si>
    <t>Nikhil Reddy</t>
  </si>
  <si>
    <t>Marketing</t>
  </si>
  <si>
    <t>Brand Manager</t>
  </si>
  <si>
    <t>EMP1022</t>
  </si>
  <si>
    <t>Aarav Trivedi</t>
  </si>
  <si>
    <t>EMP1023</t>
  </si>
  <si>
    <t>Sneha Singh</t>
  </si>
  <si>
    <t>SEO Analyst</t>
  </si>
  <si>
    <t>EMP1024</t>
  </si>
  <si>
    <t>Alok Saxena</t>
  </si>
  <si>
    <t>EMP1025</t>
  </si>
  <si>
    <t>Leena Trivedi</t>
  </si>
  <si>
    <t>Campaign Manager</t>
  </si>
  <si>
    <t>EMP1026</t>
  </si>
  <si>
    <t>Tanya Dubey</t>
  </si>
  <si>
    <t>EMP1027</t>
  </si>
  <si>
    <t>Ishaan Patel</t>
  </si>
  <si>
    <t>EMP1028</t>
  </si>
  <si>
    <t>Rahul Kumar</t>
  </si>
  <si>
    <t>Content Writer</t>
  </si>
  <si>
    <t>EMP1029</t>
  </si>
  <si>
    <t>Pooja Saxena</t>
  </si>
  <si>
    <t>EMP1030</t>
  </si>
  <si>
    <t>Ananya Iyer</t>
  </si>
  <si>
    <t>EMP1031</t>
  </si>
  <si>
    <t>Nitin Singh</t>
  </si>
  <si>
    <t>Operations</t>
  </si>
  <si>
    <t>Ops Analyst</t>
  </si>
  <si>
    <t>EMP1032</t>
  </si>
  <si>
    <t>Sneha Iyer</t>
  </si>
  <si>
    <t>Logistics Coord</t>
  </si>
  <si>
    <t>EMP1033</t>
  </si>
  <si>
    <t>Sneha Kumar</t>
  </si>
  <si>
    <t>Process Lead</t>
  </si>
  <si>
    <t>EMP1034</t>
  </si>
  <si>
    <t>Aarav Joshi</t>
  </si>
  <si>
    <t>EMP1035</t>
  </si>
  <si>
    <t>Neha Nair</t>
  </si>
  <si>
    <t>EMP1036</t>
  </si>
  <si>
    <t>Dev Agarwal</t>
  </si>
  <si>
    <t>EMP1037</t>
  </si>
  <si>
    <t>Heena Saxena</t>
  </si>
  <si>
    <t>EMP1038</t>
  </si>
  <si>
    <t>Leena Nair</t>
  </si>
  <si>
    <t>EMP1039</t>
  </si>
  <si>
    <t>Rekha Roy</t>
  </si>
  <si>
    <t>EMP1040</t>
  </si>
  <si>
    <t>Anjali Shukla</t>
  </si>
  <si>
    <t>Supply Chain Mgr</t>
  </si>
  <si>
    <t>EMP1041</t>
  </si>
  <si>
    <t>Varun Shah</t>
  </si>
  <si>
    <t>HR</t>
  </si>
  <si>
    <t>HR Manager</t>
  </si>
  <si>
    <t>EMP1042</t>
  </si>
  <si>
    <t>Manav Wagh</t>
  </si>
  <si>
    <t>HR Coordinator</t>
  </si>
  <si>
    <t>EMP1043</t>
  </si>
  <si>
    <t>Vikram Roy</t>
  </si>
  <si>
    <t>EMP1044</t>
  </si>
  <si>
    <t>Deepa Jain</t>
  </si>
  <si>
    <t>EMP1045</t>
  </si>
  <si>
    <t>Amit Gupta</t>
  </si>
  <si>
    <t>EMP1046</t>
  </si>
  <si>
    <t>Smita Mishra</t>
  </si>
  <si>
    <t>Recruiter</t>
  </si>
  <si>
    <t>EMP1047</t>
  </si>
  <si>
    <t>Anjali Kulkarni</t>
  </si>
  <si>
    <t>L&amp;D Specialist</t>
  </si>
  <si>
    <t>EMP1048</t>
  </si>
  <si>
    <t>Saurav Ghosh</t>
  </si>
  <si>
    <t>EMP1049</t>
  </si>
  <si>
    <t>Meera Kumar</t>
  </si>
  <si>
    <t>EMP1050</t>
  </si>
  <si>
    <t>Harsh Shah</t>
  </si>
  <si>
    <t>MinSalary</t>
  </si>
  <si>
    <t>MaxSalary</t>
  </si>
  <si>
    <t>TaxRate%</t>
  </si>
  <si>
    <t>Emp Name</t>
  </si>
  <si>
    <t>Tax Bracket (%)</t>
  </si>
  <si>
    <t>Net Salary</t>
  </si>
  <si>
    <t>Tenure [In Years]</t>
  </si>
  <si>
    <t>Tenure</t>
  </si>
  <si>
    <t>Flag</t>
  </si>
  <si>
    <t>Department Summary Table</t>
  </si>
  <si>
    <t>Departments</t>
  </si>
  <si>
    <t>Headcount</t>
  </si>
  <si>
    <t>Avg Salary</t>
  </si>
  <si>
    <t>Avg Rating</t>
  </si>
  <si>
    <t>Rank (Based on salary)</t>
  </si>
  <si>
    <t>Rating &lt; 2 = Red, &gt; 4 = Green, 2 - 4 Blue</t>
  </si>
  <si>
    <t>AVERAGE of Salary</t>
  </si>
  <si>
    <t>Engineering Total</t>
  </si>
  <si>
    <t>HR Total</t>
  </si>
  <si>
    <t>Marketing Total</t>
  </si>
  <si>
    <t>Operations Total</t>
  </si>
  <si>
    <t>Sales Total</t>
  </si>
  <si>
    <t>Grand Total</t>
  </si>
  <si>
    <t>Sparkline</t>
  </si>
  <si>
    <t>Raise (0%)</t>
  </si>
  <si>
    <t>Raise (5%)</t>
  </si>
  <si>
    <t>Raise (10%)</t>
  </si>
  <si>
    <t>Raise (15%)</t>
  </si>
  <si>
    <t xml:space="preserve">Raise </t>
  </si>
  <si>
    <t>Total Slary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</si>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</sst>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yyyy\-mm\-dd"/>
  </numFmts>
  <fonts count="40">
    <font>
      <sz val="10"/>
      <color rgb="FF000000"/>
      <name val="Arial"/>
      <charset val="134"/>
      <scheme val="minor"/>
    </font>
    <font>
      <b/>
      <sz val="11"/>
      <color theme="1"/>
      <name val="Microsoft YaHei"/>
      <charset val="134"/>
    </font>
    <font>
      <sz val="10"/>
      <color rgb="FFFAF9F5"/>
      <name val="&quot;Anthropic Sans&quot;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sz val="12"/>
      <color rgb="FF000000"/>
      <name val="Microsoft Yahei"/>
      <charset val="134"/>
    </font>
    <font>
      <b/>
      <sz val="12"/>
      <color theme="1"/>
      <name val="Microsoft Yahei"/>
      <charset val="134"/>
    </font>
    <font>
      <sz val="12"/>
      <color theme="1"/>
      <name val="Microsoft Yahei"/>
      <charset val="134"/>
    </font>
    <font>
      <b/>
      <sz val="12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Arial"/>
      <charset val="134"/>
      <scheme val="minor"/>
    </font>
    <font>
      <b/>
      <sz val="10"/>
      <color rgb="FF000000"/>
      <name val="Microsoft Yahei"/>
      <charset val="134"/>
    </font>
    <font>
      <sz val="10"/>
      <name val="Microsoft Yahei"/>
      <charset val="134"/>
    </font>
    <font>
      <sz val="10"/>
      <color theme="1"/>
      <name val="Arial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2"/>
      <name val="Microsoft Yahei"/>
      <charset val="134"/>
    </font>
    <font>
      <sz val="12"/>
      <name val="Microsoft Yahe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302E"/>
        <bgColor rgb="FF30302E"/>
      </patternFill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0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1" fillId="6" borderId="20" applyNumberFormat="0" applyAlignment="0" applyProtection="0">
      <alignment vertical="center"/>
    </xf>
    <xf numFmtId="0" fontId="32" fillId="7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6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" fillId="2" borderId="0" xfId="0" applyFont="1" applyFill="1" applyAlignment="1"/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0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" fontId="12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3" fontId="7" fillId="0" borderId="1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178" fontId="12" fillId="0" borderId="0" xfId="0" applyNumberFormat="1" applyFont="1"/>
    <xf numFmtId="178" fontId="7" fillId="0" borderId="1" xfId="0" applyNumberFormat="1" applyFont="1" applyFill="1" applyBorder="1" applyAlignment="1">
      <alignment horizontal="center" vertical="center"/>
    </xf>
    <xf numFmtId="178" fontId="15" fillId="0" borderId="0" xfId="0" applyNumberFormat="1" applyFont="1" applyAlignment="1"/>
    <xf numFmtId="3" fontId="15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0" fontId="16" fillId="0" borderId="16" xfId="0" applyFont="1" applyBorder="1" applyAlignment="1">
      <alignment horizontal="center" vertical="center" wrapText="1"/>
    </xf>
    <xf numFmtId="2" fontId="16" fillId="0" borderId="16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2" fontId="17" fillId="0" borderId="16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6">
    <dxf>
      <font>
        <name val="Microsoft Yahei"/>
        <scheme val="none"/>
      </font>
    </dxf>
    <dxf>
      <alignment vertic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sz val="11"/>
      </font>
    </dxf>
    <dxf>
      <font>
        <sz val="12"/>
      </font>
    </dxf>
    <dxf>
      <font>
        <sz val="11"/>
      </font>
    </dxf>
    <dxf>
      <font>
        <sz val="11"/>
      </font>
    </dxf>
    <dxf>
      <font>
        <name val="Microsoft Yahei"/>
        <scheme val="none"/>
      </font>
    </dxf>
    <dxf>
      <alignment horizontal="center"/>
    </dxf>
    <dxf>
      <alignment vertical="center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 wrapText="1"/>
    </dxf>
    <dxf>
      <fill>
        <patternFill patternType="solid">
          <bgColor theme="4" tint="0.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firstColumnStripe" dxfId="42"/>
    </tableStyle>
    <tableStyle name="tablestyleA27_6c9784" count="7" xr9:uid="{604C05A2-CD15-4965-9CAA-D613ED25521C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secondRowStripe" dxfId="50"/>
      <tableStyleElement type="firstColumnStripe" dxfId="49"/>
    </tableStyle>
    <tableStyle name="PivotStylePreset2_Accent1" table="0" count="10" xr9:uid="{267968C8-6FFD-4C36-ACC1-9EA1FD1885CA}">
      <tableStyleElement type="headerRow" dxfId="65"/>
      <tableStyleElement type="totalRow" dxfId="64"/>
      <tableStyleElement type="firstRowStripe" dxfId="63"/>
      <tableStyleElement type="firstColumnStripe" dxfId="62"/>
      <tableStyleElement type="firstSubtotalRow" dxfId="61"/>
      <tableStyleElement type="secondSubtotalRow" dxfId="60"/>
      <tableStyleElement type="firstRowSubheading" dxfId="59"/>
      <tableStyleElement type="secondRowSubheading" dxfId="58"/>
      <tableStyleElement type="pageFieldLabels" dxfId="57"/>
      <tableStyleElement type="pageFieldValues" dxfId="5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'8'!$F$2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'8'!$E$3:$E$8</c:f>
              <c:strCache>
                <c:ptCount val="6"/>
                <c:pt idx="0">
                  <c:v>Engineering</c:v>
                </c:pt>
                <c:pt idx="1">
                  <c:v>HR</c:v>
                </c:pt>
                <c:pt idx="2">
                  <c:v>Marketing</c:v>
                </c:pt>
                <c:pt idx="3">
                  <c:v>Operations</c:v>
                </c:pt>
                <c:pt idx="4">
                  <c:v>Sales</c:v>
                </c:pt>
                <c:pt idx="5">
                  <c:v>Grand Total</c:v>
                </c:pt>
              </c:strCache>
            </c:strRef>
          </c:cat>
          <c:val>
            <c:numRef>
              <c:f>'8'!$F$3:$F$8</c:f>
              <c:numCache>
                <c:formatCode>General</c:formatCode>
                <c:ptCount val="6"/>
                <c:pt idx="0">
                  <c:v>99000</c:v>
                </c:pt>
                <c:pt idx="1">
                  <c:v>71200</c:v>
                </c:pt>
                <c:pt idx="2">
                  <c:v>64800</c:v>
                </c:pt>
                <c:pt idx="3">
                  <c:v>63200</c:v>
                </c:pt>
                <c:pt idx="4">
                  <c:v>60800</c:v>
                </c:pt>
                <c:pt idx="5">
                  <c:v>71800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173536"/>
        <c:axId val="1030216613"/>
      </c:barChart>
      <c:catAx>
        <c:axId val="1226173536"/>
        <c:scaling>
          <c:orientation val="maxMin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30216613"/>
        <c:crosses val="autoZero"/>
        <c:auto val="1"/>
        <c:lblAlgn val="ctr"/>
        <c:lblOffset val="100"/>
        <c:noMultiLvlLbl val="0"/>
      </c:catAx>
      <c:valAx>
        <c:axId val="103021661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26173536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84bee4-281f-48be-b816-63f3b2b247e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161925</xdr:colOff>
      <xdr:row>1</xdr:row>
      <xdr:rowOff>66675</xdr:rowOff>
    </xdr:from>
    <xdr:ext cx="2857500" cy="2857500"/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Region_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_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9075" y="266700"/>
              <a:ext cx="28575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161925</xdr:colOff>
      <xdr:row>8</xdr:row>
      <xdr:rowOff>171450</xdr:rowOff>
    </xdr:from>
    <xdr:ext cx="5715000" cy="3533775"/>
    <xdr:graphicFrame>
      <xdr:nvGraphicFramePr>
        <xdr:cNvPr id="2" name="Chart 1" title="Chart"/>
        <xdr:cNvGraphicFramePr/>
      </xdr:nvGraphicFramePr>
      <xdr:xfrm>
        <a:off x="3476625" y="17716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196.577025463" refreshedBy="Pratham" recordCount="50">
  <cacheSource type="worksheet">
    <worksheetSource ref="A1:I51" sheet="Employees"/>
  </cacheSource>
  <cacheFields count="9">
    <cacheField name="EmpID" numFmtId="0">
      <sharedItems count="5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</sharedItems>
    </cacheField>
    <cacheField name="Name" numFmtId="0">
      <sharedItems count="50">
        <s v="Saurav Gupta"/>
        <s v="Rekha Jadhav"/>
        <s v="Ayaan Trivedi"/>
        <s v="Rahul Bhat"/>
        <s v="Harsh Mishra"/>
        <s v="Simran Verma"/>
        <s v="Raj Gupta"/>
        <s v="Akash Iyer"/>
        <s v="Rahul Verma"/>
        <s v="Nisha Bose"/>
        <s v="Siddharth Saxena"/>
        <s v="Gaurav Bhatnagar"/>
        <s v="Rohan Sinha"/>
        <s v="Kunal Bose"/>
        <s v="Heena Bhatnagar"/>
        <s v="Rahul Shah"/>
        <s v="Siddharth Gaikwad"/>
        <s v="Leena Ghosh"/>
        <s v="Jyoti Jain"/>
        <s v="Nitin Ghosh"/>
        <s v="Nikhil Reddy"/>
        <s v="Aarav Trivedi"/>
        <s v="Sneha Singh"/>
        <s v="Alok Saxena"/>
        <s v="Leena Trivedi"/>
        <s v="Tanya Dubey"/>
        <s v="Ishaan Patel"/>
        <s v="Rahul Kumar"/>
        <s v="Pooja Saxena"/>
        <s v="Ananya Iyer"/>
        <s v="Nitin Singh"/>
        <s v="Sneha Iyer"/>
        <s v="Sneha Kumar"/>
        <s v="Aarav Joshi"/>
        <s v="Neha Nair"/>
        <s v="Dev Agarwal"/>
        <s v="Heena Saxena"/>
        <s v="Leena Nair"/>
        <s v="Rekha Roy"/>
        <s v="Anjali Shukla"/>
        <s v="Varun Shah"/>
        <s v="Manav Wagh"/>
        <s v="Vikram Roy"/>
        <s v="Deepa Jain"/>
        <s v="Amit Gupta"/>
        <s v="Smita Mishra"/>
        <s v="Anjali Kulkarni"/>
        <s v="Saurav Ghosh"/>
        <s v="Meera Kumar"/>
        <s v="Harsh Shah"/>
      </sharedItems>
    </cacheField>
    <cacheField name="Department" numFmtId="0">
      <sharedItems count="5">
        <s v="Engineering"/>
        <s v="Sales"/>
        <s v="Marketing"/>
        <s v="Operations"/>
        <s v="HR"/>
      </sharedItems>
    </cacheField>
    <cacheField name="Role" numFmtId="0">
      <sharedItems count="19">
        <s v="Junior Dev"/>
        <s v="QA Engineer"/>
        <s v="DevOps Engineer"/>
        <s v="Account Manager"/>
        <s v="BDR"/>
        <s v="Sales Lead"/>
        <s v="Sales Rep"/>
        <s v="Brand Manager"/>
        <s v="SEO Analyst"/>
        <s v="Campaign Manager"/>
        <s v="Content Writer"/>
        <s v="Ops Analyst"/>
        <s v="Logistics Coord"/>
        <s v="Process Lead"/>
        <s v="Supply Chain Mgr"/>
        <s v="HR Manager"/>
        <s v="HR Coordinator"/>
        <s v="Recruiter"/>
        <s v="L&amp;D Specialist"/>
      </sharedItems>
    </cacheField>
    <cacheField name="JoinDate" numFmtId="179">
      <sharedItems containsSemiMixedTypes="0" containsString="0" containsNonDate="0" containsDate="1" minDate="2016-08-22T00:00:00" maxDate="2025-12-02T00:00:00" count="50">
        <d v="2017-08-17T00:00:00"/>
        <d v="2019-04-28T00:00:00"/>
        <d v="2019-08-26T00:00:00"/>
        <d v="2016-11-12T00:00:00"/>
        <d v="2024-03-14T00:00:00"/>
        <d v="2022-02-01T00:00:00"/>
        <d v="2025-01-22T00:00:00"/>
        <d v="2025-06-06T00:00:00"/>
        <d v="2022-10-29T00:00:00"/>
        <d v="2018-01-27T00:00:00"/>
        <d v="2024-02-10T00:00:00"/>
        <d v="2018-04-07T00:00:00"/>
        <d v="2022-12-10T00:00:00"/>
        <d v="2021-07-04T00:00:00"/>
        <d v="2017-07-26T00:00:00"/>
        <d v="2024-12-03T00:00:00"/>
        <d v="2019-04-04T00:00:00"/>
        <d v="2018-04-25T00:00:00"/>
        <d v="2024-09-10T00:00:00"/>
        <d v="2020-04-01T00:00:00"/>
        <d v="2017-05-23T00:00:00"/>
        <d v="2020-06-18T00:00:00"/>
        <d v="2019-08-01T00:00:00"/>
        <d v="2024-07-03T00:00:00"/>
        <d v="2023-07-27T00:00:00"/>
        <d v="2021-01-11T00:00:00"/>
        <d v="2019-05-06T00:00:00"/>
        <d v="2022-03-28T00:00:00"/>
        <d v="2017-10-31T00:00:00"/>
        <d v="2024-11-08T00:00:00"/>
        <d v="2025-04-06T00:00:00"/>
        <d v="2019-12-06T00:00:00"/>
        <d v="2016-11-18T00:00:00"/>
        <d v="2024-01-29T00:00:00"/>
        <d v="2025-12-02T00:00:00"/>
        <d v="2024-03-16T00:00:00"/>
        <d v="2017-07-22T00:00:00"/>
        <d v="2020-03-31T00:00:00"/>
        <d v="2024-08-06T00:00:00"/>
        <d v="2023-01-07T00:00:00"/>
        <d v="2020-10-25T00:00:00"/>
        <d v="2025-02-13T00:00:00"/>
        <d v="2022-09-30T00:00:00"/>
        <d v="2018-06-15T00:00:00"/>
        <d v="2017-08-14T00:00:00"/>
        <d v="2018-03-27T00:00:00"/>
        <d v="2016-08-22T00:00:00"/>
        <d v="2017-08-18T00:00:00"/>
        <d v="2019-10-29T00:00:00"/>
        <d v="2022-06-27T00:00:00"/>
      </sharedItems>
    </cacheField>
    <cacheField name="Salary" numFmtId="0">
      <sharedItems containsSemiMixedTypes="0" containsString="0" containsNumber="1" containsInteger="1" minValue="40000" maxValue="126000" count="35">
        <n v="83000"/>
        <n v="93000"/>
        <n v="78000"/>
        <n v="122000"/>
        <n v="79000"/>
        <n v="105000"/>
        <n v="101000"/>
        <n v="108000"/>
        <n v="95000"/>
        <n v="126000"/>
        <n v="75000"/>
        <n v="66000"/>
        <n v="49000"/>
        <n v="87000"/>
        <n v="92000"/>
        <n v="64000"/>
        <n v="52000"/>
        <n v="53000"/>
        <n v="43000"/>
        <n v="47000"/>
        <n v="85000"/>
        <n v="77000"/>
        <n v="76000"/>
        <n v="56000"/>
        <n v="69000"/>
        <n v="67000"/>
        <n v="61000"/>
        <n v="45000"/>
        <n v="59000"/>
        <n v="73000"/>
        <n v="48000"/>
        <n v="74000"/>
        <n v="55000"/>
        <n v="40000"/>
        <n v="62000"/>
      </sharedItems>
    </cacheField>
    <cacheField name="HoursWorked" numFmtId="0">
      <sharedItems containsSemiMixedTypes="0" containsString="0" containsNumber="1" minValue="32.1" maxValue="49.2" count="43">
        <n v="36.4"/>
        <n v="32.6"/>
        <n v="44.9"/>
        <n v="32.1"/>
        <n v="49.2"/>
        <n v="36.8"/>
        <n v="37.3"/>
        <n v="36.1"/>
        <n v="43.4"/>
        <n v="44.3"/>
        <n v="38.8"/>
        <n v="47.2"/>
        <n v="35.8"/>
        <n v="40.3"/>
        <n v="39.7"/>
        <n v="32.8"/>
        <n v="38.9"/>
        <n v="34.1"/>
        <n v="39.8"/>
        <n v="47.7"/>
        <n v="41.7"/>
        <n v="34"/>
        <n v="33.5"/>
        <n v="40.6"/>
        <n v="45.6"/>
        <n v="40.1"/>
        <n v="41.3"/>
        <n v="42.4"/>
        <n v="45.1"/>
        <n v="34.5"/>
        <n v="33.8"/>
        <n v="40.7"/>
        <n v="33"/>
        <n v="47.3"/>
        <n v="44.1"/>
        <n v="48.7"/>
        <n v="39.9"/>
        <n v="37.4"/>
        <n v="34.8"/>
        <n v="41.1"/>
        <n v="41.9"/>
        <n v="47"/>
        <n v="48.2"/>
      </sharedItems>
    </cacheField>
    <cacheField name="Rating" numFmtId="0">
      <sharedItems containsSemiMixedTypes="0" containsString="0" containsNumber="1" minValue="1.7" maxValue="5" count="27">
        <n v="2"/>
        <n v="1.8"/>
        <n v="4"/>
        <n v="4.3"/>
        <n v="2.7"/>
        <n v="1.7"/>
        <n v="3.7"/>
        <n v="2.5"/>
        <n v="2.8"/>
        <n v="5"/>
        <n v="4.2"/>
        <n v="4.8"/>
        <n v="2.4"/>
        <n v="3.5"/>
        <n v="1.9"/>
        <n v="3.6"/>
        <n v="4.6"/>
        <n v="3.1"/>
        <n v="3.2"/>
        <n v="3.4"/>
        <n v="3.9"/>
        <n v="3"/>
        <n v="2.1"/>
        <n v="3.8"/>
        <n v="2.2"/>
        <n v="4.9"/>
        <n v="2.6"/>
      </sharedItems>
    </cacheField>
    <cacheField name="Region" numFmtId="0">
      <sharedItems count="3">
        <s v="North"/>
        <s v="South"/>
        <s v="Wes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196.577025463" refreshedBy="Pratham" recordCount="50">
  <cacheSource type="worksheet">
    <worksheetSource ref="B1:C51" sheet="8"/>
  </cacheSource>
  <cacheFields count="2">
    <cacheField name="Department" numFmtId="0">
      <sharedItems count="5">
        <s v="Engineering"/>
        <s v="HR"/>
        <s v="Marketing"/>
        <s v="Operations"/>
        <s v="Sales"/>
      </sharedItems>
    </cacheField>
    <cacheField name="Salary" numFmtId="0">
      <sharedItems containsSemiMixedTypes="0" containsString="0" containsNumber="1" containsInteger="1" minValue="40000" maxValue="126000" count="35">
        <n v="83000"/>
        <n v="93000"/>
        <n v="78000"/>
        <n v="122000"/>
        <n v="79000"/>
        <n v="105000"/>
        <n v="101000"/>
        <n v="108000"/>
        <n v="95000"/>
        <n v="126000"/>
        <n v="75000"/>
        <n v="66000"/>
        <n v="49000"/>
        <n v="87000"/>
        <n v="92000"/>
        <n v="64000"/>
        <n v="52000"/>
        <n v="53000"/>
        <n v="43000"/>
        <n v="47000"/>
        <n v="85000"/>
        <n v="77000"/>
        <n v="76000"/>
        <n v="56000"/>
        <n v="69000"/>
        <n v="67000"/>
        <n v="61000"/>
        <n v="45000"/>
        <n v="59000"/>
        <n v="73000"/>
        <n v="48000"/>
        <n v="74000"/>
        <n v="55000"/>
        <n v="40000"/>
        <n v="62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</r>
  <r>
    <x v="1"/>
    <x v="1"/>
    <x v="0"/>
    <x v="0"/>
    <x v="1"/>
    <x v="1"/>
    <x v="1"/>
    <x v="1"/>
    <x v="0"/>
  </r>
  <r>
    <x v="2"/>
    <x v="2"/>
    <x v="0"/>
    <x v="0"/>
    <x v="2"/>
    <x v="2"/>
    <x v="2"/>
    <x v="2"/>
    <x v="1"/>
  </r>
  <r>
    <x v="3"/>
    <x v="3"/>
    <x v="0"/>
    <x v="1"/>
    <x v="3"/>
    <x v="3"/>
    <x v="3"/>
    <x v="3"/>
    <x v="2"/>
  </r>
  <r>
    <x v="4"/>
    <x v="4"/>
    <x v="0"/>
    <x v="1"/>
    <x v="4"/>
    <x v="4"/>
    <x v="4"/>
    <x v="4"/>
    <x v="0"/>
  </r>
  <r>
    <x v="5"/>
    <x v="5"/>
    <x v="0"/>
    <x v="1"/>
    <x v="5"/>
    <x v="5"/>
    <x v="5"/>
    <x v="5"/>
    <x v="1"/>
  </r>
  <r>
    <x v="6"/>
    <x v="6"/>
    <x v="0"/>
    <x v="2"/>
    <x v="6"/>
    <x v="6"/>
    <x v="6"/>
    <x v="6"/>
    <x v="1"/>
  </r>
  <r>
    <x v="7"/>
    <x v="7"/>
    <x v="0"/>
    <x v="0"/>
    <x v="7"/>
    <x v="7"/>
    <x v="7"/>
    <x v="7"/>
    <x v="0"/>
  </r>
  <r>
    <x v="8"/>
    <x v="8"/>
    <x v="0"/>
    <x v="2"/>
    <x v="8"/>
    <x v="8"/>
    <x v="8"/>
    <x v="8"/>
    <x v="1"/>
  </r>
  <r>
    <x v="9"/>
    <x v="9"/>
    <x v="0"/>
    <x v="1"/>
    <x v="9"/>
    <x v="9"/>
    <x v="9"/>
    <x v="5"/>
    <x v="2"/>
  </r>
  <r>
    <x v="10"/>
    <x v="10"/>
    <x v="1"/>
    <x v="3"/>
    <x v="10"/>
    <x v="10"/>
    <x v="10"/>
    <x v="9"/>
    <x v="2"/>
  </r>
  <r>
    <x v="11"/>
    <x v="11"/>
    <x v="1"/>
    <x v="3"/>
    <x v="11"/>
    <x v="11"/>
    <x v="11"/>
    <x v="10"/>
    <x v="0"/>
  </r>
  <r>
    <x v="12"/>
    <x v="12"/>
    <x v="1"/>
    <x v="4"/>
    <x v="12"/>
    <x v="12"/>
    <x v="12"/>
    <x v="11"/>
    <x v="2"/>
  </r>
  <r>
    <x v="13"/>
    <x v="13"/>
    <x v="1"/>
    <x v="4"/>
    <x v="13"/>
    <x v="13"/>
    <x v="13"/>
    <x v="12"/>
    <x v="0"/>
  </r>
  <r>
    <x v="14"/>
    <x v="14"/>
    <x v="1"/>
    <x v="5"/>
    <x v="14"/>
    <x v="0"/>
    <x v="14"/>
    <x v="13"/>
    <x v="1"/>
  </r>
  <r>
    <x v="15"/>
    <x v="15"/>
    <x v="1"/>
    <x v="4"/>
    <x v="15"/>
    <x v="8"/>
    <x v="15"/>
    <x v="14"/>
    <x v="2"/>
  </r>
  <r>
    <x v="16"/>
    <x v="16"/>
    <x v="1"/>
    <x v="4"/>
    <x v="16"/>
    <x v="12"/>
    <x v="16"/>
    <x v="15"/>
    <x v="1"/>
  </r>
  <r>
    <x v="17"/>
    <x v="17"/>
    <x v="1"/>
    <x v="6"/>
    <x v="17"/>
    <x v="14"/>
    <x v="17"/>
    <x v="16"/>
    <x v="1"/>
  </r>
  <r>
    <x v="18"/>
    <x v="18"/>
    <x v="1"/>
    <x v="5"/>
    <x v="18"/>
    <x v="15"/>
    <x v="18"/>
    <x v="17"/>
    <x v="2"/>
  </r>
  <r>
    <x v="19"/>
    <x v="19"/>
    <x v="1"/>
    <x v="3"/>
    <x v="19"/>
    <x v="16"/>
    <x v="19"/>
    <x v="7"/>
    <x v="2"/>
  </r>
  <r>
    <x v="20"/>
    <x v="20"/>
    <x v="2"/>
    <x v="7"/>
    <x v="20"/>
    <x v="17"/>
    <x v="20"/>
    <x v="10"/>
    <x v="2"/>
  </r>
  <r>
    <x v="21"/>
    <x v="21"/>
    <x v="2"/>
    <x v="7"/>
    <x v="21"/>
    <x v="18"/>
    <x v="21"/>
    <x v="8"/>
    <x v="1"/>
  </r>
  <r>
    <x v="22"/>
    <x v="22"/>
    <x v="2"/>
    <x v="8"/>
    <x v="22"/>
    <x v="19"/>
    <x v="22"/>
    <x v="18"/>
    <x v="0"/>
  </r>
  <r>
    <x v="23"/>
    <x v="23"/>
    <x v="2"/>
    <x v="8"/>
    <x v="23"/>
    <x v="20"/>
    <x v="23"/>
    <x v="19"/>
    <x v="1"/>
  </r>
  <r>
    <x v="24"/>
    <x v="24"/>
    <x v="2"/>
    <x v="9"/>
    <x v="24"/>
    <x v="21"/>
    <x v="24"/>
    <x v="20"/>
    <x v="2"/>
  </r>
  <r>
    <x v="25"/>
    <x v="25"/>
    <x v="2"/>
    <x v="7"/>
    <x v="25"/>
    <x v="22"/>
    <x v="25"/>
    <x v="12"/>
    <x v="0"/>
  </r>
  <r>
    <x v="26"/>
    <x v="26"/>
    <x v="2"/>
    <x v="8"/>
    <x v="26"/>
    <x v="23"/>
    <x v="3"/>
    <x v="2"/>
    <x v="0"/>
  </r>
  <r>
    <x v="27"/>
    <x v="27"/>
    <x v="2"/>
    <x v="10"/>
    <x v="27"/>
    <x v="19"/>
    <x v="26"/>
    <x v="7"/>
    <x v="1"/>
  </r>
  <r>
    <x v="28"/>
    <x v="28"/>
    <x v="2"/>
    <x v="8"/>
    <x v="28"/>
    <x v="4"/>
    <x v="27"/>
    <x v="12"/>
    <x v="1"/>
  </r>
  <r>
    <x v="29"/>
    <x v="29"/>
    <x v="2"/>
    <x v="10"/>
    <x v="29"/>
    <x v="20"/>
    <x v="18"/>
    <x v="21"/>
    <x v="1"/>
  </r>
  <r>
    <x v="30"/>
    <x v="30"/>
    <x v="3"/>
    <x v="11"/>
    <x v="30"/>
    <x v="11"/>
    <x v="28"/>
    <x v="3"/>
    <x v="0"/>
  </r>
  <r>
    <x v="31"/>
    <x v="31"/>
    <x v="3"/>
    <x v="12"/>
    <x v="31"/>
    <x v="24"/>
    <x v="29"/>
    <x v="22"/>
    <x v="1"/>
  </r>
  <r>
    <x v="32"/>
    <x v="32"/>
    <x v="3"/>
    <x v="13"/>
    <x v="32"/>
    <x v="22"/>
    <x v="30"/>
    <x v="23"/>
    <x v="2"/>
  </r>
  <r>
    <x v="33"/>
    <x v="33"/>
    <x v="3"/>
    <x v="12"/>
    <x v="33"/>
    <x v="25"/>
    <x v="31"/>
    <x v="24"/>
    <x v="1"/>
  </r>
  <r>
    <x v="34"/>
    <x v="34"/>
    <x v="3"/>
    <x v="13"/>
    <x v="34"/>
    <x v="11"/>
    <x v="5"/>
    <x v="10"/>
    <x v="1"/>
  </r>
  <r>
    <x v="35"/>
    <x v="35"/>
    <x v="3"/>
    <x v="13"/>
    <x v="35"/>
    <x v="16"/>
    <x v="6"/>
    <x v="25"/>
    <x v="2"/>
  </r>
  <r>
    <x v="36"/>
    <x v="36"/>
    <x v="3"/>
    <x v="11"/>
    <x v="36"/>
    <x v="26"/>
    <x v="32"/>
    <x v="13"/>
    <x v="2"/>
  </r>
  <r>
    <x v="37"/>
    <x v="37"/>
    <x v="3"/>
    <x v="11"/>
    <x v="37"/>
    <x v="27"/>
    <x v="33"/>
    <x v="5"/>
    <x v="0"/>
  </r>
  <r>
    <x v="38"/>
    <x v="38"/>
    <x v="3"/>
    <x v="13"/>
    <x v="38"/>
    <x v="21"/>
    <x v="0"/>
    <x v="15"/>
    <x v="2"/>
  </r>
  <r>
    <x v="39"/>
    <x v="39"/>
    <x v="3"/>
    <x v="14"/>
    <x v="39"/>
    <x v="17"/>
    <x v="34"/>
    <x v="26"/>
    <x v="1"/>
  </r>
  <r>
    <x v="40"/>
    <x v="40"/>
    <x v="4"/>
    <x v="15"/>
    <x v="40"/>
    <x v="28"/>
    <x v="35"/>
    <x v="11"/>
    <x v="0"/>
  </r>
  <r>
    <x v="41"/>
    <x v="41"/>
    <x v="4"/>
    <x v="16"/>
    <x v="41"/>
    <x v="29"/>
    <x v="12"/>
    <x v="12"/>
    <x v="1"/>
  </r>
  <r>
    <x v="42"/>
    <x v="42"/>
    <x v="4"/>
    <x v="15"/>
    <x v="42"/>
    <x v="30"/>
    <x v="36"/>
    <x v="19"/>
    <x v="1"/>
  </r>
  <r>
    <x v="43"/>
    <x v="43"/>
    <x v="4"/>
    <x v="16"/>
    <x v="43"/>
    <x v="31"/>
    <x v="37"/>
    <x v="23"/>
    <x v="0"/>
  </r>
  <r>
    <x v="44"/>
    <x v="44"/>
    <x v="4"/>
    <x v="16"/>
    <x v="44"/>
    <x v="31"/>
    <x v="38"/>
    <x v="7"/>
    <x v="0"/>
  </r>
  <r>
    <x v="45"/>
    <x v="45"/>
    <x v="4"/>
    <x v="17"/>
    <x v="45"/>
    <x v="32"/>
    <x v="39"/>
    <x v="12"/>
    <x v="0"/>
  </r>
  <r>
    <x v="46"/>
    <x v="46"/>
    <x v="4"/>
    <x v="18"/>
    <x v="46"/>
    <x v="23"/>
    <x v="15"/>
    <x v="4"/>
    <x v="0"/>
  </r>
  <r>
    <x v="47"/>
    <x v="47"/>
    <x v="4"/>
    <x v="17"/>
    <x v="47"/>
    <x v="25"/>
    <x v="40"/>
    <x v="21"/>
    <x v="0"/>
  </r>
  <r>
    <x v="48"/>
    <x v="48"/>
    <x v="4"/>
    <x v="17"/>
    <x v="48"/>
    <x v="33"/>
    <x v="41"/>
    <x v="13"/>
    <x v="0"/>
  </r>
  <r>
    <x v="49"/>
    <x v="49"/>
    <x v="4"/>
    <x v="16"/>
    <x v="49"/>
    <x v="34"/>
    <x v="42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1"/>
    <x v="10"/>
  </r>
  <r>
    <x v="1"/>
    <x v="11"/>
  </r>
  <r>
    <x v="1"/>
    <x v="12"/>
  </r>
  <r>
    <x v="1"/>
    <x v="13"/>
  </r>
  <r>
    <x v="1"/>
    <x v="0"/>
  </r>
  <r>
    <x v="1"/>
    <x v="8"/>
  </r>
  <r>
    <x v="1"/>
    <x v="12"/>
  </r>
  <r>
    <x v="1"/>
    <x v="14"/>
  </r>
  <r>
    <x v="1"/>
    <x v="15"/>
  </r>
  <r>
    <x v="1"/>
    <x v="16"/>
  </r>
  <r>
    <x v="2"/>
    <x v="17"/>
  </r>
  <r>
    <x v="2"/>
    <x v="18"/>
  </r>
  <r>
    <x v="2"/>
    <x v="19"/>
  </r>
  <r>
    <x v="2"/>
    <x v="20"/>
  </r>
  <r>
    <x v="2"/>
    <x v="21"/>
  </r>
  <r>
    <x v="2"/>
    <x v="22"/>
  </r>
  <r>
    <x v="2"/>
    <x v="23"/>
  </r>
  <r>
    <x v="2"/>
    <x v="19"/>
  </r>
  <r>
    <x v="2"/>
    <x v="4"/>
  </r>
  <r>
    <x v="2"/>
    <x v="20"/>
  </r>
  <r>
    <x v="3"/>
    <x v="11"/>
  </r>
  <r>
    <x v="3"/>
    <x v="24"/>
  </r>
  <r>
    <x v="3"/>
    <x v="22"/>
  </r>
  <r>
    <x v="3"/>
    <x v="25"/>
  </r>
  <r>
    <x v="3"/>
    <x v="11"/>
  </r>
  <r>
    <x v="3"/>
    <x v="16"/>
  </r>
  <r>
    <x v="3"/>
    <x v="26"/>
  </r>
  <r>
    <x v="3"/>
    <x v="27"/>
  </r>
  <r>
    <x v="3"/>
    <x v="21"/>
  </r>
  <r>
    <x v="3"/>
    <x v="17"/>
  </r>
  <r>
    <x v="4"/>
    <x v="28"/>
  </r>
  <r>
    <x v="4"/>
    <x v="29"/>
  </r>
  <r>
    <x v="4"/>
    <x v="30"/>
  </r>
  <r>
    <x v="4"/>
    <x v="31"/>
  </r>
  <r>
    <x v="4"/>
    <x v="31"/>
  </r>
  <r>
    <x v="4"/>
    <x v="32"/>
  </r>
  <r>
    <x v="4"/>
    <x v="23"/>
  </r>
  <r>
    <x v="4"/>
    <x v="25"/>
  </r>
  <r>
    <x v="4"/>
    <x v="33"/>
  </r>
  <r>
    <x v="4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7" cacheId="0" autoFormatId="1" applyNumberFormats="0" applyBorderFormats="0" applyFontFormats="0" applyPatternFormats="0" applyAlignmentFormats="0" applyWidthHeightFormats="1" dataCaption="" updatedVersion="5" compact="0" compactData="0" showDrill="1">
  <location ref="A2:C22" firstHeaderRow="1" firstDataRow="1" firstDataCol="2"/>
  <pivotFields count="9">
    <pivotField compact="0" outline="0" multipleItemSelectionAllowe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multipleItemSelectionAllowed="1" showAll="0"/>
    <pivotField axis="axisRow" compact="0" outline="0" multipleItemSelectionAllowed="1" showAll="0">
      <items count="6">
        <item x="0"/>
        <item x="4"/>
        <item x="2"/>
        <item x="3"/>
        <item x="1"/>
        <item t="default"/>
      </items>
    </pivotField>
    <pivotField compact="0" outline="0" multipleItemSelectionAllowed="1" showAll="0"/>
    <pivotField compact="0" outline="0" multipleItemSelectionAllowed="1" numFmtId="179" showAll="0"/>
    <pivotField dataField="1" compact="0" outline="0" multipleItemSelectionAllowed="1" showAll="0">
      <items count="36">
        <item x="33"/>
        <item x="18"/>
        <item x="27"/>
        <item x="19"/>
        <item x="30"/>
        <item x="12"/>
        <item x="16"/>
        <item x="17"/>
        <item x="32"/>
        <item x="23"/>
        <item x="28"/>
        <item x="26"/>
        <item x="34"/>
        <item x="15"/>
        <item x="11"/>
        <item x="25"/>
        <item x="24"/>
        <item x="29"/>
        <item x="31"/>
        <item x="10"/>
        <item x="22"/>
        <item x="21"/>
        <item x="2"/>
        <item x="4"/>
        <item x="0"/>
        <item x="20"/>
        <item x="13"/>
        <item x="14"/>
        <item x="1"/>
        <item x="8"/>
        <item x="6"/>
        <item x="5"/>
        <item x="7"/>
        <item x="3"/>
        <item x="9"/>
        <item t="default"/>
      </items>
    </pivotField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4">
        <item x="0"/>
        <item x="1"/>
        <item x="2"/>
        <item t="default"/>
      </items>
    </pivotField>
  </pivotFields>
  <rowFields count="2">
    <field x="2"/>
    <field x="8"/>
  </rowFields>
  <rowItems count="20">
    <i>
      <x/>
      <x/>
    </i>
    <i r="1">
      <x v="1"/>
    </i>
    <i r="1">
      <x v="2"/>
    </i>
    <i t="default">
      <x/>
    </i>
    <i>
      <x v="1"/>
      <x/>
    </i>
    <i r="1">
      <x v="1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Items count="1">
    <i/>
  </colItems>
  <dataFields count="1">
    <dataField name="AVERAGE of Salary" fld="5" subtotal="average" baseField="0" baseItem="0"/>
  </dataFields>
  <formats count="19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dataOnly="0" labelOnly="1" fieldPosition="0">
        <references count="1">
          <reference field="2" count="1" defaultSubtotal="1">
            <x v="4"/>
          </reference>
        </references>
      </pivotArea>
    </format>
    <format dxfId="4">
      <pivotArea dataOnly="0" labelOnly="1" grandRow="1" fieldPosition="0"/>
    </format>
    <format dxfId="5">
      <pivotArea collapsedLevelsAreSubtotals="1" fieldPosition="0">
        <references count="1">
          <reference field="2" count="1" selected="0" defaultSubtotal="1">
            <x v="4"/>
          </reference>
        </references>
      </pivotArea>
    </format>
    <format dxfId="6">
      <pivotArea grandRow="1" collapsedLevelsAreSubtotals="1" fieldPosition="0"/>
    </format>
    <format dxfId="7">
      <pivotArea dataOnly="0" labelOnly="1" fieldPosition="0">
        <references count="1">
          <reference field="2" count="1" defaultSubtotal="1">
            <x v="3"/>
          </reference>
        </references>
      </pivotArea>
    </format>
    <format dxfId="8">
      <pivotArea collapsedLevelsAreSubtotals="1" fieldPosition="0">
        <references count="1">
          <reference field="2" count="1" selected="0" defaultSubtotal="1">
            <x v="3"/>
          </reference>
        </references>
      </pivotArea>
    </format>
    <format dxfId="9">
      <pivotArea dataOnly="0" labelOnly="1" fieldPosition="0">
        <references count="1">
          <reference field="2" count="1" defaultSubtotal="1">
            <x v="2"/>
          </reference>
        </references>
      </pivotArea>
    </format>
    <format dxfId="10">
      <pivotArea collapsedLevelsAreSubtotals="1" fieldPosition="0">
        <references count="1">
          <reference field="2" count="1" selected="0" defaultSubtotal="1">
            <x v="2"/>
          </reference>
        </references>
      </pivotArea>
    </format>
    <format dxfId="11">
      <pivotArea dataOnly="0" labelOnly="1" fieldPosition="0">
        <references count="1">
          <reference field="2" count="1" defaultSubtotal="1">
            <x v="1"/>
          </reference>
        </references>
      </pivotArea>
    </format>
    <format dxfId="12">
      <pivotArea collapsedLevelsAreSubtotals="1" fieldPosition="0">
        <references count="1">
          <reference field="2" count="1" selected="0" defaultSubtotal="1">
            <x v="1"/>
          </reference>
        </references>
      </pivotArea>
    </format>
    <format dxfId="13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4">
      <pivotArea collapsedLevelsAreSubtotals="1" fieldPosition="0">
        <references count="1">
          <reference field="2" count="1" selected="0" defaultSubtotal="1">
            <x v="0"/>
          </reference>
        </references>
      </pivotArea>
    </format>
    <format dxfId="15">
      <pivotArea field="2" type="button" dataOnly="0" labelOnly="1" outline="0" fieldPosition="0"/>
    </format>
    <format dxfId="16">
      <pivotArea field="8" type="button" dataOnly="0" labelOnly="1" outline="0" fieldPosition="0"/>
    </format>
    <format dxfId="17">
      <pivotArea field="2" type="button" dataOnly="0" labelOnly="1" outline="0" fieldPosition="0"/>
    </format>
    <format dxfId="18">
      <pivotArea field="8" type="button" dataOnly="0" labelOnly="1" outline="0" fieldPosition="0"/>
    </format>
  </formats>
  <pivotTableStyleInfo showRowHeaders="1" showColHeaders="1"/>
</pivotTableDefinition>
</file>

<file path=xl/pivotTables/pivotTable2.xml><?xml version="1.0" encoding="utf-8"?>
<pivotTableDefinition xmlns="http://schemas.openxmlformats.org/spreadsheetml/2006/main" name="8" cacheId="1" autoFormatId="1" applyNumberFormats="0" applyBorderFormats="0" applyFontFormats="0" applyPatternFormats="0" applyAlignmentFormats="0" applyWidthHeightFormats="1" dataCaption="" updatedVersion="5" compact="0" compactData="0" showDrill="1">
  <location ref="E2:F8" firstHeaderRow="1" firstDataRow="1" firstDataCol="1"/>
  <pivotFields count="2">
    <pivotField axis="axisRow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dataField="1" compact="0" outline="0" multipleItemSelectionAllowed="1" showAll="0">
      <items count="36">
        <item x="33"/>
        <item x="18"/>
        <item x="27"/>
        <item x="19"/>
        <item x="30"/>
        <item x="12"/>
        <item x="16"/>
        <item x="17"/>
        <item x="32"/>
        <item x="23"/>
        <item x="28"/>
        <item x="26"/>
        <item x="34"/>
        <item x="15"/>
        <item x="11"/>
        <item x="25"/>
        <item x="24"/>
        <item x="29"/>
        <item x="31"/>
        <item x="10"/>
        <item x="22"/>
        <item x="21"/>
        <item x="2"/>
        <item x="4"/>
        <item x="0"/>
        <item x="20"/>
        <item x="13"/>
        <item x="14"/>
        <item x="1"/>
        <item x="8"/>
        <item x="6"/>
        <item x="5"/>
        <item x="7"/>
        <item x="3"/>
        <item x="9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1" subtotal="average" baseField="0" baseItem="0"/>
  </dataFields>
  <formats count="10">
    <format dxfId="19">
      <pivotArea field="0" type="button" dataOnly="0" labelOnly="1" outline="0" fieldPosition="0"/>
    </format>
    <format dxfId="20">
      <pivotArea dataOnly="0" labelOnly="1" grandRow="1" fieldPosition="0"/>
    </format>
    <format dxfId="21">
      <pivotArea grandRow="1" collapsedLevelsAreSubtotals="1" fieldPosition="0"/>
    </format>
    <format dxfId="22">
      <pivotArea field="0" type="button" dataOnly="0" labelOnly="1" outline="0" fieldPosition="0"/>
    </format>
    <format dxfId="23">
      <pivotArea field="0" type="button" dataOnly="0" labelOnly="1" outline="0" fieldPosition="0"/>
    </format>
    <format dxfId="24">
      <pivotArea dataOnly="0" labelOnly="1" grandRow="1" fieldPosition="0"/>
    </format>
    <format dxfId="25">
      <pivotArea grandRow="1" collapsedLevelsAreSubtotals="1" fieldPosition="0"/>
    </format>
    <format dxfId="26">
      <pivotArea type="all" dataOnly="0" outline="0" fieldPosition="0"/>
    </format>
    <format dxfId="27">
      <pivotArea type="all" dataOnly="0" outline="0" fieldPosition="0"/>
    </format>
    <format dxfId="28">
      <pivotArea type="all" dataOnly="0" outline="0" fieldPosition="0"/>
    </format>
  </formats>
  <pivotTableStyleInfo showRowHeaders="1" showColHeaders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Cache_Table_1_Col_9" sourceName="Region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_1" cache="SlicerCache_Table_1_Col_9" caption="Region" rowHeight="247650"/>
</slicers>
</file>

<file path=xl/tables/table1.xml><?xml version="1.0" encoding="utf-8"?>
<table xmlns="http://schemas.openxmlformats.org/spreadsheetml/2006/main" id="1" name="Table_1" displayName="Table_1" ref="A1:I51">
  <autoFilter xmlns:etc="http://www.wps.cn/officeDocument/2017/etCustomData" ref="A1:I51" etc:filterBottomFollowUsedRange="0"/>
  <tableColumns count="9">
    <tableColumn id="1" name="EmpID" dataDxfId="29"/>
    <tableColumn id="2" name="Name" dataDxfId="30"/>
    <tableColumn id="3" name="Department" dataDxfId="31"/>
    <tableColumn id="4" name="Role" dataDxfId="32"/>
    <tableColumn id="5" name="JoinDate" dataDxfId="33"/>
    <tableColumn id="6" name="Salary" dataDxfId="34"/>
    <tableColumn id="7" name="HoursWorked" dataDxfId="35"/>
    <tableColumn id="8" name="Rating" dataDxfId="36"/>
    <tableColumn id="9" name="Region" dataDxfId="3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8"/>
  <sheetViews>
    <sheetView tabSelected="1" workbookViewId="0">
      <selection activeCell="B9" sqref="B9:B18"/>
    </sheetView>
  </sheetViews>
  <sheetFormatPr defaultColWidth="12.6285714285714" defaultRowHeight="15.75" customHeight="1" outlineLevelCol="1"/>
  <cols>
    <col min="1" max="1" width="111.857142857143" customWidth="1"/>
    <col min="2" max="2" width="8.28571428571429" customWidth="1"/>
  </cols>
  <sheetData>
    <row r="1" customHeight="1" spans="1:2">
      <c r="A1" s="62" t="s">
        <v>0</v>
      </c>
    </row>
    <row r="2" ht="34.5" spans="1:2">
      <c r="A2" s="63" t="s">
        <v>1</v>
      </c>
    </row>
    <row r="3" customHeight="1" spans="1:2">
      <c r="A3" s="63"/>
    </row>
    <row r="4" customHeight="1" spans="1:2">
      <c r="A4" s="62" t="s">
        <v>2</v>
      </c>
    </row>
    <row r="5" customHeight="1" spans="1:2">
      <c r="A5" s="63" t="s">
        <v>3</v>
      </c>
    </row>
    <row r="6" customHeight="1" spans="1:2">
      <c r="A6" s="63" t="s">
        <v>4</v>
      </c>
    </row>
    <row r="7" customHeight="1" spans="1:2">
      <c r="A7" s="63" t="s">
        <v>5</v>
      </c>
    </row>
    <row r="8" customHeight="1" spans="1:2">
      <c r="A8" s="63"/>
    </row>
    <row r="9" customHeight="1" spans="1:2">
      <c r="A9" s="62" t="s">
        <v>6</v>
      </c>
      <c r="B9" s="64" t="s">
        <v>7</v>
      </c>
    </row>
    <row r="10" customHeight="1" spans="1:2">
      <c r="A10" s="63" t="s">
        <v>8</v>
      </c>
      <c r="B10" s="65" t="s">
        <v>9</v>
      </c>
    </row>
    <row r="11" customHeight="1" spans="1:2">
      <c r="A11" s="63" t="s">
        <v>10</v>
      </c>
      <c r="B11" s="65" t="s">
        <v>9</v>
      </c>
    </row>
    <row r="12" customHeight="1" spans="1:2">
      <c r="A12" s="63" t="s">
        <v>11</v>
      </c>
      <c r="B12" s="65" t="s">
        <v>9</v>
      </c>
    </row>
    <row r="13" customHeight="1" spans="1:2">
      <c r="A13" s="63" t="s">
        <v>12</v>
      </c>
      <c r="B13" s="65" t="s">
        <v>9</v>
      </c>
    </row>
    <row r="14" customHeight="1" spans="1:2">
      <c r="A14" s="63" t="s">
        <v>13</v>
      </c>
      <c r="B14" s="65" t="s">
        <v>9</v>
      </c>
    </row>
    <row r="15" customHeight="1" spans="1:2">
      <c r="A15" s="63" t="s">
        <v>14</v>
      </c>
      <c r="B15" s="65" t="s">
        <v>9</v>
      </c>
    </row>
    <row r="16" customHeight="1" spans="1:2">
      <c r="A16" s="63" t="s">
        <v>15</v>
      </c>
      <c r="B16" s="65" t="s">
        <v>9</v>
      </c>
    </row>
    <row r="17" customHeight="1" spans="1:2">
      <c r="A17" s="63" t="s">
        <v>16</v>
      </c>
      <c r="B17" s="65" t="s">
        <v>9</v>
      </c>
    </row>
    <row r="18" customHeight="1" spans="1:2">
      <c r="A18" s="63" t="s">
        <v>17</v>
      </c>
      <c r="B18" s="66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1"/>
  <sheetViews>
    <sheetView topLeftCell="A33" workbookViewId="0">
      <selection activeCell="B9" sqref="B9"/>
    </sheetView>
  </sheetViews>
  <sheetFormatPr defaultColWidth="12.6285714285714" defaultRowHeight="15.75" customHeight="1"/>
  <cols>
    <col min="1" max="1" width="13.7714285714286" customWidth="1"/>
    <col min="2" max="2" width="24.3428571428571" customWidth="1"/>
    <col min="3" max="3" width="16.8190476190476" customWidth="1"/>
    <col min="4" max="4" width="25.2952380952381" customWidth="1"/>
    <col min="5" max="5" width="15.6761904761905" customWidth="1"/>
    <col min="6" max="6" width="11.8666666666667" customWidth="1"/>
    <col min="7" max="7" width="20.9142857142857" customWidth="1"/>
    <col min="8" max="8" width="11.4857142857143" customWidth="1"/>
    <col min="9" max="9" width="12.0571428571429" customWidth="1"/>
  </cols>
  <sheetData>
    <row r="1" ht="22.5" customHeight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ht="22.5" customHeight="1" spans="1:9">
      <c r="A2" s="58" t="s">
        <v>27</v>
      </c>
      <c r="B2" s="58" t="s">
        <v>28</v>
      </c>
      <c r="C2" s="58" t="s">
        <v>29</v>
      </c>
      <c r="D2" s="58" t="s">
        <v>30</v>
      </c>
      <c r="E2" s="60">
        <v>42964</v>
      </c>
      <c r="F2" s="58">
        <v>83000</v>
      </c>
      <c r="G2" s="58">
        <v>36.4</v>
      </c>
      <c r="H2" s="58">
        <v>2</v>
      </c>
      <c r="I2" s="58" t="s">
        <v>31</v>
      </c>
    </row>
    <row r="3" ht="22.5" customHeight="1" spans="1:9">
      <c r="A3" s="59" t="s">
        <v>32</v>
      </c>
      <c r="B3" s="59" t="s">
        <v>33</v>
      </c>
      <c r="C3" s="59" t="s">
        <v>29</v>
      </c>
      <c r="D3" s="59" t="s">
        <v>30</v>
      </c>
      <c r="E3" s="61">
        <v>43583</v>
      </c>
      <c r="F3" s="59">
        <v>93000</v>
      </c>
      <c r="G3" s="59">
        <v>32.6</v>
      </c>
      <c r="H3" s="59">
        <v>1.8</v>
      </c>
      <c r="I3" s="59" t="s">
        <v>31</v>
      </c>
    </row>
    <row r="4" ht="22.5" customHeight="1" spans="1:9">
      <c r="A4" s="58" t="s">
        <v>34</v>
      </c>
      <c r="B4" s="58" t="s">
        <v>35</v>
      </c>
      <c r="C4" s="58" t="s">
        <v>29</v>
      </c>
      <c r="D4" s="58" t="s">
        <v>30</v>
      </c>
      <c r="E4" s="60">
        <v>43703</v>
      </c>
      <c r="F4" s="58">
        <v>78000</v>
      </c>
      <c r="G4" s="58">
        <v>44.9</v>
      </c>
      <c r="H4" s="58">
        <v>4</v>
      </c>
      <c r="I4" s="58" t="s">
        <v>36</v>
      </c>
    </row>
    <row r="5" ht="22.5" customHeight="1" spans="1:9">
      <c r="A5" s="59" t="s">
        <v>37</v>
      </c>
      <c r="B5" s="59" t="s">
        <v>38</v>
      </c>
      <c r="C5" s="59" t="s">
        <v>29</v>
      </c>
      <c r="D5" s="59" t="s">
        <v>39</v>
      </c>
      <c r="E5" s="61">
        <v>42686</v>
      </c>
      <c r="F5" s="59">
        <v>122000</v>
      </c>
      <c r="G5" s="59">
        <v>32.1</v>
      </c>
      <c r="H5" s="59">
        <v>4.3</v>
      </c>
      <c r="I5" s="59" t="s">
        <v>40</v>
      </c>
    </row>
    <row r="6" ht="22.5" customHeight="1" spans="1:9">
      <c r="A6" s="58" t="s">
        <v>41</v>
      </c>
      <c r="B6" s="58" t="s">
        <v>42</v>
      </c>
      <c r="C6" s="58" t="s">
        <v>29</v>
      </c>
      <c r="D6" s="58" t="s">
        <v>39</v>
      </c>
      <c r="E6" s="60">
        <v>45365</v>
      </c>
      <c r="F6" s="58">
        <v>79000</v>
      </c>
      <c r="G6" s="58">
        <v>49.2</v>
      </c>
      <c r="H6" s="58">
        <v>2.7</v>
      </c>
      <c r="I6" s="58" t="s">
        <v>31</v>
      </c>
    </row>
    <row r="7" ht="22.5" customHeight="1" spans="1:9">
      <c r="A7" s="59" t="s">
        <v>43</v>
      </c>
      <c r="B7" s="59" t="s">
        <v>44</v>
      </c>
      <c r="C7" s="59" t="s">
        <v>29</v>
      </c>
      <c r="D7" s="59" t="s">
        <v>39</v>
      </c>
      <c r="E7" s="61">
        <v>44593</v>
      </c>
      <c r="F7" s="59">
        <v>105000</v>
      </c>
      <c r="G7" s="59">
        <v>36.8</v>
      </c>
      <c r="H7" s="59">
        <v>1.7</v>
      </c>
      <c r="I7" s="59" t="s">
        <v>36</v>
      </c>
    </row>
    <row r="8" ht="22.5" customHeight="1" spans="1:9">
      <c r="A8" s="58" t="s">
        <v>45</v>
      </c>
      <c r="B8" s="58" t="s">
        <v>46</v>
      </c>
      <c r="C8" s="58" t="s">
        <v>29</v>
      </c>
      <c r="D8" s="58" t="s">
        <v>47</v>
      </c>
      <c r="E8" s="60">
        <v>45679</v>
      </c>
      <c r="F8" s="58">
        <v>101000</v>
      </c>
      <c r="G8" s="58">
        <v>37.3</v>
      </c>
      <c r="H8" s="58">
        <v>3.7</v>
      </c>
      <c r="I8" s="58" t="s">
        <v>36</v>
      </c>
    </row>
    <row r="9" ht="22.5" customHeight="1" spans="1:9">
      <c r="A9" s="59" t="s">
        <v>48</v>
      </c>
      <c r="B9" s="59" t="s">
        <v>49</v>
      </c>
      <c r="C9" s="59" t="s">
        <v>29</v>
      </c>
      <c r="D9" s="59" t="s">
        <v>30</v>
      </c>
      <c r="E9" s="61">
        <v>45814</v>
      </c>
      <c r="F9" s="59">
        <v>108000</v>
      </c>
      <c r="G9" s="59">
        <v>36.1</v>
      </c>
      <c r="H9" s="59">
        <v>2.5</v>
      </c>
      <c r="I9" s="59" t="s">
        <v>31</v>
      </c>
    </row>
    <row r="10" ht="22.5" customHeight="1" spans="1:9">
      <c r="A10" s="58" t="s">
        <v>50</v>
      </c>
      <c r="B10" s="58" t="s">
        <v>51</v>
      </c>
      <c r="C10" s="58" t="s">
        <v>29</v>
      </c>
      <c r="D10" s="58" t="s">
        <v>47</v>
      </c>
      <c r="E10" s="60">
        <v>44863</v>
      </c>
      <c r="F10" s="58">
        <v>95000</v>
      </c>
      <c r="G10" s="58">
        <v>43.4</v>
      </c>
      <c r="H10" s="58">
        <v>2.8</v>
      </c>
      <c r="I10" s="58" t="s">
        <v>36</v>
      </c>
    </row>
    <row r="11" ht="22.5" customHeight="1" spans="1:9">
      <c r="A11" s="59" t="s">
        <v>52</v>
      </c>
      <c r="B11" s="59" t="s">
        <v>53</v>
      </c>
      <c r="C11" s="59" t="s">
        <v>29</v>
      </c>
      <c r="D11" s="59" t="s">
        <v>39</v>
      </c>
      <c r="E11" s="61">
        <v>43127</v>
      </c>
      <c r="F11" s="59">
        <v>126000</v>
      </c>
      <c r="G11" s="59">
        <v>44.3</v>
      </c>
      <c r="H11" s="59">
        <v>1.7</v>
      </c>
      <c r="I11" s="59" t="s">
        <v>40</v>
      </c>
    </row>
    <row r="12" ht="22.5" customHeight="1" spans="1:9">
      <c r="A12" s="58" t="s">
        <v>54</v>
      </c>
      <c r="B12" s="58" t="s">
        <v>55</v>
      </c>
      <c r="C12" s="58" t="s">
        <v>56</v>
      </c>
      <c r="D12" s="58" t="s">
        <v>57</v>
      </c>
      <c r="E12" s="60">
        <v>45332</v>
      </c>
      <c r="F12" s="58">
        <v>75000</v>
      </c>
      <c r="G12" s="58">
        <v>38.8</v>
      </c>
      <c r="H12" s="58">
        <v>5</v>
      </c>
      <c r="I12" s="58" t="s">
        <v>40</v>
      </c>
    </row>
    <row r="13" ht="22.5" customHeight="1" spans="1:9">
      <c r="A13" s="59" t="s">
        <v>58</v>
      </c>
      <c r="B13" s="59" t="s">
        <v>59</v>
      </c>
      <c r="C13" s="59" t="s">
        <v>56</v>
      </c>
      <c r="D13" s="59" t="s">
        <v>57</v>
      </c>
      <c r="E13" s="61">
        <v>43197</v>
      </c>
      <c r="F13" s="59">
        <v>66000</v>
      </c>
      <c r="G13" s="59">
        <v>47.2</v>
      </c>
      <c r="H13" s="59">
        <v>4.2</v>
      </c>
      <c r="I13" s="59" t="s">
        <v>31</v>
      </c>
    </row>
    <row r="14" ht="22.5" customHeight="1" spans="1:9">
      <c r="A14" s="58" t="s">
        <v>60</v>
      </c>
      <c r="B14" s="58" t="s">
        <v>61</v>
      </c>
      <c r="C14" s="58" t="s">
        <v>56</v>
      </c>
      <c r="D14" s="58" t="s">
        <v>62</v>
      </c>
      <c r="E14" s="60">
        <v>44905</v>
      </c>
      <c r="F14" s="58">
        <v>49000</v>
      </c>
      <c r="G14" s="58">
        <v>35.8</v>
      </c>
      <c r="H14" s="58">
        <v>4.8</v>
      </c>
      <c r="I14" s="58" t="s">
        <v>40</v>
      </c>
    </row>
    <row r="15" ht="22.5" customHeight="1" spans="1:9">
      <c r="A15" s="59" t="s">
        <v>63</v>
      </c>
      <c r="B15" s="59" t="s">
        <v>64</v>
      </c>
      <c r="C15" s="59" t="s">
        <v>56</v>
      </c>
      <c r="D15" s="59" t="s">
        <v>62</v>
      </c>
      <c r="E15" s="61">
        <v>44381</v>
      </c>
      <c r="F15" s="59">
        <v>87000</v>
      </c>
      <c r="G15" s="59">
        <v>40.3</v>
      </c>
      <c r="H15" s="59">
        <v>2.4</v>
      </c>
      <c r="I15" s="59" t="s">
        <v>31</v>
      </c>
    </row>
    <row r="16" ht="22.5" customHeight="1" spans="1:9">
      <c r="A16" s="58" t="s">
        <v>65</v>
      </c>
      <c r="B16" s="58" t="s">
        <v>66</v>
      </c>
      <c r="C16" s="58" t="s">
        <v>56</v>
      </c>
      <c r="D16" s="58" t="s">
        <v>67</v>
      </c>
      <c r="E16" s="60">
        <v>42942</v>
      </c>
      <c r="F16" s="58">
        <v>83000</v>
      </c>
      <c r="G16" s="58">
        <v>39.7</v>
      </c>
      <c r="H16" s="58">
        <v>3.5</v>
      </c>
      <c r="I16" s="58" t="s">
        <v>36</v>
      </c>
    </row>
    <row r="17" ht="22.5" customHeight="1" spans="1:9">
      <c r="A17" s="59" t="s">
        <v>68</v>
      </c>
      <c r="B17" s="59" t="s">
        <v>69</v>
      </c>
      <c r="C17" s="59" t="s">
        <v>56</v>
      </c>
      <c r="D17" s="59" t="s">
        <v>62</v>
      </c>
      <c r="E17" s="61">
        <v>45629</v>
      </c>
      <c r="F17" s="59">
        <v>95000</v>
      </c>
      <c r="G17" s="59">
        <v>32.8</v>
      </c>
      <c r="H17" s="59">
        <v>1.9</v>
      </c>
      <c r="I17" s="59" t="s">
        <v>40</v>
      </c>
    </row>
    <row r="18" ht="22.5" customHeight="1" spans="1:9">
      <c r="A18" s="58" t="s">
        <v>70</v>
      </c>
      <c r="B18" s="58" t="s">
        <v>71</v>
      </c>
      <c r="C18" s="58" t="s">
        <v>56</v>
      </c>
      <c r="D18" s="58" t="s">
        <v>62</v>
      </c>
      <c r="E18" s="60">
        <v>43559</v>
      </c>
      <c r="F18" s="58">
        <v>49000</v>
      </c>
      <c r="G18" s="58">
        <v>38.9</v>
      </c>
      <c r="H18" s="58">
        <v>3.6</v>
      </c>
      <c r="I18" s="58" t="s">
        <v>36</v>
      </c>
    </row>
    <row r="19" ht="22.5" customHeight="1" spans="1:9">
      <c r="A19" s="59" t="s">
        <v>72</v>
      </c>
      <c r="B19" s="59" t="s">
        <v>73</v>
      </c>
      <c r="C19" s="59" t="s">
        <v>56</v>
      </c>
      <c r="D19" s="59" t="s">
        <v>74</v>
      </c>
      <c r="E19" s="61">
        <v>43215</v>
      </c>
      <c r="F19" s="59">
        <v>92000</v>
      </c>
      <c r="G19" s="59">
        <v>34.1</v>
      </c>
      <c r="H19" s="59">
        <v>4.6</v>
      </c>
      <c r="I19" s="59" t="s">
        <v>36</v>
      </c>
    </row>
    <row r="20" ht="22.5" customHeight="1" spans="1:9">
      <c r="A20" s="58" t="s">
        <v>75</v>
      </c>
      <c r="B20" s="58" t="s">
        <v>76</v>
      </c>
      <c r="C20" s="58" t="s">
        <v>56</v>
      </c>
      <c r="D20" s="58" t="s">
        <v>67</v>
      </c>
      <c r="E20" s="60">
        <v>45545</v>
      </c>
      <c r="F20" s="58">
        <v>64000</v>
      </c>
      <c r="G20" s="58">
        <v>39.8</v>
      </c>
      <c r="H20" s="58">
        <v>3.1</v>
      </c>
      <c r="I20" s="58" t="s">
        <v>40</v>
      </c>
    </row>
    <row r="21" ht="22.5" customHeight="1" spans="1:9">
      <c r="A21" s="59" t="s">
        <v>77</v>
      </c>
      <c r="B21" s="59" t="s">
        <v>78</v>
      </c>
      <c r="C21" s="59" t="s">
        <v>56</v>
      </c>
      <c r="D21" s="59" t="s">
        <v>57</v>
      </c>
      <c r="E21" s="61">
        <v>43922</v>
      </c>
      <c r="F21" s="59">
        <v>52000</v>
      </c>
      <c r="G21" s="59">
        <v>47.7</v>
      </c>
      <c r="H21" s="59">
        <v>2.5</v>
      </c>
      <c r="I21" s="59" t="s">
        <v>40</v>
      </c>
    </row>
    <row r="22" ht="22.5" customHeight="1" spans="1:9">
      <c r="A22" s="58" t="s">
        <v>79</v>
      </c>
      <c r="B22" s="58" t="s">
        <v>80</v>
      </c>
      <c r="C22" s="58" t="s">
        <v>81</v>
      </c>
      <c r="D22" s="58" t="s">
        <v>82</v>
      </c>
      <c r="E22" s="60">
        <v>42878</v>
      </c>
      <c r="F22" s="58">
        <v>53000</v>
      </c>
      <c r="G22" s="58">
        <v>41.7</v>
      </c>
      <c r="H22" s="58">
        <v>4.2</v>
      </c>
      <c r="I22" s="58" t="s">
        <v>40</v>
      </c>
    </row>
    <row r="23" ht="22.5" customHeight="1" spans="1:9">
      <c r="A23" s="59" t="s">
        <v>83</v>
      </c>
      <c r="B23" s="59" t="s">
        <v>84</v>
      </c>
      <c r="C23" s="59" t="s">
        <v>81</v>
      </c>
      <c r="D23" s="59" t="s">
        <v>82</v>
      </c>
      <c r="E23" s="61">
        <v>44000</v>
      </c>
      <c r="F23" s="59">
        <v>43000</v>
      </c>
      <c r="G23" s="59">
        <v>34</v>
      </c>
      <c r="H23" s="59">
        <v>2.8</v>
      </c>
      <c r="I23" s="59" t="s">
        <v>36</v>
      </c>
    </row>
    <row r="24" ht="22.5" customHeight="1" spans="1:9">
      <c r="A24" s="58" t="s">
        <v>85</v>
      </c>
      <c r="B24" s="58" t="s">
        <v>86</v>
      </c>
      <c r="C24" s="58" t="s">
        <v>81</v>
      </c>
      <c r="D24" s="58" t="s">
        <v>87</v>
      </c>
      <c r="E24" s="60">
        <v>43678</v>
      </c>
      <c r="F24" s="58">
        <v>47000</v>
      </c>
      <c r="G24" s="58">
        <v>33.5</v>
      </c>
      <c r="H24" s="58">
        <v>3.2</v>
      </c>
      <c r="I24" s="58" t="s">
        <v>31</v>
      </c>
    </row>
    <row r="25" ht="22.5" customHeight="1" spans="1:9">
      <c r="A25" s="59" t="s">
        <v>88</v>
      </c>
      <c r="B25" s="59" t="s">
        <v>89</v>
      </c>
      <c r="C25" s="59" t="s">
        <v>81</v>
      </c>
      <c r="D25" s="59" t="s">
        <v>87</v>
      </c>
      <c r="E25" s="61">
        <v>45476</v>
      </c>
      <c r="F25" s="59">
        <v>85000</v>
      </c>
      <c r="G25" s="59">
        <v>40.6</v>
      </c>
      <c r="H25" s="59">
        <v>3.4</v>
      </c>
      <c r="I25" s="59" t="s">
        <v>36</v>
      </c>
    </row>
    <row r="26" ht="22.5" customHeight="1" spans="1:9">
      <c r="A26" s="58" t="s">
        <v>90</v>
      </c>
      <c r="B26" s="58" t="s">
        <v>91</v>
      </c>
      <c r="C26" s="58" t="s">
        <v>81</v>
      </c>
      <c r="D26" s="58" t="s">
        <v>92</v>
      </c>
      <c r="E26" s="60">
        <v>45134</v>
      </c>
      <c r="F26" s="58">
        <v>77000</v>
      </c>
      <c r="G26" s="58">
        <v>45.6</v>
      </c>
      <c r="H26" s="58">
        <v>3.9</v>
      </c>
      <c r="I26" s="58" t="s">
        <v>40</v>
      </c>
    </row>
    <row r="27" ht="22.5" customHeight="1" spans="1:9">
      <c r="A27" s="59" t="s">
        <v>93</v>
      </c>
      <c r="B27" s="59" t="s">
        <v>94</v>
      </c>
      <c r="C27" s="59" t="s">
        <v>81</v>
      </c>
      <c r="D27" s="59" t="s">
        <v>82</v>
      </c>
      <c r="E27" s="61">
        <v>44207</v>
      </c>
      <c r="F27" s="59">
        <v>76000</v>
      </c>
      <c r="G27" s="59">
        <v>40.1</v>
      </c>
      <c r="H27" s="59">
        <v>2.4</v>
      </c>
      <c r="I27" s="59" t="s">
        <v>31</v>
      </c>
    </row>
    <row r="28" ht="22.5" customHeight="1" spans="1:9">
      <c r="A28" s="58" t="s">
        <v>95</v>
      </c>
      <c r="B28" s="58" t="s">
        <v>96</v>
      </c>
      <c r="C28" s="58" t="s">
        <v>81</v>
      </c>
      <c r="D28" s="58" t="s">
        <v>87</v>
      </c>
      <c r="E28" s="60">
        <v>43591</v>
      </c>
      <c r="F28" s="58">
        <v>56000</v>
      </c>
      <c r="G28" s="58">
        <v>32.1</v>
      </c>
      <c r="H28" s="58">
        <v>4</v>
      </c>
      <c r="I28" s="58" t="s">
        <v>31</v>
      </c>
    </row>
    <row r="29" ht="22.5" customHeight="1" spans="1:9">
      <c r="A29" s="59" t="s">
        <v>97</v>
      </c>
      <c r="B29" s="59" t="s">
        <v>98</v>
      </c>
      <c r="C29" s="59" t="s">
        <v>81</v>
      </c>
      <c r="D29" s="59" t="s">
        <v>99</v>
      </c>
      <c r="E29" s="61">
        <v>44648</v>
      </c>
      <c r="F29" s="59">
        <v>47000</v>
      </c>
      <c r="G29" s="59">
        <v>41.3</v>
      </c>
      <c r="H29" s="59">
        <v>2.5</v>
      </c>
      <c r="I29" s="59" t="s">
        <v>36</v>
      </c>
    </row>
    <row r="30" ht="22.5" customHeight="1" spans="1:9">
      <c r="A30" s="58" t="s">
        <v>100</v>
      </c>
      <c r="B30" s="58" t="s">
        <v>101</v>
      </c>
      <c r="C30" s="58" t="s">
        <v>81</v>
      </c>
      <c r="D30" s="58" t="s">
        <v>87</v>
      </c>
      <c r="E30" s="60">
        <v>43039</v>
      </c>
      <c r="F30" s="58">
        <v>79000</v>
      </c>
      <c r="G30" s="58">
        <v>42.4</v>
      </c>
      <c r="H30" s="58">
        <v>2.4</v>
      </c>
      <c r="I30" s="58" t="s">
        <v>36</v>
      </c>
    </row>
    <row r="31" ht="22.5" customHeight="1" spans="1:9">
      <c r="A31" s="59" t="s">
        <v>102</v>
      </c>
      <c r="B31" s="59" t="s">
        <v>103</v>
      </c>
      <c r="C31" s="59" t="s">
        <v>81</v>
      </c>
      <c r="D31" s="59" t="s">
        <v>99</v>
      </c>
      <c r="E31" s="61">
        <v>45604</v>
      </c>
      <c r="F31" s="59">
        <v>85000</v>
      </c>
      <c r="G31" s="59">
        <v>39.8</v>
      </c>
      <c r="H31" s="59">
        <v>3</v>
      </c>
      <c r="I31" s="59" t="s">
        <v>36</v>
      </c>
    </row>
    <row r="32" ht="22.5" customHeight="1" spans="1:9">
      <c r="A32" s="58" t="s">
        <v>104</v>
      </c>
      <c r="B32" s="58" t="s">
        <v>105</v>
      </c>
      <c r="C32" s="58" t="s">
        <v>106</v>
      </c>
      <c r="D32" s="58" t="s">
        <v>107</v>
      </c>
      <c r="E32" s="60">
        <v>45753</v>
      </c>
      <c r="F32" s="58">
        <v>66000</v>
      </c>
      <c r="G32" s="58">
        <v>45.1</v>
      </c>
      <c r="H32" s="58">
        <v>4.3</v>
      </c>
      <c r="I32" s="58" t="s">
        <v>31</v>
      </c>
    </row>
    <row r="33" ht="22.5" customHeight="1" spans="1:9">
      <c r="A33" s="59" t="s">
        <v>108</v>
      </c>
      <c r="B33" s="59" t="s">
        <v>109</v>
      </c>
      <c r="C33" s="59" t="s">
        <v>106</v>
      </c>
      <c r="D33" s="59" t="s">
        <v>110</v>
      </c>
      <c r="E33" s="61">
        <v>43805</v>
      </c>
      <c r="F33" s="59">
        <v>69000</v>
      </c>
      <c r="G33" s="59">
        <v>34.5</v>
      </c>
      <c r="H33" s="59">
        <v>2.1</v>
      </c>
      <c r="I33" s="59" t="s">
        <v>36</v>
      </c>
    </row>
    <row r="34" ht="22.5" customHeight="1" spans="1:9">
      <c r="A34" s="58" t="s">
        <v>111</v>
      </c>
      <c r="B34" s="58" t="s">
        <v>112</v>
      </c>
      <c r="C34" s="58" t="s">
        <v>106</v>
      </c>
      <c r="D34" s="58" t="s">
        <v>113</v>
      </c>
      <c r="E34" s="60">
        <v>42692</v>
      </c>
      <c r="F34" s="58">
        <v>76000</v>
      </c>
      <c r="G34" s="58">
        <v>33.8</v>
      </c>
      <c r="H34" s="58">
        <v>3.8</v>
      </c>
      <c r="I34" s="58" t="s">
        <v>40</v>
      </c>
    </row>
    <row r="35" ht="22.5" customHeight="1" spans="1:9">
      <c r="A35" s="59" t="s">
        <v>114</v>
      </c>
      <c r="B35" s="59" t="s">
        <v>115</v>
      </c>
      <c r="C35" s="59" t="s">
        <v>106</v>
      </c>
      <c r="D35" s="59" t="s">
        <v>110</v>
      </c>
      <c r="E35" s="61">
        <v>45320</v>
      </c>
      <c r="F35" s="59">
        <v>67000</v>
      </c>
      <c r="G35" s="59">
        <v>40.7</v>
      </c>
      <c r="H35" s="59">
        <v>2.2</v>
      </c>
      <c r="I35" s="59" t="s">
        <v>36</v>
      </c>
    </row>
    <row r="36" ht="22.5" customHeight="1" spans="1:9">
      <c r="A36" s="58" t="s">
        <v>116</v>
      </c>
      <c r="B36" s="58" t="s">
        <v>117</v>
      </c>
      <c r="C36" s="58" t="s">
        <v>106</v>
      </c>
      <c r="D36" s="58" t="s">
        <v>113</v>
      </c>
      <c r="E36" s="60">
        <v>45993</v>
      </c>
      <c r="F36" s="58">
        <v>66000</v>
      </c>
      <c r="G36" s="58">
        <v>36.8</v>
      </c>
      <c r="H36" s="58">
        <v>4.2</v>
      </c>
      <c r="I36" s="58" t="s">
        <v>36</v>
      </c>
    </row>
    <row r="37" ht="22.5" customHeight="1" spans="1:9">
      <c r="A37" s="59" t="s">
        <v>118</v>
      </c>
      <c r="B37" s="59" t="s">
        <v>119</v>
      </c>
      <c r="C37" s="59" t="s">
        <v>106</v>
      </c>
      <c r="D37" s="59" t="s">
        <v>113</v>
      </c>
      <c r="E37" s="61">
        <v>45367</v>
      </c>
      <c r="F37" s="59">
        <v>52000</v>
      </c>
      <c r="G37" s="59">
        <v>37.3</v>
      </c>
      <c r="H37" s="59">
        <v>4.9</v>
      </c>
      <c r="I37" s="59" t="s">
        <v>40</v>
      </c>
    </row>
    <row r="38" ht="22.5" customHeight="1" spans="1:9">
      <c r="A38" s="58" t="s">
        <v>120</v>
      </c>
      <c r="B38" s="58" t="s">
        <v>121</v>
      </c>
      <c r="C38" s="58" t="s">
        <v>106</v>
      </c>
      <c r="D38" s="58" t="s">
        <v>107</v>
      </c>
      <c r="E38" s="60">
        <v>42938</v>
      </c>
      <c r="F38" s="58">
        <v>61000</v>
      </c>
      <c r="G38" s="58">
        <v>33</v>
      </c>
      <c r="H38" s="58">
        <v>3.5</v>
      </c>
      <c r="I38" s="58" t="s">
        <v>40</v>
      </c>
    </row>
    <row r="39" ht="22.5" customHeight="1" spans="1:9">
      <c r="A39" s="59" t="s">
        <v>122</v>
      </c>
      <c r="B39" s="59" t="s">
        <v>123</v>
      </c>
      <c r="C39" s="59" t="s">
        <v>106</v>
      </c>
      <c r="D39" s="59" t="s">
        <v>107</v>
      </c>
      <c r="E39" s="61">
        <v>43921</v>
      </c>
      <c r="F39" s="59">
        <v>45000</v>
      </c>
      <c r="G39" s="59">
        <v>47.3</v>
      </c>
      <c r="H39" s="59">
        <v>1.7</v>
      </c>
      <c r="I39" s="59" t="s">
        <v>31</v>
      </c>
    </row>
    <row r="40" ht="22.5" customHeight="1" spans="1:9">
      <c r="A40" s="58" t="s">
        <v>124</v>
      </c>
      <c r="B40" s="58" t="s">
        <v>125</v>
      </c>
      <c r="C40" s="58" t="s">
        <v>106</v>
      </c>
      <c r="D40" s="58" t="s">
        <v>113</v>
      </c>
      <c r="E40" s="60">
        <v>45510</v>
      </c>
      <c r="F40" s="58">
        <v>77000</v>
      </c>
      <c r="G40" s="58">
        <v>36.4</v>
      </c>
      <c r="H40" s="58">
        <v>3.6</v>
      </c>
      <c r="I40" s="58" t="s">
        <v>40</v>
      </c>
    </row>
    <row r="41" ht="22.5" customHeight="1" spans="1:9">
      <c r="A41" s="59" t="s">
        <v>126</v>
      </c>
      <c r="B41" s="59" t="s">
        <v>127</v>
      </c>
      <c r="C41" s="59" t="s">
        <v>106</v>
      </c>
      <c r="D41" s="59" t="s">
        <v>128</v>
      </c>
      <c r="E41" s="61">
        <v>44933</v>
      </c>
      <c r="F41" s="59">
        <v>53000</v>
      </c>
      <c r="G41" s="59">
        <v>44.1</v>
      </c>
      <c r="H41" s="59">
        <v>2.6</v>
      </c>
      <c r="I41" s="59" t="s">
        <v>36</v>
      </c>
    </row>
    <row r="42" ht="22.5" customHeight="1" spans="1:9">
      <c r="A42" s="58" t="s">
        <v>129</v>
      </c>
      <c r="B42" s="58" t="s">
        <v>130</v>
      </c>
      <c r="C42" s="58" t="s">
        <v>131</v>
      </c>
      <c r="D42" s="58" t="s">
        <v>132</v>
      </c>
      <c r="E42" s="60">
        <v>44129</v>
      </c>
      <c r="F42" s="58">
        <v>59000</v>
      </c>
      <c r="G42" s="58">
        <v>48.7</v>
      </c>
      <c r="H42" s="58">
        <v>4.8</v>
      </c>
      <c r="I42" s="58" t="s">
        <v>31</v>
      </c>
    </row>
    <row r="43" ht="22.5" customHeight="1" spans="1:9">
      <c r="A43" s="59" t="s">
        <v>133</v>
      </c>
      <c r="B43" s="59" t="s">
        <v>134</v>
      </c>
      <c r="C43" s="59" t="s">
        <v>131</v>
      </c>
      <c r="D43" s="59" t="s">
        <v>135</v>
      </c>
      <c r="E43" s="61">
        <v>45701</v>
      </c>
      <c r="F43" s="59">
        <v>73000</v>
      </c>
      <c r="G43" s="59">
        <v>35.8</v>
      </c>
      <c r="H43" s="59">
        <v>2.4</v>
      </c>
      <c r="I43" s="59" t="s">
        <v>36</v>
      </c>
    </row>
    <row r="44" ht="22.5" customHeight="1" spans="1:9">
      <c r="A44" s="58" t="s">
        <v>136</v>
      </c>
      <c r="B44" s="58" t="s">
        <v>137</v>
      </c>
      <c r="C44" s="58" t="s">
        <v>131</v>
      </c>
      <c r="D44" s="58" t="s">
        <v>132</v>
      </c>
      <c r="E44" s="60">
        <v>44834</v>
      </c>
      <c r="F44" s="58">
        <v>48000</v>
      </c>
      <c r="G44" s="58">
        <v>39.9</v>
      </c>
      <c r="H44" s="58">
        <v>3.4</v>
      </c>
      <c r="I44" s="58" t="s">
        <v>36</v>
      </c>
    </row>
    <row r="45" ht="22.5" customHeight="1" spans="1:9">
      <c r="A45" s="59" t="s">
        <v>138</v>
      </c>
      <c r="B45" s="59" t="s">
        <v>139</v>
      </c>
      <c r="C45" s="59" t="s">
        <v>131</v>
      </c>
      <c r="D45" s="59" t="s">
        <v>135</v>
      </c>
      <c r="E45" s="61">
        <v>43266</v>
      </c>
      <c r="F45" s="59">
        <v>74000</v>
      </c>
      <c r="G45" s="59">
        <v>37.4</v>
      </c>
      <c r="H45" s="59">
        <v>3.8</v>
      </c>
      <c r="I45" s="59" t="s">
        <v>31</v>
      </c>
    </row>
    <row r="46" ht="22.5" customHeight="1" spans="1:9">
      <c r="A46" s="58" t="s">
        <v>140</v>
      </c>
      <c r="B46" s="58" t="s">
        <v>141</v>
      </c>
      <c r="C46" s="58" t="s">
        <v>131</v>
      </c>
      <c r="D46" s="58" t="s">
        <v>135</v>
      </c>
      <c r="E46" s="60">
        <v>42961</v>
      </c>
      <c r="F46" s="58">
        <v>74000</v>
      </c>
      <c r="G46" s="58">
        <v>34.8</v>
      </c>
      <c r="H46" s="58">
        <v>2.5</v>
      </c>
      <c r="I46" s="58" t="s">
        <v>31</v>
      </c>
    </row>
    <row r="47" ht="22.5" customHeight="1" spans="1:9">
      <c r="A47" s="59" t="s">
        <v>142</v>
      </c>
      <c r="B47" s="59" t="s">
        <v>143</v>
      </c>
      <c r="C47" s="59" t="s">
        <v>131</v>
      </c>
      <c r="D47" s="59" t="s">
        <v>144</v>
      </c>
      <c r="E47" s="61">
        <v>43186</v>
      </c>
      <c r="F47" s="59">
        <v>55000</v>
      </c>
      <c r="G47" s="59">
        <v>41.1</v>
      </c>
      <c r="H47" s="59">
        <v>2.4</v>
      </c>
      <c r="I47" s="59" t="s">
        <v>31</v>
      </c>
    </row>
    <row r="48" ht="22.5" customHeight="1" spans="1:9">
      <c r="A48" s="58" t="s">
        <v>145</v>
      </c>
      <c r="B48" s="58" t="s">
        <v>146</v>
      </c>
      <c r="C48" s="58" t="s">
        <v>131</v>
      </c>
      <c r="D48" s="58" t="s">
        <v>147</v>
      </c>
      <c r="E48" s="60">
        <v>42604</v>
      </c>
      <c r="F48" s="58">
        <v>56000</v>
      </c>
      <c r="G48" s="58">
        <v>32.8</v>
      </c>
      <c r="H48" s="58">
        <v>2.7</v>
      </c>
      <c r="I48" s="58" t="s">
        <v>31</v>
      </c>
    </row>
    <row r="49" ht="22.5" customHeight="1" spans="1:9">
      <c r="A49" s="59" t="s">
        <v>148</v>
      </c>
      <c r="B49" s="59" t="s">
        <v>149</v>
      </c>
      <c r="C49" s="59" t="s">
        <v>131</v>
      </c>
      <c r="D49" s="59" t="s">
        <v>144</v>
      </c>
      <c r="E49" s="61">
        <v>42965</v>
      </c>
      <c r="F49" s="59">
        <v>67000</v>
      </c>
      <c r="G49" s="59">
        <v>41.9</v>
      </c>
      <c r="H49" s="59">
        <v>3</v>
      </c>
      <c r="I49" s="59" t="s">
        <v>31</v>
      </c>
    </row>
    <row r="50" ht="22.5" customHeight="1" spans="1:9">
      <c r="A50" s="58" t="s">
        <v>150</v>
      </c>
      <c r="B50" s="58" t="s">
        <v>151</v>
      </c>
      <c r="C50" s="58" t="s">
        <v>131</v>
      </c>
      <c r="D50" s="58" t="s">
        <v>144</v>
      </c>
      <c r="E50" s="60">
        <v>43767</v>
      </c>
      <c r="F50" s="58">
        <v>40000</v>
      </c>
      <c r="G50" s="58">
        <v>47</v>
      </c>
      <c r="H50" s="58">
        <v>3.5</v>
      </c>
      <c r="I50" s="58" t="s">
        <v>31</v>
      </c>
    </row>
    <row r="51" ht="22.5" customHeight="1" spans="1:9">
      <c r="A51" s="59" t="s">
        <v>152</v>
      </c>
      <c r="B51" s="59" t="s">
        <v>153</v>
      </c>
      <c r="C51" s="59" t="s">
        <v>131</v>
      </c>
      <c r="D51" s="59" t="s">
        <v>135</v>
      </c>
      <c r="E51" s="61">
        <v>44739</v>
      </c>
      <c r="F51" s="59">
        <v>62000</v>
      </c>
      <c r="G51" s="59">
        <v>48.2</v>
      </c>
      <c r="H51" s="59">
        <v>4.3</v>
      </c>
      <c r="I51" s="59" t="s">
        <v>31</v>
      </c>
    </row>
  </sheetData>
  <customSheetViews>
    <customSheetView guid="{0C770F13-D988-410C-8954-823C0EC7D105}" filter="1" showAutoFilter="1">
      <autoFilter ref="A1:I51"/>
    </customSheetView>
  </customSheetView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6"/>
  <sheetViews>
    <sheetView workbookViewId="0">
      <selection activeCell="A1" sqref="A1:C6"/>
    </sheetView>
  </sheetViews>
  <sheetFormatPr defaultColWidth="12.6285714285714" defaultRowHeight="15.75" customHeight="1" outlineLevelRow="5" outlineLevelCol="2"/>
  <cols>
    <col min="1" max="1" width="11.5714285714286" customWidth="1"/>
    <col min="2" max="3" width="12.1428571428571" customWidth="1"/>
  </cols>
  <sheetData>
    <row r="1" customHeight="1" spans="1:3">
      <c r="A1" s="1" t="s">
        <v>154</v>
      </c>
      <c r="B1" s="1" t="s">
        <v>155</v>
      </c>
      <c r="C1" s="1" t="s">
        <v>156</v>
      </c>
    </row>
    <row r="2" customHeight="1" spans="1:3">
      <c r="A2" s="58">
        <v>0</v>
      </c>
      <c r="B2" s="58">
        <v>29999</v>
      </c>
      <c r="C2" s="58">
        <v>0</v>
      </c>
    </row>
    <row r="3" customHeight="1" spans="1:3">
      <c r="A3" s="59">
        <v>30000</v>
      </c>
      <c r="B3" s="59">
        <v>49999</v>
      </c>
      <c r="C3" s="59">
        <v>10</v>
      </c>
    </row>
    <row r="4" customHeight="1" spans="1:3">
      <c r="A4" s="58">
        <v>50000</v>
      </c>
      <c r="B4" s="58">
        <v>74999</v>
      </c>
      <c r="C4" s="58">
        <v>20</v>
      </c>
    </row>
    <row r="5" customHeight="1" spans="1:3">
      <c r="A5" s="59">
        <v>75000</v>
      </c>
      <c r="B5" s="59">
        <v>99999</v>
      </c>
      <c r="C5" s="59">
        <v>28</v>
      </c>
    </row>
    <row r="6" customHeight="1" spans="1:3">
      <c r="A6" s="58">
        <v>100000</v>
      </c>
      <c r="B6" s="58">
        <v>999999</v>
      </c>
      <c r="C6" s="58">
        <v>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51"/>
  <sheetViews>
    <sheetView workbookViewId="0">
      <selection activeCell="E12" sqref="E12"/>
    </sheetView>
  </sheetViews>
  <sheetFormatPr defaultColWidth="12.6285714285714" defaultRowHeight="15.75" customHeight="1"/>
  <cols>
    <col min="1" max="1" width="24.3428571428571" customWidth="1"/>
    <col min="2" max="2" width="11.8666666666667" customWidth="1"/>
    <col min="3" max="3" width="22.4380952380952" style="53" customWidth="1"/>
    <col min="4" max="4" width="15.1047619047619" customWidth="1"/>
  </cols>
  <sheetData>
    <row r="1" ht="22.5" customHeight="1" spans="1:7">
      <c r="A1" s="54" t="s">
        <v>157</v>
      </c>
      <c r="B1" s="54" t="s">
        <v>23</v>
      </c>
      <c r="C1" s="55" t="s">
        <v>158</v>
      </c>
      <c r="D1" s="54" t="s">
        <v>159</v>
      </c>
      <c r="G1" s="17" t="s">
        <v>8</v>
      </c>
    </row>
    <row r="2" ht="22.5" customHeight="1" spans="1:7">
      <c r="A2" s="56" t="str" cm="1">
        <f t="array" ref="A2:A51">Employees!B2:B51</f>
        <v>Saurav Gupta</v>
      </c>
      <c r="B2" s="56" cm="1">
        <f t="array" ref="B2:B51">Employees!F2:F51</f>
        <v>83000</v>
      </c>
      <c r="C2" s="57">
        <f>(_xlfn.XLOOKUP(B2,TaxBrackets!$A$2:$A$6,TaxBrackets!$C$2:$C$6,"Not Found",-1))/100</f>
        <v>0.28</v>
      </c>
      <c r="D2" s="56">
        <f>(B2*C2)+B2</f>
        <v>106240</v>
      </c>
    </row>
    <row r="3" ht="22.5" customHeight="1" spans="1:7">
      <c r="A3" s="56" t="str">
        <v>Rekha Jadhav</v>
      </c>
      <c r="B3" s="56">
        <v>93000</v>
      </c>
      <c r="C3" s="57">
        <f>(_xlfn.XLOOKUP(B3,TaxBrackets!$A$2:$A$6,TaxBrackets!$C$2:$C$6,"Not Found",-1))/100</f>
        <v>0.28</v>
      </c>
      <c r="D3" s="56">
        <f t="shared" ref="D3:D34" si="0">(B3*C3)+B3</f>
        <v>119040</v>
      </c>
    </row>
    <row r="4" ht="22.5" customHeight="1" spans="1:7">
      <c r="A4" s="56" t="str">
        <v>Ayaan Trivedi</v>
      </c>
      <c r="B4" s="56">
        <v>78000</v>
      </c>
      <c r="C4" s="57">
        <f>(_xlfn.XLOOKUP(B4,TaxBrackets!$A$2:$A$6,TaxBrackets!$C$2:$C$6,"Not Found",-1))/100</f>
        <v>0.28</v>
      </c>
      <c r="D4" s="56">
        <f t="shared" si="0"/>
        <v>99840</v>
      </c>
    </row>
    <row r="5" ht="22.5" customHeight="1" spans="1:7">
      <c r="A5" s="56" t="str">
        <v>Rahul Bhat</v>
      </c>
      <c r="B5" s="56">
        <v>122000</v>
      </c>
      <c r="C5" s="57">
        <f>(_xlfn.XLOOKUP(B5,TaxBrackets!$A$2:$A$6,TaxBrackets!$C$2:$C$6,"Not Found",-1))/100</f>
        <v>0.35</v>
      </c>
      <c r="D5" s="56">
        <f t="shared" si="0"/>
        <v>164700</v>
      </c>
    </row>
    <row r="6" ht="22.5" customHeight="1" spans="1:7">
      <c r="A6" s="56" t="str">
        <v>Harsh Mishra</v>
      </c>
      <c r="B6" s="56">
        <v>79000</v>
      </c>
      <c r="C6" s="57">
        <f>(_xlfn.XLOOKUP(B6,TaxBrackets!$A$2:$A$6,TaxBrackets!$C$2:$C$6,"Not Found",-1))/100</f>
        <v>0.28</v>
      </c>
      <c r="D6" s="56">
        <f t="shared" si="0"/>
        <v>101120</v>
      </c>
    </row>
    <row r="7" ht="22.5" customHeight="1" spans="1:7">
      <c r="A7" s="56" t="str">
        <v>Simran Verma</v>
      </c>
      <c r="B7" s="56">
        <v>105000</v>
      </c>
      <c r="C7" s="57">
        <f>(_xlfn.XLOOKUP(B7,TaxBrackets!$A$2:$A$6,TaxBrackets!$C$2:$C$6,"Not Found",-1))/100</f>
        <v>0.35</v>
      </c>
      <c r="D7" s="56">
        <f t="shared" si="0"/>
        <v>141750</v>
      </c>
    </row>
    <row r="8" ht="22.5" customHeight="1" spans="1:7">
      <c r="A8" s="56" t="str">
        <v>Raj Gupta</v>
      </c>
      <c r="B8" s="56">
        <v>101000</v>
      </c>
      <c r="C8" s="57">
        <f>(_xlfn.XLOOKUP(B8,TaxBrackets!$A$2:$A$6,TaxBrackets!$C$2:$C$6,"Not Found",-1))/100</f>
        <v>0.35</v>
      </c>
      <c r="D8" s="56">
        <f t="shared" si="0"/>
        <v>136350</v>
      </c>
    </row>
    <row r="9" ht="22.5" customHeight="1" spans="1:7">
      <c r="A9" s="56" t="str">
        <v>Akash Iyer</v>
      </c>
      <c r="B9" s="56">
        <v>108000</v>
      </c>
      <c r="C9" s="57">
        <f>(_xlfn.XLOOKUP(B9,TaxBrackets!$A$2:$A$6,TaxBrackets!$C$2:$C$6,"Not Found",-1))/100</f>
        <v>0.35</v>
      </c>
      <c r="D9" s="56">
        <f t="shared" si="0"/>
        <v>145800</v>
      </c>
    </row>
    <row r="10" ht="22.5" customHeight="1" spans="1:7">
      <c r="A10" s="56" t="str">
        <v>Rahul Verma</v>
      </c>
      <c r="B10" s="56">
        <v>95000</v>
      </c>
      <c r="C10" s="57">
        <f>(_xlfn.XLOOKUP(B10,TaxBrackets!$A$2:$A$6,TaxBrackets!$C$2:$C$6,"Not Found",-1))/100</f>
        <v>0.28</v>
      </c>
      <c r="D10" s="56">
        <f t="shared" si="0"/>
        <v>121600</v>
      </c>
    </row>
    <row r="11" ht="22.5" customHeight="1" spans="1:7">
      <c r="A11" s="56" t="str">
        <v>Nisha Bose</v>
      </c>
      <c r="B11" s="56">
        <v>126000</v>
      </c>
      <c r="C11" s="57">
        <f>(_xlfn.XLOOKUP(B11,TaxBrackets!$A$2:$A$6,TaxBrackets!$C$2:$C$6,"Not Found",-1))/100</f>
        <v>0.35</v>
      </c>
      <c r="D11" s="56">
        <f t="shared" si="0"/>
        <v>170100</v>
      </c>
    </row>
    <row r="12" ht="22.5" customHeight="1" spans="1:7">
      <c r="A12" s="56" t="str">
        <v>Siddharth Saxena</v>
      </c>
      <c r="B12" s="56">
        <v>75000</v>
      </c>
      <c r="C12" s="57">
        <f>(_xlfn.XLOOKUP(B12,TaxBrackets!$A$2:$A$6,TaxBrackets!$C$2:$C$6,"Not Found",-1))/100</f>
        <v>0.28</v>
      </c>
      <c r="D12" s="56">
        <f t="shared" si="0"/>
        <v>96000</v>
      </c>
    </row>
    <row r="13" ht="22.5" customHeight="1" spans="1:7">
      <c r="A13" s="56" t="str">
        <v>Gaurav Bhatnagar</v>
      </c>
      <c r="B13" s="56">
        <v>66000</v>
      </c>
      <c r="C13" s="57">
        <f>(_xlfn.XLOOKUP(B13,TaxBrackets!$A$2:$A$6,TaxBrackets!$C$2:$C$6,"Not Found",-1))/100</f>
        <v>0.2</v>
      </c>
      <c r="D13" s="56">
        <f t="shared" si="0"/>
        <v>79200</v>
      </c>
    </row>
    <row r="14" ht="22.5" customHeight="1" spans="1:7">
      <c r="A14" s="56" t="str">
        <v>Rohan Sinha</v>
      </c>
      <c r="B14" s="56">
        <v>49000</v>
      </c>
      <c r="C14" s="57">
        <f>(_xlfn.XLOOKUP(B14,TaxBrackets!$A$2:$A$6,TaxBrackets!$C$2:$C$6,"Not Found",-1))/100</f>
        <v>0.1</v>
      </c>
      <c r="D14" s="56">
        <f t="shared" si="0"/>
        <v>53900</v>
      </c>
    </row>
    <row r="15" ht="22.5" customHeight="1" spans="1:7">
      <c r="A15" s="56" t="str">
        <v>Kunal Bose</v>
      </c>
      <c r="B15" s="56">
        <v>87000</v>
      </c>
      <c r="C15" s="57">
        <f>(_xlfn.XLOOKUP(B15,TaxBrackets!$A$2:$A$6,TaxBrackets!$C$2:$C$6,"Not Found",-1))/100</f>
        <v>0.28</v>
      </c>
      <c r="D15" s="56">
        <f t="shared" si="0"/>
        <v>111360</v>
      </c>
    </row>
    <row r="16" ht="22.5" customHeight="1" spans="1:7">
      <c r="A16" s="56" t="str">
        <v>Heena Bhatnagar</v>
      </c>
      <c r="B16" s="56">
        <v>83000</v>
      </c>
      <c r="C16" s="57">
        <f>(_xlfn.XLOOKUP(B16,TaxBrackets!$A$2:$A$6,TaxBrackets!$C$2:$C$6,"Not Found",-1))/100</f>
        <v>0.28</v>
      </c>
      <c r="D16" s="56">
        <f t="shared" si="0"/>
        <v>106240</v>
      </c>
    </row>
    <row r="17" ht="22.5" customHeight="1" spans="1:4">
      <c r="A17" s="56" t="str">
        <v>Rahul Shah</v>
      </c>
      <c r="B17" s="56">
        <v>95000</v>
      </c>
      <c r="C17" s="57">
        <f>(_xlfn.XLOOKUP(B17,TaxBrackets!$A$2:$A$6,TaxBrackets!$C$2:$C$6,"Not Found",-1))/100</f>
        <v>0.28</v>
      </c>
      <c r="D17" s="56">
        <f t="shared" si="0"/>
        <v>121600</v>
      </c>
    </row>
    <row r="18" ht="22.5" customHeight="1" spans="1:4">
      <c r="A18" s="56" t="str">
        <v>Siddharth Gaikwad</v>
      </c>
      <c r="B18" s="56">
        <v>49000</v>
      </c>
      <c r="C18" s="57">
        <f>(_xlfn.XLOOKUP(B18,TaxBrackets!$A$2:$A$6,TaxBrackets!$C$2:$C$6,"Not Found",-1))/100</f>
        <v>0.1</v>
      </c>
      <c r="D18" s="56">
        <f t="shared" si="0"/>
        <v>53900</v>
      </c>
    </row>
    <row r="19" ht="22.5" customHeight="1" spans="1:4">
      <c r="A19" s="56" t="str">
        <v>Leena Ghosh</v>
      </c>
      <c r="B19" s="56">
        <v>92000</v>
      </c>
      <c r="C19" s="57">
        <f>(_xlfn.XLOOKUP(B19,TaxBrackets!$A$2:$A$6,TaxBrackets!$C$2:$C$6,"Not Found",-1))/100</f>
        <v>0.28</v>
      </c>
      <c r="D19" s="56">
        <f t="shared" si="0"/>
        <v>117760</v>
      </c>
    </row>
    <row r="20" ht="22.5" customHeight="1" spans="1:4">
      <c r="A20" s="56" t="str">
        <v>Jyoti Jain</v>
      </c>
      <c r="B20" s="56">
        <v>64000</v>
      </c>
      <c r="C20" s="57">
        <f>(_xlfn.XLOOKUP(B20,TaxBrackets!$A$2:$A$6,TaxBrackets!$C$2:$C$6,"Not Found",-1))/100</f>
        <v>0.2</v>
      </c>
      <c r="D20" s="56">
        <f t="shared" si="0"/>
        <v>76800</v>
      </c>
    </row>
    <row r="21" ht="22.5" customHeight="1" spans="1:4">
      <c r="A21" s="56" t="str">
        <v>Nitin Ghosh</v>
      </c>
      <c r="B21" s="56">
        <v>52000</v>
      </c>
      <c r="C21" s="57">
        <f>(_xlfn.XLOOKUP(B21,TaxBrackets!$A$2:$A$6,TaxBrackets!$C$2:$C$6,"Not Found",-1))/100</f>
        <v>0.2</v>
      </c>
      <c r="D21" s="56">
        <f t="shared" si="0"/>
        <v>62400</v>
      </c>
    </row>
    <row r="22" ht="22.5" customHeight="1" spans="1:4">
      <c r="A22" s="56" t="str">
        <v>Nikhil Reddy</v>
      </c>
      <c r="B22" s="56">
        <v>53000</v>
      </c>
      <c r="C22" s="57">
        <f>(_xlfn.XLOOKUP(B22,TaxBrackets!$A$2:$A$6,TaxBrackets!$C$2:$C$6,"Not Found",-1))/100</f>
        <v>0.2</v>
      </c>
      <c r="D22" s="56">
        <f t="shared" si="0"/>
        <v>63600</v>
      </c>
    </row>
    <row r="23" ht="22.5" customHeight="1" spans="1:4">
      <c r="A23" s="56" t="str">
        <v>Aarav Trivedi</v>
      </c>
      <c r="B23" s="56">
        <v>43000</v>
      </c>
      <c r="C23" s="57">
        <f>(_xlfn.XLOOKUP(B23,TaxBrackets!$A$2:$A$6,TaxBrackets!$C$2:$C$6,"Not Found",-1))/100</f>
        <v>0.1</v>
      </c>
      <c r="D23" s="56">
        <f t="shared" si="0"/>
        <v>47300</v>
      </c>
    </row>
    <row r="24" ht="22.5" customHeight="1" spans="1:4">
      <c r="A24" s="56" t="str">
        <v>Sneha Singh</v>
      </c>
      <c r="B24" s="56">
        <v>47000</v>
      </c>
      <c r="C24" s="57">
        <f>(_xlfn.XLOOKUP(B24,TaxBrackets!$A$2:$A$6,TaxBrackets!$C$2:$C$6,"Not Found",-1))/100</f>
        <v>0.1</v>
      </c>
      <c r="D24" s="56">
        <f t="shared" si="0"/>
        <v>51700</v>
      </c>
    </row>
    <row r="25" ht="22.5" customHeight="1" spans="1:4">
      <c r="A25" s="56" t="str">
        <v>Alok Saxena</v>
      </c>
      <c r="B25" s="56">
        <v>85000</v>
      </c>
      <c r="C25" s="57">
        <f>(_xlfn.XLOOKUP(B25,TaxBrackets!$A$2:$A$6,TaxBrackets!$C$2:$C$6,"Not Found",-1))/100</f>
        <v>0.28</v>
      </c>
      <c r="D25" s="56">
        <f t="shared" si="0"/>
        <v>108800</v>
      </c>
    </row>
    <row r="26" ht="22.5" customHeight="1" spans="1:4">
      <c r="A26" s="56" t="str">
        <v>Leena Trivedi</v>
      </c>
      <c r="B26" s="56">
        <v>77000</v>
      </c>
      <c r="C26" s="57">
        <f>(_xlfn.XLOOKUP(B26,TaxBrackets!$A$2:$A$6,TaxBrackets!$C$2:$C$6,"Not Found",-1))/100</f>
        <v>0.28</v>
      </c>
      <c r="D26" s="56">
        <f t="shared" si="0"/>
        <v>98560</v>
      </c>
    </row>
    <row r="27" ht="22.5" customHeight="1" spans="1:4">
      <c r="A27" s="56" t="str">
        <v>Tanya Dubey</v>
      </c>
      <c r="B27" s="56">
        <v>76000</v>
      </c>
      <c r="C27" s="57">
        <f>(_xlfn.XLOOKUP(B27,TaxBrackets!$A$2:$A$6,TaxBrackets!$C$2:$C$6,"Not Found",-1))/100</f>
        <v>0.28</v>
      </c>
      <c r="D27" s="56">
        <f t="shared" si="0"/>
        <v>97280</v>
      </c>
    </row>
    <row r="28" ht="22.5" customHeight="1" spans="1:4">
      <c r="A28" s="56" t="str">
        <v>Ishaan Patel</v>
      </c>
      <c r="B28" s="56">
        <v>56000</v>
      </c>
      <c r="C28" s="57">
        <f>(_xlfn.XLOOKUP(B28,TaxBrackets!$A$2:$A$6,TaxBrackets!$C$2:$C$6,"Not Found",-1))/100</f>
        <v>0.2</v>
      </c>
      <c r="D28" s="56">
        <f t="shared" si="0"/>
        <v>67200</v>
      </c>
    </row>
    <row r="29" ht="22.5" customHeight="1" spans="1:4">
      <c r="A29" s="56" t="str">
        <v>Rahul Kumar</v>
      </c>
      <c r="B29" s="56">
        <v>47000</v>
      </c>
      <c r="C29" s="57">
        <f>(_xlfn.XLOOKUP(B29,TaxBrackets!$A$2:$A$6,TaxBrackets!$C$2:$C$6,"Not Found",-1))/100</f>
        <v>0.1</v>
      </c>
      <c r="D29" s="56">
        <f t="shared" si="0"/>
        <v>51700</v>
      </c>
    </row>
    <row r="30" ht="22.5" customHeight="1" spans="1:4">
      <c r="A30" s="56" t="str">
        <v>Pooja Saxena</v>
      </c>
      <c r="B30" s="56">
        <v>79000</v>
      </c>
      <c r="C30" s="57">
        <f>(_xlfn.XLOOKUP(B30,TaxBrackets!$A$2:$A$6,TaxBrackets!$C$2:$C$6,"Not Found",-1))/100</f>
        <v>0.28</v>
      </c>
      <c r="D30" s="56">
        <f t="shared" si="0"/>
        <v>101120</v>
      </c>
    </row>
    <row r="31" ht="22.5" customHeight="1" spans="1:4">
      <c r="A31" s="56" t="str">
        <v>Ananya Iyer</v>
      </c>
      <c r="B31" s="56">
        <v>85000</v>
      </c>
      <c r="C31" s="57">
        <f>(_xlfn.XLOOKUP(B31,TaxBrackets!$A$2:$A$6,TaxBrackets!$C$2:$C$6,"Not Found",-1))/100</f>
        <v>0.28</v>
      </c>
      <c r="D31" s="56">
        <f t="shared" si="0"/>
        <v>108800</v>
      </c>
    </row>
    <row r="32" ht="22.5" customHeight="1" spans="1:4">
      <c r="A32" s="56" t="str">
        <v>Nitin Singh</v>
      </c>
      <c r="B32" s="56">
        <v>66000</v>
      </c>
      <c r="C32" s="57">
        <f>(_xlfn.XLOOKUP(B32,TaxBrackets!$A$2:$A$6,TaxBrackets!$C$2:$C$6,"Not Found",-1))/100</f>
        <v>0.2</v>
      </c>
      <c r="D32" s="56">
        <f t="shared" si="0"/>
        <v>79200</v>
      </c>
    </row>
    <row r="33" ht="22.5" customHeight="1" spans="1:4">
      <c r="A33" s="56" t="str">
        <v>Sneha Iyer</v>
      </c>
      <c r="B33" s="56">
        <v>69000</v>
      </c>
      <c r="C33" s="57">
        <f>(_xlfn.XLOOKUP(B33,TaxBrackets!$A$2:$A$6,TaxBrackets!$C$2:$C$6,"Not Found",-1))/100</f>
        <v>0.2</v>
      </c>
      <c r="D33" s="56">
        <f t="shared" si="0"/>
        <v>82800</v>
      </c>
    </row>
    <row r="34" ht="22.5" customHeight="1" spans="1:4">
      <c r="A34" s="56" t="str">
        <v>Sneha Kumar</v>
      </c>
      <c r="B34" s="56">
        <v>76000</v>
      </c>
      <c r="C34" s="57">
        <f>(_xlfn.XLOOKUP(B34,TaxBrackets!$A$2:$A$6,TaxBrackets!$C$2:$C$6,"Not Found",-1))/100</f>
        <v>0.28</v>
      </c>
      <c r="D34" s="56">
        <f t="shared" si="0"/>
        <v>97280</v>
      </c>
    </row>
    <row r="35" ht="22.5" customHeight="1" spans="1:4">
      <c r="A35" s="56" t="str">
        <v>Aarav Joshi</v>
      </c>
      <c r="B35" s="56">
        <v>67000</v>
      </c>
      <c r="C35" s="57">
        <f>(_xlfn.XLOOKUP(B35,TaxBrackets!$A$2:$A$6,TaxBrackets!$C$2:$C$6,"Not Found",-1))/100</f>
        <v>0.2</v>
      </c>
      <c r="D35" s="56">
        <f t="shared" ref="D35:D51" si="1">(B35*C35)+B35</f>
        <v>80400</v>
      </c>
    </row>
    <row r="36" ht="22.5" customHeight="1" spans="1:4">
      <c r="A36" s="56" t="str">
        <v>Neha Nair</v>
      </c>
      <c r="B36" s="56">
        <v>66000</v>
      </c>
      <c r="C36" s="57">
        <f>(_xlfn.XLOOKUP(B36,TaxBrackets!$A$2:$A$6,TaxBrackets!$C$2:$C$6,"Not Found",-1))/100</f>
        <v>0.2</v>
      </c>
      <c r="D36" s="56">
        <f t="shared" si="1"/>
        <v>79200</v>
      </c>
    </row>
    <row r="37" ht="22.5" customHeight="1" spans="1:4">
      <c r="A37" s="56" t="str">
        <v>Dev Agarwal</v>
      </c>
      <c r="B37" s="56">
        <v>52000</v>
      </c>
      <c r="C37" s="57">
        <f>(_xlfn.XLOOKUP(B37,TaxBrackets!$A$2:$A$6,TaxBrackets!$C$2:$C$6,"Not Found",-1))/100</f>
        <v>0.2</v>
      </c>
      <c r="D37" s="56">
        <f t="shared" si="1"/>
        <v>62400</v>
      </c>
    </row>
    <row r="38" ht="22.5" customHeight="1" spans="1:4">
      <c r="A38" s="56" t="str">
        <v>Heena Saxena</v>
      </c>
      <c r="B38" s="56">
        <v>61000</v>
      </c>
      <c r="C38" s="57">
        <f>(_xlfn.XLOOKUP(B38,TaxBrackets!$A$2:$A$6,TaxBrackets!$C$2:$C$6,"Not Found",-1))/100</f>
        <v>0.2</v>
      </c>
      <c r="D38" s="56">
        <f t="shared" si="1"/>
        <v>73200</v>
      </c>
    </row>
    <row r="39" ht="22.5" customHeight="1" spans="1:4">
      <c r="A39" s="56" t="str">
        <v>Leena Nair</v>
      </c>
      <c r="B39" s="56">
        <v>45000</v>
      </c>
      <c r="C39" s="57">
        <f>(_xlfn.XLOOKUP(B39,TaxBrackets!$A$2:$A$6,TaxBrackets!$C$2:$C$6,"Not Found",-1))/100</f>
        <v>0.1</v>
      </c>
      <c r="D39" s="56">
        <f t="shared" si="1"/>
        <v>49500</v>
      </c>
    </row>
    <row r="40" ht="22.5" customHeight="1" spans="1:4">
      <c r="A40" s="56" t="str">
        <v>Rekha Roy</v>
      </c>
      <c r="B40" s="56">
        <v>77000</v>
      </c>
      <c r="C40" s="57">
        <f>(_xlfn.XLOOKUP(B40,TaxBrackets!$A$2:$A$6,TaxBrackets!$C$2:$C$6,"Not Found",-1))/100</f>
        <v>0.28</v>
      </c>
      <c r="D40" s="56">
        <f t="shared" si="1"/>
        <v>98560</v>
      </c>
    </row>
    <row r="41" ht="22.5" customHeight="1" spans="1:4">
      <c r="A41" s="56" t="str">
        <v>Anjali Shukla</v>
      </c>
      <c r="B41" s="56">
        <v>53000</v>
      </c>
      <c r="C41" s="57">
        <f>(_xlfn.XLOOKUP(B41,TaxBrackets!$A$2:$A$6,TaxBrackets!$C$2:$C$6,"Not Found",-1))/100</f>
        <v>0.2</v>
      </c>
      <c r="D41" s="56">
        <f t="shared" si="1"/>
        <v>63600</v>
      </c>
    </row>
    <row r="42" ht="22.5" customHeight="1" spans="1:4">
      <c r="A42" s="56" t="str">
        <v>Varun Shah</v>
      </c>
      <c r="B42" s="56">
        <v>59000</v>
      </c>
      <c r="C42" s="57">
        <f>(_xlfn.XLOOKUP(B42,TaxBrackets!$A$2:$A$6,TaxBrackets!$C$2:$C$6,"Not Found",-1))/100</f>
        <v>0.2</v>
      </c>
      <c r="D42" s="56">
        <f t="shared" si="1"/>
        <v>70800</v>
      </c>
    </row>
    <row r="43" ht="22.5" customHeight="1" spans="1:4">
      <c r="A43" s="56" t="str">
        <v>Manav Wagh</v>
      </c>
      <c r="B43" s="56">
        <v>73000</v>
      </c>
      <c r="C43" s="57">
        <f>(_xlfn.XLOOKUP(B43,TaxBrackets!$A$2:$A$6,TaxBrackets!$C$2:$C$6,"Not Found",-1))/100</f>
        <v>0.2</v>
      </c>
      <c r="D43" s="56">
        <f t="shared" si="1"/>
        <v>87600</v>
      </c>
    </row>
    <row r="44" ht="22.5" customHeight="1" spans="1:4">
      <c r="A44" s="56" t="str">
        <v>Vikram Roy</v>
      </c>
      <c r="B44" s="56">
        <v>48000</v>
      </c>
      <c r="C44" s="57">
        <f>(_xlfn.XLOOKUP(B44,TaxBrackets!$A$2:$A$6,TaxBrackets!$C$2:$C$6,"Not Found",-1))/100</f>
        <v>0.1</v>
      </c>
      <c r="D44" s="56">
        <f t="shared" si="1"/>
        <v>52800</v>
      </c>
    </row>
    <row r="45" ht="22.5" customHeight="1" spans="1:4">
      <c r="A45" s="56" t="str">
        <v>Deepa Jain</v>
      </c>
      <c r="B45" s="56">
        <v>74000</v>
      </c>
      <c r="C45" s="57">
        <f>(_xlfn.XLOOKUP(B45,TaxBrackets!$A$2:$A$6,TaxBrackets!$C$2:$C$6,"Not Found",-1))/100</f>
        <v>0.2</v>
      </c>
      <c r="D45" s="56">
        <f t="shared" si="1"/>
        <v>88800</v>
      </c>
    </row>
    <row r="46" ht="22.5" customHeight="1" spans="1:4">
      <c r="A46" s="56" t="str">
        <v>Amit Gupta</v>
      </c>
      <c r="B46" s="56">
        <v>74000</v>
      </c>
      <c r="C46" s="57">
        <f>(_xlfn.XLOOKUP(B46,TaxBrackets!$A$2:$A$6,TaxBrackets!$C$2:$C$6,"Not Found",-1))/100</f>
        <v>0.2</v>
      </c>
      <c r="D46" s="56">
        <f t="shared" si="1"/>
        <v>88800</v>
      </c>
    </row>
    <row r="47" ht="22.5" customHeight="1" spans="1:4">
      <c r="A47" s="56" t="str">
        <v>Smita Mishra</v>
      </c>
      <c r="B47" s="56">
        <v>55000</v>
      </c>
      <c r="C47" s="57">
        <f>(_xlfn.XLOOKUP(B47,TaxBrackets!$A$2:$A$6,TaxBrackets!$C$2:$C$6,"Not Found",-1))/100</f>
        <v>0.2</v>
      </c>
      <c r="D47" s="56">
        <f t="shared" si="1"/>
        <v>66000</v>
      </c>
    </row>
    <row r="48" ht="22.5" customHeight="1" spans="1:4">
      <c r="A48" s="56" t="str">
        <v>Anjali Kulkarni</v>
      </c>
      <c r="B48" s="56">
        <v>56000</v>
      </c>
      <c r="C48" s="57">
        <f>(_xlfn.XLOOKUP(B48,TaxBrackets!$A$2:$A$6,TaxBrackets!$C$2:$C$6,"Not Found",-1))/100</f>
        <v>0.2</v>
      </c>
      <c r="D48" s="56">
        <f t="shared" si="1"/>
        <v>67200</v>
      </c>
    </row>
    <row r="49" ht="22.5" customHeight="1" spans="1:4">
      <c r="A49" s="56" t="str">
        <v>Saurav Ghosh</v>
      </c>
      <c r="B49" s="56">
        <v>67000</v>
      </c>
      <c r="C49" s="57">
        <f>(_xlfn.XLOOKUP(B49,TaxBrackets!$A$2:$A$6,TaxBrackets!$C$2:$C$6,"Not Found",-1))/100</f>
        <v>0.2</v>
      </c>
      <c r="D49" s="56">
        <f t="shared" si="1"/>
        <v>80400</v>
      </c>
    </row>
    <row r="50" ht="22.5" customHeight="1" spans="1:4">
      <c r="A50" s="56" t="str">
        <v>Meera Kumar</v>
      </c>
      <c r="B50" s="56">
        <v>40000</v>
      </c>
      <c r="C50" s="57">
        <f>(_xlfn.XLOOKUP(B50,TaxBrackets!$A$2:$A$6,TaxBrackets!$C$2:$C$6,"Not Found",-1))/100</f>
        <v>0.1</v>
      </c>
      <c r="D50" s="56">
        <f t="shared" si="1"/>
        <v>44000</v>
      </c>
    </row>
    <row r="51" ht="22.5" customHeight="1" spans="1:4">
      <c r="A51" s="56" t="str">
        <v>Harsh Shah</v>
      </c>
      <c r="B51" s="56">
        <v>62000</v>
      </c>
      <c r="C51" s="57">
        <f>(_xlfn.XLOOKUP(B51,TaxBrackets!$A$2:$A$6,TaxBrackets!$C$2:$C$6,"Not Found",-1))/100</f>
        <v>0.2</v>
      </c>
      <c r="D51" s="56">
        <f t="shared" si="1"/>
        <v>74400</v>
      </c>
    </row>
  </sheetData>
  <mergeCells count="1">
    <mergeCell ref="G1:L1"/>
  </mergeCells>
  <conditionalFormatting sqref="A1:D51">
    <cfRule type="expression" dxfId="38" priority="1">
      <formula>MOD(ROW(),2)=1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C2" sqref="C2"/>
    </sheetView>
  </sheetViews>
  <sheetFormatPr defaultColWidth="12.6285714285714" defaultRowHeight="15.75" customHeight="1" outlineLevelCol="6"/>
  <cols>
    <col min="1" max="1" width="23.8571428571429" customWidth="1"/>
    <col min="2" max="2" width="14.2857142857143" customWidth="1"/>
    <col min="3" max="3" width="22.5714285714286" customWidth="1"/>
    <col min="7" max="7" width="33.2857142857143" customWidth="1"/>
  </cols>
  <sheetData>
    <row r="1" ht="18" spans="1:5">
      <c r="A1" s="9" t="s">
        <v>19</v>
      </c>
      <c r="B1" s="47" t="s">
        <v>22</v>
      </c>
      <c r="C1" s="48" t="s">
        <v>160</v>
      </c>
      <c r="D1" s="49"/>
      <c r="E1" s="17" t="s">
        <v>10</v>
      </c>
    </row>
    <row r="2" customHeight="1" spans="1:5">
      <c r="A2" s="10" t="s">
        <v>28</v>
      </c>
      <c r="B2" s="50">
        <v>42964</v>
      </c>
      <c r="C2" s="43">
        <f ca="1">DATEDIF(B2,TODAY(),"Y")</f>
        <v>8</v>
      </c>
      <c r="D2" s="49"/>
    </row>
    <row r="3" customHeight="1" spans="1:5">
      <c r="A3" s="10" t="s">
        <v>33</v>
      </c>
      <c r="B3" s="50">
        <v>43583</v>
      </c>
      <c r="C3" s="43">
        <f ca="1">DATEDIF(B3,TODAY(),"M")</f>
        <v>85</v>
      </c>
      <c r="D3" s="49"/>
    </row>
    <row r="4" customHeight="1" spans="1:5">
      <c r="A4" s="10" t="s">
        <v>35</v>
      </c>
      <c r="B4" s="50">
        <v>43703</v>
      </c>
      <c r="C4" s="43">
        <f ca="1" t="shared" ref="C4:C51" si="0">DATEDIF(B4,TODAY(),"Y")</f>
        <v>6</v>
      </c>
      <c r="D4" s="49"/>
    </row>
    <row r="5" customHeight="1" spans="1:5">
      <c r="A5" s="10" t="s">
        <v>38</v>
      </c>
      <c r="B5" s="50">
        <v>42686</v>
      </c>
      <c r="C5" s="43">
        <f ca="1" t="shared" si="0"/>
        <v>9</v>
      </c>
      <c r="D5" s="49"/>
    </row>
    <row r="6" customHeight="1" spans="1:5">
      <c r="A6" s="10" t="s">
        <v>42</v>
      </c>
      <c r="B6" s="50">
        <v>45365</v>
      </c>
      <c r="C6" s="43">
        <f ca="1" t="shared" si="0"/>
        <v>2</v>
      </c>
      <c r="D6" s="49"/>
    </row>
    <row r="7" customHeight="1" spans="1:5">
      <c r="A7" s="10" t="s">
        <v>44</v>
      </c>
      <c r="B7" s="50">
        <v>44593</v>
      </c>
      <c r="C7" s="43">
        <f ca="1" t="shared" si="0"/>
        <v>4</v>
      </c>
      <c r="D7" s="49"/>
    </row>
    <row r="8" customHeight="1" spans="1:5">
      <c r="A8" s="10" t="s">
        <v>46</v>
      </c>
      <c r="B8" s="50">
        <v>45679</v>
      </c>
      <c r="C8" s="43">
        <f ca="1" t="shared" si="0"/>
        <v>1</v>
      </c>
      <c r="D8" s="49"/>
    </row>
    <row r="9" customHeight="1" spans="1:5">
      <c r="A9" s="10" t="s">
        <v>49</v>
      </c>
      <c r="B9" s="50">
        <v>45814</v>
      </c>
      <c r="C9" s="43">
        <f ca="1" t="shared" si="0"/>
        <v>1</v>
      </c>
      <c r="D9" s="49"/>
    </row>
    <row r="10" customHeight="1" spans="1:5">
      <c r="A10" s="10" t="s">
        <v>51</v>
      </c>
      <c r="B10" s="50">
        <v>44863</v>
      </c>
      <c r="C10" s="43">
        <f ca="1" t="shared" si="0"/>
        <v>3</v>
      </c>
      <c r="D10" s="49"/>
    </row>
    <row r="11" customHeight="1" spans="1:5">
      <c r="A11" s="10" t="s">
        <v>53</v>
      </c>
      <c r="B11" s="50">
        <v>43127</v>
      </c>
      <c r="C11" s="43">
        <f ca="1" t="shared" si="0"/>
        <v>8</v>
      </c>
      <c r="D11" s="49"/>
    </row>
    <row r="12" customHeight="1" spans="1:5">
      <c r="A12" s="10" t="s">
        <v>55</v>
      </c>
      <c r="B12" s="50">
        <v>45332</v>
      </c>
      <c r="C12" s="43">
        <f ca="1" t="shared" si="0"/>
        <v>2</v>
      </c>
      <c r="D12" s="49"/>
    </row>
    <row r="13" customHeight="1" spans="1:5">
      <c r="A13" s="10" t="s">
        <v>59</v>
      </c>
      <c r="B13" s="50">
        <v>43197</v>
      </c>
      <c r="C13" s="43">
        <f ca="1" t="shared" si="0"/>
        <v>8</v>
      </c>
      <c r="D13" s="49"/>
    </row>
    <row r="14" customHeight="1" spans="1:5">
      <c r="A14" s="10" t="s">
        <v>61</v>
      </c>
      <c r="B14" s="50">
        <v>44905</v>
      </c>
      <c r="C14" s="43">
        <f ca="1" t="shared" si="0"/>
        <v>3</v>
      </c>
      <c r="D14" s="49"/>
    </row>
    <row r="15" customHeight="1" spans="1:5">
      <c r="A15" s="10" t="s">
        <v>64</v>
      </c>
      <c r="B15" s="50">
        <v>44381</v>
      </c>
      <c r="C15" s="43">
        <f ca="1" t="shared" si="0"/>
        <v>4</v>
      </c>
      <c r="D15" s="49"/>
    </row>
    <row r="16" customHeight="1" spans="1:5">
      <c r="A16" s="10" t="s">
        <v>66</v>
      </c>
      <c r="B16" s="50">
        <v>42942</v>
      </c>
      <c r="C16" s="43">
        <f ca="1" t="shared" si="0"/>
        <v>8</v>
      </c>
      <c r="D16" s="49"/>
    </row>
    <row r="17" customHeight="1" spans="1:4">
      <c r="A17" s="10" t="s">
        <v>69</v>
      </c>
      <c r="B17" s="50">
        <v>45629</v>
      </c>
      <c r="C17" s="43">
        <f ca="1" t="shared" si="0"/>
        <v>1</v>
      </c>
      <c r="D17" s="49"/>
    </row>
    <row r="18" customHeight="1" spans="1:4">
      <c r="A18" s="10" t="s">
        <v>71</v>
      </c>
      <c r="B18" s="50">
        <v>43559</v>
      </c>
      <c r="C18" s="43">
        <f ca="1" t="shared" si="0"/>
        <v>7</v>
      </c>
      <c r="D18" s="49"/>
    </row>
    <row r="19" customHeight="1" spans="1:4">
      <c r="A19" s="10" t="s">
        <v>73</v>
      </c>
      <c r="B19" s="50">
        <v>43215</v>
      </c>
      <c r="C19" s="43">
        <f ca="1" t="shared" si="0"/>
        <v>8</v>
      </c>
      <c r="D19" s="49"/>
    </row>
    <row r="20" customHeight="1" spans="1:4">
      <c r="A20" s="10" t="s">
        <v>76</v>
      </c>
      <c r="B20" s="50">
        <v>45545</v>
      </c>
      <c r="C20" s="43">
        <f ca="1" t="shared" si="0"/>
        <v>1</v>
      </c>
      <c r="D20" s="49"/>
    </row>
    <row r="21" customHeight="1" spans="1:4">
      <c r="A21" s="10" t="s">
        <v>78</v>
      </c>
      <c r="B21" s="50">
        <v>43922</v>
      </c>
      <c r="C21" s="43">
        <f ca="1" t="shared" si="0"/>
        <v>6</v>
      </c>
      <c r="D21" s="49"/>
    </row>
    <row r="22" customHeight="1" spans="1:4">
      <c r="A22" s="10" t="s">
        <v>80</v>
      </c>
      <c r="B22" s="50">
        <v>42878</v>
      </c>
      <c r="C22" s="43">
        <f ca="1" t="shared" si="0"/>
        <v>9</v>
      </c>
      <c r="D22" s="49"/>
    </row>
    <row r="23" customHeight="1" spans="1:4">
      <c r="A23" s="10" t="s">
        <v>84</v>
      </c>
      <c r="B23" s="50">
        <v>44000</v>
      </c>
      <c r="C23" s="43">
        <f ca="1" t="shared" si="0"/>
        <v>6</v>
      </c>
      <c r="D23" s="49"/>
    </row>
    <row r="24" customHeight="1" spans="1:4">
      <c r="A24" s="10" t="s">
        <v>86</v>
      </c>
      <c r="B24" s="50">
        <v>43678</v>
      </c>
      <c r="C24" s="43">
        <f ca="1" t="shared" si="0"/>
        <v>6</v>
      </c>
      <c r="D24" s="49"/>
    </row>
    <row r="25" customHeight="1" spans="1:4">
      <c r="A25" s="10" t="s">
        <v>89</v>
      </c>
      <c r="B25" s="50">
        <v>45476</v>
      </c>
      <c r="C25" s="43">
        <f ca="1" t="shared" si="0"/>
        <v>1</v>
      </c>
      <c r="D25" s="49"/>
    </row>
    <row r="26" customHeight="1" spans="1:4">
      <c r="A26" s="10" t="s">
        <v>91</v>
      </c>
      <c r="B26" s="50">
        <v>45134</v>
      </c>
      <c r="C26" s="43">
        <f ca="1" t="shared" si="0"/>
        <v>2</v>
      </c>
      <c r="D26" s="49"/>
    </row>
    <row r="27" customHeight="1" spans="1:4">
      <c r="A27" s="10" t="s">
        <v>94</v>
      </c>
      <c r="B27" s="50">
        <v>44207</v>
      </c>
      <c r="C27" s="43">
        <f ca="1" t="shared" si="0"/>
        <v>5</v>
      </c>
      <c r="D27" s="49"/>
    </row>
    <row r="28" customHeight="1" spans="1:4">
      <c r="A28" s="10" t="s">
        <v>96</v>
      </c>
      <c r="B28" s="50">
        <v>43591</v>
      </c>
      <c r="C28" s="43">
        <f ca="1" t="shared" si="0"/>
        <v>7</v>
      </c>
      <c r="D28" s="49"/>
    </row>
    <row r="29" customHeight="1" spans="1:4">
      <c r="A29" s="10" t="s">
        <v>98</v>
      </c>
      <c r="B29" s="50">
        <v>44648</v>
      </c>
      <c r="C29" s="43">
        <f ca="1" t="shared" si="0"/>
        <v>4</v>
      </c>
      <c r="D29" s="49"/>
    </row>
    <row r="30" customHeight="1" spans="1:4">
      <c r="A30" s="10" t="s">
        <v>101</v>
      </c>
      <c r="B30" s="50">
        <v>43039</v>
      </c>
      <c r="C30" s="43">
        <f ca="1" t="shared" si="0"/>
        <v>8</v>
      </c>
      <c r="D30" s="49"/>
    </row>
    <row r="31" customHeight="1" spans="1:4">
      <c r="A31" s="10" t="s">
        <v>103</v>
      </c>
      <c r="B31" s="50">
        <v>45604</v>
      </c>
      <c r="C31" s="43">
        <f ca="1" t="shared" si="0"/>
        <v>1</v>
      </c>
      <c r="D31" s="49"/>
    </row>
    <row r="32" customHeight="1" spans="1:4">
      <c r="A32" s="10" t="s">
        <v>105</v>
      </c>
      <c r="B32" s="50">
        <v>45753</v>
      </c>
      <c r="C32" s="43">
        <f ca="1" t="shared" si="0"/>
        <v>1</v>
      </c>
      <c r="D32" s="49"/>
    </row>
    <row r="33" customHeight="1" spans="1:4">
      <c r="A33" s="10" t="s">
        <v>109</v>
      </c>
      <c r="B33" s="50">
        <v>43805</v>
      </c>
      <c r="C33" s="43">
        <f ca="1" t="shared" si="0"/>
        <v>6</v>
      </c>
      <c r="D33" s="49"/>
    </row>
    <row r="34" customHeight="1" spans="1:4">
      <c r="A34" s="10" t="s">
        <v>112</v>
      </c>
      <c r="B34" s="50">
        <v>42692</v>
      </c>
      <c r="C34" s="43">
        <f ca="1" t="shared" si="0"/>
        <v>9</v>
      </c>
      <c r="D34" s="49"/>
    </row>
    <row r="35" customHeight="1" spans="1:4">
      <c r="A35" s="10" t="s">
        <v>115</v>
      </c>
      <c r="B35" s="50">
        <v>45320</v>
      </c>
      <c r="C35" s="43">
        <f ca="1" t="shared" si="0"/>
        <v>2</v>
      </c>
      <c r="D35" s="49"/>
    </row>
    <row r="36" customHeight="1" spans="1:4">
      <c r="A36" s="10" t="s">
        <v>117</v>
      </c>
      <c r="B36" s="50">
        <v>45993</v>
      </c>
      <c r="C36" s="43">
        <f ca="1" t="shared" si="0"/>
        <v>0</v>
      </c>
      <c r="D36" s="49"/>
    </row>
    <row r="37" customHeight="1" spans="1:4">
      <c r="A37" s="10" t="s">
        <v>119</v>
      </c>
      <c r="B37" s="50">
        <v>45367</v>
      </c>
      <c r="C37" s="43">
        <f ca="1" t="shared" si="0"/>
        <v>2</v>
      </c>
      <c r="D37" s="49"/>
    </row>
    <row r="38" customHeight="1" spans="1:4">
      <c r="A38" s="10" t="s">
        <v>121</v>
      </c>
      <c r="B38" s="50">
        <v>42938</v>
      </c>
      <c r="C38" s="43">
        <f ca="1" t="shared" si="0"/>
        <v>8</v>
      </c>
      <c r="D38" s="49"/>
    </row>
    <row r="39" customHeight="1" spans="1:4">
      <c r="A39" s="10" t="s">
        <v>123</v>
      </c>
      <c r="B39" s="50">
        <v>43921</v>
      </c>
      <c r="C39" s="43">
        <f ca="1" t="shared" si="0"/>
        <v>6</v>
      </c>
      <c r="D39" s="49"/>
    </row>
    <row r="40" customHeight="1" spans="1:4">
      <c r="A40" s="10" t="s">
        <v>125</v>
      </c>
      <c r="B40" s="50">
        <v>45510</v>
      </c>
      <c r="C40" s="43">
        <f ca="1" t="shared" si="0"/>
        <v>1</v>
      </c>
      <c r="D40" s="49"/>
    </row>
    <row r="41" customHeight="1" spans="1:4">
      <c r="A41" s="10" t="s">
        <v>127</v>
      </c>
      <c r="B41" s="50">
        <v>44933</v>
      </c>
      <c r="C41" s="43">
        <f ca="1" t="shared" si="0"/>
        <v>3</v>
      </c>
      <c r="D41" s="49"/>
    </row>
    <row r="42" customHeight="1" spans="1:4">
      <c r="A42" s="10" t="s">
        <v>130</v>
      </c>
      <c r="B42" s="50">
        <v>44129</v>
      </c>
      <c r="C42" s="43">
        <f ca="1" t="shared" si="0"/>
        <v>5</v>
      </c>
      <c r="D42" s="49"/>
    </row>
    <row r="43" customHeight="1" spans="1:4">
      <c r="A43" s="10" t="s">
        <v>134</v>
      </c>
      <c r="B43" s="50">
        <v>45701</v>
      </c>
      <c r="C43" s="43">
        <f ca="1" t="shared" si="0"/>
        <v>1</v>
      </c>
      <c r="D43" s="49"/>
    </row>
    <row r="44" customHeight="1" spans="1:4">
      <c r="A44" s="10" t="s">
        <v>137</v>
      </c>
      <c r="B44" s="50">
        <v>44834</v>
      </c>
      <c r="C44" s="43">
        <f ca="1" t="shared" si="0"/>
        <v>3</v>
      </c>
      <c r="D44" s="49"/>
    </row>
    <row r="45" customHeight="1" spans="1:4">
      <c r="A45" s="10" t="s">
        <v>139</v>
      </c>
      <c r="B45" s="50">
        <v>43266</v>
      </c>
      <c r="C45" s="43">
        <f ca="1" t="shared" si="0"/>
        <v>8</v>
      </c>
      <c r="D45" s="49"/>
    </row>
    <row r="46" customHeight="1" spans="1:4">
      <c r="A46" s="10" t="s">
        <v>141</v>
      </c>
      <c r="B46" s="50">
        <v>42961</v>
      </c>
      <c r="C46" s="43">
        <f ca="1" t="shared" si="0"/>
        <v>8</v>
      </c>
      <c r="D46" s="49"/>
    </row>
    <row r="47" customHeight="1" spans="1:4">
      <c r="A47" s="10" t="s">
        <v>143</v>
      </c>
      <c r="B47" s="50">
        <v>43186</v>
      </c>
      <c r="C47" s="43">
        <f ca="1" t="shared" si="0"/>
        <v>8</v>
      </c>
      <c r="D47" s="49"/>
    </row>
    <row r="48" customHeight="1" spans="1:4">
      <c r="A48" s="10" t="s">
        <v>146</v>
      </c>
      <c r="B48" s="50">
        <v>42604</v>
      </c>
      <c r="C48" s="43">
        <f ca="1" t="shared" si="0"/>
        <v>9</v>
      </c>
      <c r="D48" s="49"/>
    </row>
    <row r="49" customHeight="1" spans="1:4">
      <c r="A49" s="10" t="s">
        <v>149</v>
      </c>
      <c r="B49" s="50">
        <v>42965</v>
      </c>
      <c r="C49" s="43">
        <f ca="1" t="shared" si="0"/>
        <v>8</v>
      </c>
      <c r="D49" s="49"/>
    </row>
    <row r="50" customHeight="1" spans="1:4">
      <c r="A50" s="10" t="s">
        <v>151</v>
      </c>
      <c r="B50" s="50">
        <v>43767</v>
      </c>
      <c r="C50" s="43">
        <f ca="1" t="shared" si="0"/>
        <v>6</v>
      </c>
      <c r="D50" s="49"/>
    </row>
    <row r="51" customHeight="1" spans="1:4">
      <c r="A51" s="10" t="s">
        <v>153</v>
      </c>
      <c r="B51" s="50">
        <v>44739</v>
      </c>
      <c r="C51" s="43">
        <f ca="1" t="shared" si="0"/>
        <v>3</v>
      </c>
      <c r="D51" s="49"/>
    </row>
    <row r="52" customHeight="1" spans="1:4">
      <c r="A52" s="44"/>
      <c r="B52" s="51"/>
      <c r="C52" s="52"/>
      <c r="D52" s="49"/>
    </row>
    <row r="53" customHeight="1" spans="1:4">
      <c r="A53" s="44"/>
      <c r="B53" s="51"/>
      <c r="C53" s="52"/>
      <c r="D53" s="49"/>
    </row>
    <row r="54" customHeight="1" spans="1:4">
      <c r="A54" s="44"/>
      <c r="B54" s="51"/>
      <c r="C54" s="52"/>
      <c r="D54" s="49"/>
    </row>
    <row r="55" customHeight="1" spans="1:4">
      <c r="A55" s="44"/>
      <c r="B55" s="51"/>
      <c r="C55" s="52"/>
      <c r="D55" s="49"/>
    </row>
    <row r="56" customHeight="1" spans="1:4">
      <c r="A56" s="44"/>
      <c r="B56" s="51"/>
      <c r="C56" s="52"/>
      <c r="D56" s="49"/>
    </row>
    <row r="57" customHeight="1" spans="1:4">
      <c r="A57" s="44"/>
      <c r="B57" s="51"/>
      <c r="C57" s="52"/>
      <c r="D57" s="49"/>
    </row>
    <row r="58" customHeight="1" spans="1:4">
      <c r="A58" s="44"/>
      <c r="B58" s="51"/>
      <c r="C58" s="52"/>
      <c r="D58" s="49"/>
    </row>
    <row r="59" customHeight="1" spans="1:4">
      <c r="A59" s="44"/>
      <c r="B59" s="51"/>
      <c r="C59" s="52"/>
      <c r="D59" s="49"/>
    </row>
    <row r="60" customHeight="1" spans="1:4">
      <c r="A60" s="44"/>
      <c r="B60" s="51"/>
      <c r="C60" s="52"/>
      <c r="D60" s="49"/>
    </row>
    <row r="61" customHeight="1" spans="1:4">
      <c r="A61" s="44"/>
      <c r="B61" s="51"/>
      <c r="C61" s="52"/>
      <c r="D61" s="49"/>
    </row>
    <row r="62" customHeight="1" spans="1:4">
      <c r="A62" s="44"/>
      <c r="B62" s="51"/>
      <c r="C62" s="52"/>
      <c r="D62" s="49"/>
    </row>
    <row r="63" customHeight="1" spans="1:4">
      <c r="A63" s="44"/>
      <c r="B63" s="51"/>
      <c r="C63" s="52"/>
      <c r="D63" s="49"/>
    </row>
    <row r="64" customHeight="1" spans="1:4">
      <c r="A64" s="44"/>
      <c r="B64" s="51"/>
      <c r="C64" s="52"/>
      <c r="D64" s="49"/>
    </row>
    <row r="65" customHeight="1" spans="1:4">
      <c r="A65" s="44"/>
      <c r="B65" s="51"/>
      <c r="C65" s="52"/>
      <c r="D65" s="49"/>
    </row>
    <row r="66" customHeight="1" spans="1:4">
      <c r="A66" s="44"/>
      <c r="B66" s="51"/>
      <c r="C66" s="52"/>
      <c r="D66" s="49"/>
    </row>
    <row r="67" customHeight="1" spans="1:4">
      <c r="A67" s="44"/>
      <c r="B67" s="51"/>
      <c r="C67" s="52"/>
      <c r="D67" s="49"/>
    </row>
    <row r="68" customHeight="1" spans="1:4">
      <c r="A68" s="44"/>
      <c r="B68" s="51"/>
      <c r="C68" s="52"/>
      <c r="D68" s="49"/>
    </row>
    <row r="69" customHeight="1" spans="1:4">
      <c r="A69" s="44"/>
      <c r="B69" s="51"/>
      <c r="C69" s="52"/>
      <c r="D69" s="49"/>
    </row>
    <row r="70" customHeight="1" spans="1:4">
      <c r="A70" s="44"/>
      <c r="B70" s="51"/>
      <c r="C70" s="52"/>
      <c r="D70" s="49"/>
    </row>
    <row r="71" customHeight="1" spans="1:4">
      <c r="A71" s="44"/>
      <c r="B71" s="51"/>
      <c r="C71" s="52"/>
      <c r="D71" s="49"/>
    </row>
    <row r="72" customHeight="1" spans="1:4">
      <c r="A72" s="44"/>
      <c r="B72" s="51"/>
      <c r="C72" s="52"/>
      <c r="D72" s="49"/>
    </row>
    <row r="73" customHeight="1" spans="1:4">
      <c r="A73" s="44"/>
      <c r="B73" s="51"/>
      <c r="C73" s="52"/>
      <c r="D73" s="49"/>
    </row>
    <row r="74" customHeight="1" spans="1:4">
      <c r="A74" s="44"/>
      <c r="B74" s="51"/>
      <c r="C74" s="52"/>
      <c r="D74" s="49"/>
    </row>
    <row r="75" customHeight="1" spans="1:4">
      <c r="A75" s="44"/>
      <c r="B75" s="51"/>
      <c r="C75" s="52"/>
      <c r="D75" s="49"/>
    </row>
    <row r="76" customHeight="1" spans="1:4">
      <c r="A76" s="44"/>
      <c r="B76" s="51"/>
      <c r="C76" s="52"/>
      <c r="D76" s="49"/>
    </row>
    <row r="77" customHeight="1" spans="1:4">
      <c r="A77" s="44"/>
      <c r="B77" s="51"/>
      <c r="C77" s="52"/>
      <c r="D77" s="49"/>
    </row>
    <row r="78" customHeight="1" spans="1:4">
      <c r="A78" s="44"/>
      <c r="B78" s="51"/>
      <c r="C78" s="52"/>
      <c r="D78" s="49"/>
    </row>
    <row r="79" customHeight="1" spans="1:4">
      <c r="A79" s="44"/>
      <c r="B79" s="51"/>
      <c r="C79" s="52"/>
      <c r="D79" s="49"/>
    </row>
    <row r="80" customHeight="1" spans="1:4">
      <c r="A80" s="44"/>
      <c r="B80" s="51"/>
      <c r="C80" s="52"/>
      <c r="D80" s="49"/>
    </row>
    <row r="81" customHeight="1" spans="1:4">
      <c r="A81" s="44"/>
      <c r="B81" s="51"/>
      <c r="C81" s="52"/>
      <c r="D81" s="49"/>
    </row>
    <row r="82" customHeight="1" spans="1:4">
      <c r="A82" s="44"/>
      <c r="B82" s="51"/>
      <c r="C82" s="52"/>
      <c r="D82" s="49"/>
    </row>
    <row r="83" customHeight="1" spans="1:4">
      <c r="A83" s="44"/>
      <c r="B83" s="51"/>
      <c r="C83" s="52"/>
      <c r="D83" s="49"/>
    </row>
    <row r="84" customHeight="1" spans="1:4">
      <c r="A84" s="44"/>
      <c r="B84" s="51"/>
      <c r="C84" s="52"/>
      <c r="D84" s="49"/>
    </row>
    <row r="85" customHeight="1" spans="1:4">
      <c r="A85" s="44"/>
      <c r="B85" s="51"/>
      <c r="C85" s="52"/>
      <c r="D85" s="49"/>
    </row>
    <row r="86" customHeight="1" spans="1:4">
      <c r="A86" s="44"/>
      <c r="B86" s="51"/>
      <c r="C86" s="52"/>
      <c r="D86" s="49"/>
    </row>
    <row r="87" customHeight="1" spans="1:4">
      <c r="A87" s="44"/>
      <c r="B87" s="51"/>
      <c r="C87" s="52"/>
      <c r="D87" s="49"/>
    </row>
    <row r="88" customHeight="1" spans="1:4">
      <c r="A88" s="44"/>
      <c r="B88" s="51"/>
      <c r="C88" s="52"/>
      <c r="D88" s="49"/>
    </row>
    <row r="89" customHeight="1" spans="1:4">
      <c r="A89" s="44"/>
      <c r="B89" s="51"/>
      <c r="C89" s="52"/>
      <c r="D89" s="49"/>
    </row>
    <row r="90" customHeight="1" spans="1:4">
      <c r="A90" s="44"/>
      <c r="B90" s="51"/>
      <c r="C90" s="52"/>
      <c r="D90" s="49"/>
    </row>
    <row r="91" customHeight="1" spans="1:4">
      <c r="A91" s="44"/>
      <c r="B91" s="51"/>
      <c r="C91" s="52"/>
      <c r="D91" s="49"/>
    </row>
    <row r="92" customHeight="1" spans="1:4">
      <c r="A92" s="44"/>
      <c r="B92" s="51"/>
      <c r="C92" s="52"/>
      <c r="D92" s="49"/>
    </row>
    <row r="93" customHeight="1" spans="1:4">
      <c r="A93" s="44"/>
      <c r="B93" s="51"/>
      <c r="C93" s="52"/>
      <c r="D93" s="49"/>
    </row>
    <row r="94" customHeight="1" spans="1:4">
      <c r="A94" s="44"/>
      <c r="B94" s="51"/>
      <c r="C94" s="52"/>
      <c r="D94" s="49"/>
    </row>
    <row r="95" customHeight="1" spans="1:4">
      <c r="A95" s="44"/>
      <c r="B95" s="51"/>
      <c r="C95" s="52"/>
      <c r="D95" s="49"/>
    </row>
    <row r="96" customHeight="1" spans="1:4">
      <c r="A96" s="44"/>
      <c r="B96" s="51"/>
      <c r="C96" s="52"/>
      <c r="D96" s="49"/>
    </row>
    <row r="97" customHeight="1" spans="1:4">
      <c r="A97" s="44"/>
      <c r="B97" s="51"/>
      <c r="C97" s="52"/>
      <c r="D97" s="49"/>
    </row>
    <row r="98" customHeight="1" spans="1:4">
      <c r="A98" s="44"/>
      <c r="B98" s="51"/>
      <c r="C98" s="52"/>
      <c r="D98" s="49"/>
    </row>
    <row r="99" customHeight="1" spans="1:4">
      <c r="A99" s="44"/>
      <c r="B99" s="51"/>
      <c r="C99" s="52"/>
      <c r="D99" s="49"/>
    </row>
    <row r="100" customHeight="1" spans="1:4">
      <c r="A100" s="44"/>
      <c r="B100" s="51"/>
      <c r="C100" s="52"/>
      <c r="D100" s="49"/>
    </row>
    <row r="101" customHeight="1" spans="1:4">
      <c r="A101" s="44"/>
      <c r="B101" s="51"/>
      <c r="C101" s="52"/>
      <c r="D101" s="49"/>
    </row>
    <row r="102" customHeight="1" spans="1:4">
      <c r="A102" s="44"/>
      <c r="B102" s="51"/>
      <c r="C102" s="52"/>
      <c r="D102" s="49"/>
    </row>
    <row r="103" customHeight="1" spans="1:4">
      <c r="A103" s="44"/>
      <c r="B103" s="51"/>
      <c r="C103" s="52"/>
      <c r="D103" s="49"/>
    </row>
    <row r="104" customHeight="1" spans="1:4">
      <c r="A104" s="44"/>
      <c r="B104" s="51"/>
      <c r="C104" s="52"/>
      <c r="D104" s="49"/>
    </row>
    <row r="105" customHeight="1" spans="1:4">
      <c r="A105" s="44"/>
      <c r="B105" s="51"/>
      <c r="C105" s="52"/>
      <c r="D105" s="49"/>
    </row>
    <row r="106" customHeight="1" spans="1:4">
      <c r="A106" s="44"/>
      <c r="B106" s="51"/>
      <c r="C106" s="52"/>
      <c r="D106" s="49"/>
    </row>
    <row r="107" customHeight="1" spans="1:4">
      <c r="A107" s="44"/>
      <c r="B107" s="51"/>
      <c r="C107" s="52"/>
      <c r="D107" s="49"/>
    </row>
    <row r="108" customHeight="1" spans="1:4">
      <c r="A108" s="44"/>
      <c r="B108" s="51"/>
      <c r="C108" s="52"/>
      <c r="D108" s="49"/>
    </row>
    <row r="109" customHeight="1" spans="1:4">
      <c r="A109" s="44"/>
      <c r="B109" s="51"/>
      <c r="C109" s="52"/>
      <c r="D109" s="49"/>
    </row>
    <row r="110" customHeight="1" spans="1:4">
      <c r="A110" s="44"/>
      <c r="B110" s="51"/>
      <c r="C110" s="52"/>
      <c r="D110" s="49"/>
    </row>
    <row r="111" customHeight="1" spans="1:4">
      <c r="A111" s="44"/>
      <c r="B111" s="51"/>
      <c r="C111" s="52"/>
      <c r="D111" s="49"/>
    </row>
    <row r="112" customHeight="1" spans="1:4">
      <c r="A112" s="44"/>
      <c r="B112" s="51"/>
      <c r="C112" s="52"/>
      <c r="D112" s="49"/>
    </row>
    <row r="113" customHeight="1" spans="1:4">
      <c r="A113" s="44"/>
      <c r="B113" s="51"/>
      <c r="C113" s="52"/>
      <c r="D113" s="49"/>
    </row>
    <row r="114" customHeight="1" spans="1:4">
      <c r="A114" s="44"/>
      <c r="B114" s="51"/>
      <c r="C114" s="52"/>
      <c r="D114" s="49"/>
    </row>
    <row r="115" customHeight="1" spans="1:4">
      <c r="A115" s="44"/>
      <c r="B115" s="51"/>
      <c r="C115" s="52"/>
      <c r="D115" s="49"/>
    </row>
    <row r="116" customHeight="1" spans="1:4">
      <c r="A116" s="44"/>
      <c r="B116" s="51"/>
      <c r="C116" s="52"/>
      <c r="D116" s="49"/>
    </row>
    <row r="117" customHeight="1" spans="1:4">
      <c r="A117" s="44"/>
      <c r="B117" s="51"/>
      <c r="C117" s="52"/>
      <c r="D117" s="49"/>
    </row>
    <row r="118" customHeight="1" spans="1:4">
      <c r="A118" s="44"/>
      <c r="B118" s="51"/>
      <c r="C118" s="52"/>
      <c r="D118" s="49"/>
    </row>
    <row r="119" customHeight="1" spans="1:4">
      <c r="A119" s="44"/>
      <c r="B119" s="51"/>
      <c r="C119" s="52"/>
      <c r="D119" s="49"/>
    </row>
    <row r="120" customHeight="1" spans="1:4">
      <c r="A120" s="44"/>
      <c r="B120" s="51"/>
      <c r="C120" s="52"/>
      <c r="D120" s="49"/>
    </row>
    <row r="121" customHeight="1" spans="1:4">
      <c r="A121" s="44"/>
      <c r="B121" s="51"/>
      <c r="C121" s="52"/>
      <c r="D121" s="49"/>
    </row>
    <row r="122" customHeight="1" spans="1:4">
      <c r="A122" s="44"/>
      <c r="B122" s="51"/>
      <c r="C122" s="52"/>
      <c r="D122" s="49"/>
    </row>
    <row r="123" customHeight="1" spans="1:4">
      <c r="A123" s="44"/>
      <c r="B123" s="51"/>
      <c r="C123" s="52"/>
      <c r="D123" s="49"/>
    </row>
    <row r="124" customHeight="1" spans="1:4">
      <c r="A124" s="44"/>
      <c r="B124" s="51"/>
      <c r="C124" s="52"/>
      <c r="D124" s="49"/>
    </row>
    <row r="125" customHeight="1" spans="1:4">
      <c r="A125" s="44"/>
      <c r="B125" s="51"/>
      <c r="C125" s="52"/>
      <c r="D125" s="49"/>
    </row>
    <row r="126" customHeight="1" spans="1:4">
      <c r="A126" s="44"/>
      <c r="B126" s="51"/>
      <c r="C126" s="52"/>
      <c r="D126" s="49"/>
    </row>
    <row r="127" customHeight="1" spans="1:4">
      <c r="A127" s="44"/>
      <c r="B127" s="51"/>
      <c r="C127" s="52"/>
      <c r="D127" s="49"/>
    </row>
    <row r="128" customHeight="1" spans="1:4">
      <c r="A128" s="44"/>
      <c r="B128" s="51"/>
      <c r="C128" s="52"/>
      <c r="D128" s="49"/>
    </row>
    <row r="129" customHeight="1" spans="1:4">
      <c r="A129" s="44"/>
      <c r="B129" s="51"/>
      <c r="C129" s="52"/>
      <c r="D129" s="49"/>
    </row>
    <row r="130" customHeight="1" spans="1:4">
      <c r="A130" s="44"/>
      <c r="B130" s="51"/>
      <c r="C130" s="52"/>
      <c r="D130" s="49"/>
    </row>
    <row r="131" customHeight="1" spans="1:4">
      <c r="A131" s="44"/>
      <c r="B131" s="51"/>
      <c r="C131" s="52"/>
      <c r="D131" s="49"/>
    </row>
    <row r="132" customHeight="1" spans="1:4">
      <c r="A132" s="44"/>
      <c r="B132" s="51"/>
      <c r="C132" s="52"/>
      <c r="D132" s="49"/>
    </row>
    <row r="133" customHeight="1" spans="1:4">
      <c r="A133" s="44"/>
      <c r="B133" s="51"/>
      <c r="C133" s="52"/>
      <c r="D133" s="49"/>
    </row>
    <row r="134" customHeight="1" spans="1:4">
      <c r="A134" s="44"/>
      <c r="B134" s="51"/>
      <c r="C134" s="52"/>
      <c r="D134" s="49"/>
    </row>
    <row r="135" customHeight="1" spans="1:4">
      <c r="A135" s="44"/>
      <c r="B135" s="51"/>
      <c r="C135" s="52"/>
      <c r="D135" s="49"/>
    </row>
    <row r="136" customHeight="1" spans="1:4">
      <c r="A136" s="44"/>
      <c r="B136" s="51"/>
      <c r="C136" s="52"/>
      <c r="D136" s="49"/>
    </row>
    <row r="137" customHeight="1" spans="1:4">
      <c r="A137" s="44"/>
      <c r="B137" s="51"/>
      <c r="C137" s="52"/>
      <c r="D137" s="49"/>
    </row>
    <row r="138" customHeight="1" spans="1:4">
      <c r="A138" s="44"/>
      <c r="B138" s="51"/>
      <c r="C138" s="52"/>
      <c r="D138" s="49"/>
    </row>
    <row r="139" customHeight="1" spans="1:4">
      <c r="A139" s="44"/>
      <c r="B139" s="51"/>
      <c r="C139" s="52"/>
      <c r="D139" s="49"/>
    </row>
    <row r="140" customHeight="1" spans="1:4">
      <c r="A140" s="44"/>
      <c r="B140" s="51"/>
      <c r="C140" s="52"/>
      <c r="D140" s="49"/>
    </row>
    <row r="141" customHeight="1" spans="1:4">
      <c r="A141" s="44"/>
      <c r="B141" s="51"/>
      <c r="C141" s="52"/>
      <c r="D141" s="49"/>
    </row>
    <row r="142" customHeight="1" spans="1:4">
      <c r="A142" s="44"/>
      <c r="B142" s="51"/>
      <c r="C142" s="52"/>
      <c r="D142" s="49"/>
    </row>
    <row r="143" customHeight="1" spans="1:4">
      <c r="A143" s="44"/>
      <c r="B143" s="51"/>
      <c r="C143" s="52"/>
      <c r="D143" s="49"/>
    </row>
    <row r="144" customHeight="1" spans="1:4">
      <c r="A144" s="44"/>
      <c r="B144" s="51"/>
      <c r="C144" s="52"/>
      <c r="D144" s="49"/>
    </row>
    <row r="145" customHeight="1" spans="1:4">
      <c r="A145" s="44"/>
      <c r="B145" s="51"/>
      <c r="C145" s="52"/>
      <c r="D145" s="49"/>
    </row>
    <row r="146" customHeight="1" spans="1:4">
      <c r="A146" s="44"/>
      <c r="B146" s="51"/>
      <c r="C146" s="52"/>
      <c r="D146" s="49"/>
    </row>
    <row r="147" customHeight="1" spans="1:4">
      <c r="A147" s="44"/>
      <c r="B147" s="51"/>
      <c r="C147" s="52"/>
      <c r="D147" s="49"/>
    </row>
    <row r="148" customHeight="1" spans="1:4">
      <c r="A148" s="44"/>
      <c r="B148" s="51"/>
      <c r="C148" s="52"/>
      <c r="D148" s="49"/>
    </row>
    <row r="149" customHeight="1" spans="1:4">
      <c r="A149" s="44"/>
      <c r="B149" s="51"/>
      <c r="C149" s="52"/>
      <c r="D149" s="49"/>
    </row>
    <row r="150" customHeight="1" spans="1:4">
      <c r="A150" s="44"/>
      <c r="B150" s="51"/>
      <c r="C150" s="52"/>
      <c r="D150" s="49"/>
    </row>
    <row r="151" customHeight="1" spans="1:4">
      <c r="A151" s="44"/>
      <c r="B151" s="51"/>
      <c r="C151" s="52"/>
      <c r="D151" s="49"/>
    </row>
    <row r="152" customHeight="1" spans="1:4">
      <c r="A152" s="44"/>
      <c r="B152" s="51"/>
      <c r="C152" s="52"/>
      <c r="D152" s="49"/>
    </row>
    <row r="153" customHeight="1" spans="1:4">
      <c r="A153" s="44"/>
      <c r="B153" s="51"/>
      <c r="C153" s="52"/>
      <c r="D153" s="49"/>
    </row>
    <row r="154" customHeight="1" spans="1:4">
      <c r="A154" s="44"/>
      <c r="B154" s="51"/>
      <c r="C154" s="52"/>
      <c r="D154" s="49"/>
    </row>
    <row r="155" customHeight="1" spans="1:4">
      <c r="A155" s="44"/>
      <c r="B155" s="51"/>
      <c r="C155" s="52"/>
      <c r="D155" s="49"/>
    </row>
    <row r="156" customHeight="1" spans="1:4">
      <c r="A156" s="44"/>
      <c r="B156" s="51"/>
      <c r="C156" s="52"/>
      <c r="D156" s="49"/>
    </row>
    <row r="157" customHeight="1" spans="1:4">
      <c r="A157" s="44"/>
      <c r="B157" s="51"/>
      <c r="C157" s="52"/>
      <c r="D157" s="49"/>
    </row>
    <row r="158" customHeight="1" spans="1:4">
      <c r="A158" s="44"/>
      <c r="B158" s="51"/>
      <c r="C158" s="52"/>
      <c r="D158" s="49"/>
    </row>
    <row r="159" customHeight="1" spans="1:4">
      <c r="A159" s="44"/>
      <c r="B159" s="51"/>
      <c r="C159" s="52"/>
      <c r="D159" s="49"/>
    </row>
    <row r="160" customHeight="1" spans="1:4">
      <c r="A160" s="44"/>
      <c r="B160" s="51"/>
      <c r="C160" s="52"/>
      <c r="D160" s="49"/>
    </row>
    <row r="161" customHeight="1" spans="1:4">
      <c r="A161" s="44"/>
      <c r="B161" s="51"/>
      <c r="C161" s="52"/>
      <c r="D161" s="49"/>
    </row>
    <row r="162" customHeight="1" spans="1:4">
      <c r="A162" s="44"/>
      <c r="B162" s="51"/>
      <c r="C162" s="52"/>
      <c r="D162" s="49"/>
    </row>
    <row r="163" customHeight="1" spans="1:4">
      <c r="A163" s="44"/>
      <c r="B163" s="51"/>
      <c r="C163" s="52"/>
      <c r="D163" s="49"/>
    </row>
    <row r="164" customHeight="1" spans="1:4">
      <c r="A164" s="44"/>
      <c r="B164" s="51"/>
      <c r="C164" s="52"/>
      <c r="D164" s="49"/>
    </row>
    <row r="165" customHeight="1" spans="1:4">
      <c r="A165" s="44"/>
      <c r="B165" s="51"/>
      <c r="C165" s="52"/>
      <c r="D165" s="49"/>
    </row>
    <row r="166" customHeight="1" spans="1:4">
      <c r="A166" s="44"/>
      <c r="B166" s="51"/>
      <c r="C166" s="52"/>
      <c r="D166" s="49"/>
    </row>
    <row r="167" customHeight="1" spans="1:4">
      <c r="A167" s="44"/>
      <c r="B167" s="51"/>
      <c r="C167" s="52"/>
      <c r="D167" s="49"/>
    </row>
    <row r="168" customHeight="1" spans="1:4">
      <c r="A168" s="44"/>
      <c r="B168" s="51"/>
      <c r="C168" s="52"/>
      <c r="D168" s="49"/>
    </row>
    <row r="169" customHeight="1" spans="1:4">
      <c r="A169" s="44"/>
      <c r="B169" s="51"/>
      <c r="C169" s="52"/>
      <c r="D169" s="49"/>
    </row>
    <row r="170" customHeight="1" spans="1:4">
      <c r="A170" s="44"/>
      <c r="B170" s="51"/>
      <c r="C170" s="52"/>
      <c r="D170" s="49"/>
    </row>
    <row r="171" customHeight="1" spans="1:4">
      <c r="A171" s="44"/>
      <c r="B171" s="51"/>
      <c r="C171" s="52"/>
      <c r="D171" s="49"/>
    </row>
    <row r="172" customHeight="1" spans="1:4">
      <c r="A172" s="44"/>
      <c r="B172" s="51"/>
      <c r="C172" s="52"/>
      <c r="D172" s="49"/>
    </row>
    <row r="173" customHeight="1" spans="1:4">
      <c r="A173" s="44"/>
      <c r="B173" s="51"/>
      <c r="C173" s="52"/>
      <c r="D173" s="49"/>
    </row>
    <row r="174" customHeight="1" spans="1:4">
      <c r="A174" s="44"/>
      <c r="B174" s="51"/>
      <c r="C174" s="52"/>
      <c r="D174" s="49"/>
    </row>
    <row r="175" customHeight="1" spans="1:4">
      <c r="A175" s="44"/>
      <c r="B175" s="51"/>
      <c r="C175" s="52"/>
      <c r="D175" s="49"/>
    </row>
    <row r="176" customHeight="1" spans="1:4">
      <c r="A176" s="44"/>
      <c r="B176" s="51"/>
      <c r="C176" s="52"/>
      <c r="D176" s="49"/>
    </row>
    <row r="177" customHeight="1" spans="1:4">
      <c r="A177" s="44"/>
      <c r="B177" s="51"/>
      <c r="C177" s="52"/>
      <c r="D177" s="49"/>
    </row>
    <row r="178" customHeight="1" spans="1:4">
      <c r="A178" s="44"/>
      <c r="B178" s="51"/>
      <c r="C178" s="52"/>
      <c r="D178" s="49"/>
    </row>
    <row r="179" customHeight="1" spans="1:4">
      <c r="A179" s="44"/>
      <c r="B179" s="51"/>
      <c r="C179" s="52"/>
      <c r="D179" s="49"/>
    </row>
    <row r="180" customHeight="1" spans="1:4">
      <c r="A180" s="44"/>
      <c r="B180" s="51"/>
      <c r="C180" s="52"/>
      <c r="D180" s="49"/>
    </row>
    <row r="181" customHeight="1" spans="1:4">
      <c r="A181" s="44"/>
      <c r="B181" s="51"/>
      <c r="C181" s="52"/>
      <c r="D181" s="49"/>
    </row>
    <row r="182" customHeight="1" spans="1:4">
      <c r="A182" s="44"/>
      <c r="B182" s="51"/>
      <c r="C182" s="52"/>
      <c r="D182" s="49"/>
    </row>
    <row r="183" customHeight="1" spans="1:4">
      <c r="A183" s="44"/>
      <c r="B183" s="51"/>
      <c r="C183" s="52"/>
      <c r="D183" s="49"/>
    </row>
    <row r="184" customHeight="1" spans="1:4">
      <c r="A184" s="44"/>
      <c r="B184" s="51"/>
      <c r="C184" s="52"/>
      <c r="D184" s="49"/>
    </row>
    <row r="185" customHeight="1" spans="1:4">
      <c r="A185" s="44"/>
      <c r="B185" s="51"/>
      <c r="C185" s="52"/>
      <c r="D185" s="49"/>
    </row>
    <row r="186" customHeight="1" spans="1:4">
      <c r="A186" s="44"/>
      <c r="B186" s="51"/>
      <c r="C186" s="52"/>
      <c r="D186" s="49"/>
    </row>
    <row r="187" customHeight="1" spans="1:4">
      <c r="A187" s="44"/>
      <c r="B187" s="51"/>
      <c r="C187" s="52"/>
      <c r="D187" s="49"/>
    </row>
    <row r="188" customHeight="1" spans="1:4">
      <c r="A188" s="44"/>
      <c r="B188" s="51"/>
      <c r="C188" s="52"/>
      <c r="D188" s="49"/>
    </row>
    <row r="189" customHeight="1" spans="1:4">
      <c r="A189" s="44"/>
      <c r="B189" s="51"/>
      <c r="C189" s="52"/>
      <c r="D189" s="49"/>
    </row>
    <row r="190" customHeight="1" spans="1:4">
      <c r="A190" s="44"/>
      <c r="B190" s="51"/>
      <c r="C190" s="52"/>
      <c r="D190" s="49"/>
    </row>
    <row r="191" customHeight="1" spans="1:4">
      <c r="A191" s="44"/>
      <c r="B191" s="51"/>
      <c r="C191" s="52"/>
      <c r="D191" s="49"/>
    </row>
    <row r="192" customHeight="1" spans="1:4">
      <c r="A192" s="44"/>
      <c r="B192" s="51"/>
      <c r="C192" s="52"/>
      <c r="D192" s="49"/>
    </row>
    <row r="193" customHeight="1" spans="1:4">
      <c r="A193" s="44"/>
      <c r="B193" s="51"/>
      <c r="C193" s="52"/>
      <c r="D193" s="49"/>
    </row>
    <row r="194" customHeight="1" spans="1:4">
      <c r="A194" s="44"/>
      <c r="B194" s="51"/>
      <c r="C194" s="52"/>
      <c r="D194" s="49"/>
    </row>
    <row r="195" customHeight="1" spans="1:4">
      <c r="A195" s="44"/>
      <c r="B195" s="51"/>
      <c r="C195" s="52"/>
      <c r="D195" s="49"/>
    </row>
    <row r="196" customHeight="1" spans="1:4">
      <c r="A196" s="44"/>
      <c r="B196" s="51"/>
      <c r="C196" s="52"/>
      <c r="D196" s="49"/>
    </row>
    <row r="197" customHeight="1" spans="1:4">
      <c r="A197" s="44"/>
      <c r="B197" s="51"/>
      <c r="C197" s="52"/>
      <c r="D197" s="49"/>
    </row>
    <row r="198" customHeight="1" spans="1:4">
      <c r="A198" s="44"/>
      <c r="B198" s="51"/>
      <c r="C198" s="52"/>
      <c r="D198" s="49"/>
    </row>
    <row r="199" customHeight="1" spans="1:4">
      <c r="A199" s="44"/>
      <c r="B199" s="51"/>
      <c r="C199" s="52"/>
      <c r="D199" s="49"/>
    </row>
    <row r="200" customHeight="1" spans="1:4">
      <c r="A200" s="44"/>
      <c r="B200" s="51"/>
      <c r="C200" s="52"/>
      <c r="D200" s="49"/>
    </row>
    <row r="201" customHeight="1" spans="1:4">
      <c r="A201" s="44"/>
      <c r="B201" s="51"/>
      <c r="C201" s="52"/>
      <c r="D201" s="49"/>
    </row>
    <row r="202" customHeight="1" spans="1:4">
      <c r="A202" s="44"/>
      <c r="B202" s="51"/>
      <c r="C202" s="52"/>
      <c r="D202" s="49"/>
    </row>
    <row r="203" customHeight="1" spans="1:4">
      <c r="A203" s="44"/>
      <c r="B203" s="51"/>
      <c r="C203" s="52"/>
      <c r="D203" s="49"/>
    </row>
    <row r="204" customHeight="1" spans="1:4">
      <c r="A204" s="44"/>
      <c r="B204" s="51"/>
      <c r="C204" s="52"/>
      <c r="D204" s="49"/>
    </row>
    <row r="205" customHeight="1" spans="1:4">
      <c r="A205" s="44"/>
      <c r="B205" s="51"/>
      <c r="C205" s="52"/>
      <c r="D205" s="49"/>
    </row>
    <row r="206" customHeight="1" spans="1:4">
      <c r="A206" s="44"/>
      <c r="B206" s="51"/>
      <c r="C206" s="52"/>
      <c r="D206" s="49"/>
    </row>
    <row r="207" customHeight="1" spans="1:4">
      <c r="A207" s="44"/>
      <c r="B207" s="51"/>
      <c r="C207" s="52"/>
      <c r="D207" s="49"/>
    </row>
    <row r="208" customHeight="1" spans="1:4">
      <c r="A208" s="44"/>
      <c r="B208" s="51"/>
      <c r="C208" s="52"/>
      <c r="D208" s="49"/>
    </row>
    <row r="209" customHeight="1" spans="1:4">
      <c r="A209" s="44"/>
      <c r="B209" s="51"/>
      <c r="C209" s="52"/>
      <c r="D209" s="49"/>
    </row>
    <row r="210" customHeight="1" spans="1:4">
      <c r="A210" s="44"/>
      <c r="B210" s="51"/>
      <c r="C210" s="52"/>
      <c r="D210" s="49"/>
    </row>
    <row r="211" customHeight="1" spans="1:4">
      <c r="A211" s="44"/>
      <c r="B211" s="51"/>
      <c r="C211" s="52"/>
      <c r="D211" s="49"/>
    </row>
    <row r="212" customHeight="1" spans="1:4">
      <c r="A212" s="44"/>
      <c r="B212" s="51"/>
      <c r="C212" s="52"/>
      <c r="D212" s="49"/>
    </row>
    <row r="213" customHeight="1" spans="1:4">
      <c r="A213" s="44"/>
      <c r="B213" s="51"/>
      <c r="C213" s="52"/>
      <c r="D213" s="49"/>
    </row>
    <row r="214" customHeight="1" spans="1:4">
      <c r="A214" s="44"/>
      <c r="B214" s="51"/>
      <c r="C214" s="52"/>
      <c r="D214" s="49"/>
    </row>
    <row r="215" customHeight="1" spans="1:4">
      <c r="A215" s="44"/>
      <c r="B215" s="51"/>
      <c r="C215" s="52"/>
      <c r="D215" s="49"/>
    </row>
    <row r="216" customHeight="1" spans="1:4">
      <c r="A216" s="44"/>
      <c r="B216" s="51"/>
      <c r="C216" s="52"/>
      <c r="D216" s="49"/>
    </row>
    <row r="217" customHeight="1" spans="1:4">
      <c r="A217" s="44"/>
      <c r="B217" s="51"/>
      <c r="C217" s="52"/>
      <c r="D217" s="49"/>
    </row>
    <row r="218" customHeight="1" spans="1:4">
      <c r="A218" s="44"/>
      <c r="B218" s="51"/>
      <c r="C218" s="52"/>
      <c r="D218" s="49"/>
    </row>
    <row r="219" customHeight="1" spans="1:4">
      <c r="A219" s="44"/>
      <c r="B219" s="51"/>
      <c r="C219" s="52"/>
      <c r="D219" s="49"/>
    </row>
    <row r="220" customHeight="1" spans="1:4">
      <c r="A220" s="44"/>
      <c r="B220" s="51"/>
      <c r="C220" s="52"/>
      <c r="D220" s="49"/>
    </row>
    <row r="221" customHeight="1" spans="1:4">
      <c r="A221" s="44"/>
      <c r="B221" s="51"/>
      <c r="C221" s="52"/>
      <c r="D221" s="49"/>
    </row>
    <row r="222" customHeight="1" spans="1:4">
      <c r="A222" s="44"/>
      <c r="B222" s="51"/>
      <c r="C222" s="52"/>
      <c r="D222" s="49"/>
    </row>
    <row r="223" customHeight="1" spans="1:4">
      <c r="A223" s="44"/>
      <c r="B223" s="51"/>
      <c r="C223" s="52"/>
      <c r="D223" s="49"/>
    </row>
    <row r="224" customHeight="1" spans="1:4">
      <c r="A224" s="44"/>
      <c r="B224" s="51"/>
      <c r="C224" s="52"/>
      <c r="D224" s="49"/>
    </row>
    <row r="225" customHeight="1" spans="1:4">
      <c r="A225" s="44"/>
      <c r="B225" s="51"/>
      <c r="C225" s="52"/>
      <c r="D225" s="49"/>
    </row>
    <row r="226" customHeight="1" spans="1:4">
      <c r="A226" s="44"/>
      <c r="B226" s="51"/>
      <c r="C226" s="52"/>
      <c r="D226" s="49"/>
    </row>
    <row r="227" customHeight="1" spans="1:4">
      <c r="A227" s="44"/>
      <c r="B227" s="51"/>
      <c r="C227" s="52"/>
      <c r="D227" s="49"/>
    </row>
    <row r="228" customHeight="1" spans="1:4">
      <c r="A228" s="44"/>
      <c r="B228" s="51"/>
      <c r="C228" s="52"/>
      <c r="D228" s="49"/>
    </row>
    <row r="229" customHeight="1" spans="1:4">
      <c r="A229" s="44"/>
      <c r="B229" s="51"/>
      <c r="C229" s="52"/>
      <c r="D229" s="49"/>
    </row>
    <row r="230" customHeight="1" spans="1:4">
      <c r="A230" s="44"/>
      <c r="B230" s="51"/>
      <c r="C230" s="52"/>
      <c r="D230" s="49"/>
    </row>
    <row r="231" customHeight="1" spans="1:4">
      <c r="A231" s="44"/>
      <c r="B231" s="51"/>
      <c r="C231" s="52"/>
      <c r="D231" s="49"/>
    </row>
    <row r="232" customHeight="1" spans="1:4">
      <c r="A232" s="44"/>
      <c r="B232" s="51"/>
      <c r="C232" s="52"/>
      <c r="D232" s="49"/>
    </row>
    <row r="233" customHeight="1" spans="1:4">
      <c r="A233" s="44"/>
      <c r="B233" s="51"/>
      <c r="C233" s="52"/>
      <c r="D233" s="49"/>
    </row>
    <row r="234" customHeight="1" spans="1:4">
      <c r="A234" s="44"/>
      <c r="B234" s="51"/>
      <c r="C234" s="52"/>
      <c r="D234" s="49"/>
    </row>
    <row r="235" customHeight="1" spans="1:4">
      <c r="A235" s="44"/>
      <c r="B235" s="51"/>
      <c r="C235" s="52"/>
      <c r="D235" s="49"/>
    </row>
    <row r="236" customHeight="1" spans="1:4">
      <c r="A236" s="44"/>
      <c r="B236" s="51"/>
      <c r="C236" s="52"/>
      <c r="D236" s="49"/>
    </row>
    <row r="237" customHeight="1" spans="1:4">
      <c r="A237" s="44"/>
      <c r="B237" s="51"/>
      <c r="C237" s="52"/>
      <c r="D237" s="49"/>
    </row>
    <row r="238" customHeight="1" spans="1:4">
      <c r="A238" s="44"/>
      <c r="B238" s="51"/>
      <c r="C238" s="52"/>
      <c r="D238" s="49"/>
    </row>
    <row r="239" customHeight="1" spans="1:4">
      <c r="A239" s="44"/>
      <c r="B239" s="51"/>
      <c r="C239" s="52"/>
      <c r="D239" s="49"/>
    </row>
    <row r="240" customHeight="1" spans="1:4">
      <c r="A240" s="44"/>
      <c r="B240" s="51"/>
      <c r="C240" s="52"/>
      <c r="D240" s="49"/>
    </row>
    <row r="241" customHeight="1" spans="1:4">
      <c r="A241" s="44"/>
      <c r="B241" s="51"/>
      <c r="C241" s="52"/>
      <c r="D241" s="49"/>
    </row>
    <row r="242" customHeight="1" spans="1:4">
      <c r="A242" s="44"/>
      <c r="B242" s="51"/>
      <c r="C242" s="52"/>
      <c r="D242" s="49"/>
    </row>
    <row r="243" customHeight="1" spans="1:4">
      <c r="A243" s="44"/>
      <c r="B243" s="51"/>
      <c r="C243" s="52"/>
      <c r="D243" s="49"/>
    </row>
    <row r="244" customHeight="1" spans="1:4">
      <c r="A244" s="44"/>
      <c r="B244" s="51"/>
      <c r="C244" s="52"/>
      <c r="D244" s="49"/>
    </row>
    <row r="245" customHeight="1" spans="1:4">
      <c r="A245" s="44"/>
      <c r="B245" s="51"/>
      <c r="C245" s="52"/>
      <c r="D245" s="49"/>
    </row>
    <row r="246" customHeight="1" spans="1:4">
      <c r="A246" s="44"/>
      <c r="B246" s="51"/>
      <c r="C246" s="52"/>
      <c r="D246" s="49"/>
    </row>
    <row r="247" customHeight="1" spans="1:4">
      <c r="A247" s="44"/>
      <c r="B247" s="51"/>
      <c r="C247" s="52"/>
      <c r="D247" s="49"/>
    </row>
    <row r="248" customHeight="1" spans="1:4">
      <c r="A248" s="44"/>
      <c r="B248" s="51"/>
      <c r="C248" s="52"/>
      <c r="D248" s="49"/>
    </row>
    <row r="249" customHeight="1" spans="1:4">
      <c r="A249" s="44"/>
      <c r="B249" s="51"/>
      <c r="C249" s="52"/>
      <c r="D249" s="49"/>
    </row>
    <row r="250" customHeight="1" spans="1:4">
      <c r="A250" s="44"/>
      <c r="B250" s="51"/>
      <c r="C250" s="52"/>
      <c r="D250" s="49"/>
    </row>
    <row r="251" customHeight="1" spans="1:4">
      <c r="A251" s="44"/>
      <c r="B251" s="51"/>
      <c r="C251" s="52"/>
      <c r="D251" s="49"/>
    </row>
    <row r="252" customHeight="1" spans="1:4">
      <c r="A252" s="44"/>
      <c r="B252" s="51"/>
      <c r="C252" s="52"/>
      <c r="D252" s="49"/>
    </row>
    <row r="253" customHeight="1" spans="1:4">
      <c r="A253" s="44"/>
      <c r="B253" s="51"/>
      <c r="C253" s="52"/>
      <c r="D253" s="49"/>
    </row>
    <row r="254" customHeight="1" spans="1:4">
      <c r="A254" s="44"/>
      <c r="B254" s="51"/>
      <c r="C254" s="52"/>
      <c r="D254" s="49"/>
    </row>
    <row r="255" customHeight="1" spans="1:4">
      <c r="A255" s="44"/>
      <c r="B255" s="51"/>
      <c r="C255" s="52"/>
      <c r="D255" s="49"/>
    </row>
    <row r="256" customHeight="1" spans="1:4">
      <c r="A256" s="44"/>
      <c r="B256" s="51"/>
      <c r="C256" s="52"/>
      <c r="D256" s="49"/>
    </row>
    <row r="257" customHeight="1" spans="1:4">
      <c r="A257" s="44"/>
      <c r="B257" s="51"/>
      <c r="C257" s="52"/>
      <c r="D257" s="49"/>
    </row>
    <row r="258" customHeight="1" spans="1:4">
      <c r="A258" s="44"/>
      <c r="B258" s="51"/>
      <c r="C258" s="52"/>
      <c r="D258" s="49"/>
    </row>
    <row r="259" customHeight="1" spans="1:4">
      <c r="A259" s="44"/>
      <c r="B259" s="51"/>
      <c r="C259" s="52"/>
      <c r="D259" s="49"/>
    </row>
    <row r="260" customHeight="1" spans="1:4">
      <c r="A260" s="44"/>
      <c r="B260" s="51"/>
      <c r="C260" s="52"/>
      <c r="D260" s="49"/>
    </row>
    <row r="261" customHeight="1" spans="1:4">
      <c r="A261" s="44"/>
      <c r="B261" s="51"/>
      <c r="C261" s="52"/>
      <c r="D261" s="49"/>
    </row>
    <row r="262" customHeight="1" spans="1:4">
      <c r="A262" s="44"/>
      <c r="B262" s="51"/>
      <c r="C262" s="52"/>
      <c r="D262" s="49"/>
    </row>
    <row r="263" customHeight="1" spans="1:4">
      <c r="A263" s="44"/>
      <c r="B263" s="51"/>
      <c r="C263" s="52"/>
      <c r="D263" s="49"/>
    </row>
    <row r="264" customHeight="1" spans="1:4">
      <c r="A264" s="44"/>
      <c r="B264" s="51"/>
      <c r="C264" s="52"/>
      <c r="D264" s="49"/>
    </row>
    <row r="265" customHeight="1" spans="1:4">
      <c r="A265" s="44"/>
      <c r="B265" s="51"/>
      <c r="C265" s="52"/>
      <c r="D265" s="49"/>
    </row>
    <row r="266" customHeight="1" spans="1:4">
      <c r="A266" s="44"/>
      <c r="B266" s="51"/>
      <c r="C266" s="52"/>
      <c r="D266" s="49"/>
    </row>
    <row r="267" customHeight="1" spans="1:4">
      <c r="A267" s="44"/>
      <c r="B267" s="51"/>
      <c r="C267" s="52"/>
      <c r="D267" s="49"/>
    </row>
    <row r="268" customHeight="1" spans="1:4">
      <c r="A268" s="44"/>
      <c r="B268" s="51"/>
      <c r="C268" s="52"/>
      <c r="D268" s="49"/>
    </row>
    <row r="269" customHeight="1" spans="1:4">
      <c r="A269" s="44"/>
      <c r="B269" s="51"/>
      <c r="C269" s="52"/>
      <c r="D269" s="49"/>
    </row>
    <row r="270" customHeight="1" spans="1:4">
      <c r="A270" s="44"/>
      <c r="B270" s="51"/>
      <c r="C270" s="52"/>
      <c r="D270" s="49"/>
    </row>
    <row r="271" customHeight="1" spans="1:4">
      <c r="A271" s="44"/>
      <c r="B271" s="51"/>
      <c r="C271" s="52"/>
      <c r="D271" s="49"/>
    </row>
    <row r="272" customHeight="1" spans="1:4">
      <c r="A272" s="44"/>
      <c r="B272" s="51"/>
      <c r="C272" s="52"/>
      <c r="D272" s="49"/>
    </row>
    <row r="273" customHeight="1" spans="1:4">
      <c r="A273" s="44"/>
      <c r="B273" s="51"/>
      <c r="C273" s="52"/>
      <c r="D273" s="49"/>
    </row>
    <row r="274" customHeight="1" spans="1:4">
      <c r="A274" s="44"/>
      <c r="B274" s="51"/>
      <c r="C274" s="52"/>
      <c r="D274" s="49"/>
    </row>
    <row r="275" customHeight="1" spans="1:4">
      <c r="A275" s="44"/>
      <c r="B275" s="51"/>
      <c r="C275" s="52"/>
      <c r="D275" s="49"/>
    </row>
    <row r="276" customHeight="1" spans="1:4">
      <c r="A276" s="44"/>
      <c r="B276" s="51"/>
      <c r="C276" s="52"/>
      <c r="D276" s="49"/>
    </row>
    <row r="277" customHeight="1" spans="1:4">
      <c r="A277" s="44"/>
      <c r="B277" s="51"/>
      <c r="C277" s="52"/>
      <c r="D277" s="49"/>
    </row>
    <row r="278" customHeight="1" spans="1:4">
      <c r="A278" s="44"/>
      <c r="B278" s="51"/>
      <c r="C278" s="52"/>
      <c r="D278" s="49"/>
    </row>
    <row r="279" customHeight="1" spans="1:4">
      <c r="A279" s="44"/>
      <c r="B279" s="51"/>
      <c r="C279" s="52"/>
      <c r="D279" s="49"/>
    </row>
    <row r="280" customHeight="1" spans="1:4">
      <c r="A280" s="44"/>
      <c r="B280" s="51"/>
      <c r="C280" s="52"/>
      <c r="D280" s="49"/>
    </row>
    <row r="281" customHeight="1" spans="1:4">
      <c r="A281" s="44"/>
      <c r="B281" s="51"/>
      <c r="C281" s="52"/>
      <c r="D281" s="49"/>
    </row>
    <row r="282" customHeight="1" spans="1:4">
      <c r="A282" s="44"/>
      <c r="B282" s="51"/>
      <c r="C282" s="52"/>
      <c r="D282" s="49"/>
    </row>
    <row r="283" customHeight="1" spans="1:4">
      <c r="A283" s="44"/>
      <c r="B283" s="51"/>
      <c r="C283" s="52"/>
      <c r="D283" s="49"/>
    </row>
    <row r="284" customHeight="1" spans="1:4">
      <c r="A284" s="44"/>
      <c r="B284" s="51"/>
      <c r="C284" s="52"/>
      <c r="D284" s="49"/>
    </row>
    <row r="285" customHeight="1" spans="1:4">
      <c r="A285" s="44"/>
      <c r="B285" s="51"/>
      <c r="C285" s="52"/>
      <c r="D285" s="49"/>
    </row>
    <row r="286" customHeight="1" spans="1:4">
      <c r="A286" s="44"/>
      <c r="B286" s="51"/>
      <c r="C286" s="52"/>
      <c r="D286" s="49"/>
    </row>
    <row r="287" customHeight="1" spans="1:4">
      <c r="A287" s="44"/>
      <c r="B287" s="51"/>
      <c r="C287" s="52"/>
      <c r="D287" s="49"/>
    </row>
    <row r="288" customHeight="1" spans="1:4">
      <c r="A288" s="44"/>
      <c r="B288" s="51"/>
      <c r="C288" s="52"/>
      <c r="D288" s="49"/>
    </row>
    <row r="289" customHeight="1" spans="1:4">
      <c r="A289" s="44"/>
      <c r="B289" s="51"/>
      <c r="C289" s="52"/>
      <c r="D289" s="49"/>
    </row>
    <row r="290" customHeight="1" spans="1:4">
      <c r="A290" s="44"/>
      <c r="B290" s="51"/>
      <c r="C290" s="52"/>
      <c r="D290" s="49"/>
    </row>
    <row r="291" customHeight="1" spans="1:4">
      <c r="A291" s="44"/>
      <c r="B291" s="51"/>
      <c r="C291" s="52"/>
      <c r="D291" s="49"/>
    </row>
    <row r="292" customHeight="1" spans="1:4">
      <c r="A292" s="44"/>
      <c r="B292" s="51"/>
      <c r="C292" s="52"/>
      <c r="D292" s="49"/>
    </row>
    <row r="293" customHeight="1" spans="1:4">
      <c r="A293" s="44"/>
      <c r="B293" s="51"/>
      <c r="C293" s="52"/>
      <c r="D293" s="49"/>
    </row>
    <row r="294" customHeight="1" spans="1:4">
      <c r="A294" s="44"/>
      <c r="B294" s="51"/>
      <c r="C294" s="52"/>
      <c r="D294" s="49"/>
    </row>
    <row r="295" customHeight="1" spans="1:4">
      <c r="A295" s="44"/>
      <c r="B295" s="51"/>
      <c r="C295" s="52"/>
      <c r="D295" s="49"/>
    </row>
    <row r="296" customHeight="1" spans="1:4">
      <c r="A296" s="44"/>
      <c r="B296" s="51"/>
      <c r="C296" s="52"/>
      <c r="D296" s="49"/>
    </row>
    <row r="297" customHeight="1" spans="1:4">
      <c r="A297" s="44"/>
      <c r="B297" s="51"/>
      <c r="C297" s="52"/>
      <c r="D297" s="49"/>
    </row>
    <row r="298" customHeight="1" spans="1:4">
      <c r="A298" s="44"/>
      <c r="B298" s="51"/>
      <c r="C298" s="52"/>
      <c r="D298" s="49"/>
    </row>
    <row r="299" customHeight="1" spans="1:4">
      <c r="A299" s="44"/>
      <c r="B299" s="51"/>
      <c r="C299" s="52"/>
      <c r="D299" s="49"/>
    </row>
    <row r="300" customHeight="1" spans="1:4">
      <c r="A300" s="44"/>
      <c r="B300" s="51"/>
      <c r="C300" s="52"/>
      <c r="D300" s="49"/>
    </row>
    <row r="301" customHeight="1" spans="1:4">
      <c r="A301" s="44"/>
      <c r="B301" s="51"/>
      <c r="C301" s="52"/>
      <c r="D301" s="49"/>
    </row>
    <row r="302" customHeight="1" spans="1:4">
      <c r="A302" s="44"/>
      <c r="B302" s="51"/>
      <c r="C302" s="52"/>
      <c r="D302" s="49"/>
    </row>
    <row r="303" customHeight="1" spans="1:4">
      <c r="A303" s="44"/>
      <c r="B303" s="51"/>
      <c r="C303" s="52"/>
      <c r="D303" s="49"/>
    </row>
    <row r="304" customHeight="1" spans="1:4">
      <c r="A304" s="44"/>
      <c r="B304" s="51"/>
      <c r="C304" s="52"/>
      <c r="D304" s="49"/>
    </row>
    <row r="305" customHeight="1" spans="1:4">
      <c r="A305" s="44"/>
      <c r="B305" s="51"/>
      <c r="C305" s="52"/>
      <c r="D305" s="49"/>
    </row>
    <row r="306" customHeight="1" spans="1:4">
      <c r="A306" s="44"/>
      <c r="B306" s="51"/>
      <c r="C306" s="52"/>
      <c r="D306" s="49"/>
    </row>
    <row r="307" customHeight="1" spans="1:4">
      <c r="A307" s="44"/>
      <c r="B307" s="51"/>
      <c r="C307" s="52"/>
      <c r="D307" s="49"/>
    </row>
    <row r="308" customHeight="1" spans="1:4">
      <c r="A308" s="44"/>
      <c r="B308" s="51"/>
      <c r="C308" s="52"/>
      <c r="D308" s="49"/>
    </row>
    <row r="309" customHeight="1" spans="1:4">
      <c r="A309" s="44"/>
      <c r="B309" s="51"/>
      <c r="C309" s="52"/>
      <c r="D309" s="49"/>
    </row>
    <row r="310" customHeight="1" spans="1:4">
      <c r="A310" s="44"/>
      <c r="B310" s="51"/>
      <c r="C310" s="52"/>
      <c r="D310" s="49"/>
    </row>
    <row r="311" customHeight="1" spans="1:4">
      <c r="A311" s="44"/>
      <c r="B311" s="51"/>
      <c r="C311" s="52"/>
      <c r="D311" s="49"/>
    </row>
    <row r="312" customHeight="1" spans="1:4">
      <c r="A312" s="44"/>
      <c r="B312" s="51"/>
      <c r="C312" s="52"/>
      <c r="D312" s="49"/>
    </row>
    <row r="313" customHeight="1" spans="1:4">
      <c r="A313" s="44"/>
      <c r="B313" s="51"/>
      <c r="C313" s="52"/>
      <c r="D313" s="49"/>
    </row>
    <row r="314" customHeight="1" spans="1:4">
      <c r="A314" s="44"/>
      <c r="B314" s="51"/>
      <c r="C314" s="52"/>
      <c r="D314" s="49"/>
    </row>
    <row r="315" customHeight="1" spans="1:4">
      <c r="A315" s="44"/>
      <c r="B315" s="51"/>
      <c r="C315" s="52"/>
      <c r="D315" s="49"/>
    </row>
    <row r="316" customHeight="1" spans="1:4">
      <c r="A316" s="44"/>
      <c r="B316" s="51"/>
      <c r="C316" s="52"/>
      <c r="D316" s="49"/>
    </row>
    <row r="317" customHeight="1" spans="1:4">
      <c r="A317" s="44"/>
      <c r="B317" s="51"/>
      <c r="C317" s="52"/>
      <c r="D317" s="49"/>
    </row>
    <row r="318" customHeight="1" spans="1:4">
      <c r="A318" s="44"/>
      <c r="B318" s="51"/>
      <c r="C318" s="52"/>
      <c r="D318" s="49"/>
    </row>
    <row r="319" customHeight="1" spans="1:4">
      <c r="A319" s="44"/>
      <c r="B319" s="51"/>
      <c r="C319" s="52"/>
      <c r="D319" s="49"/>
    </row>
    <row r="320" customHeight="1" spans="1:4">
      <c r="A320" s="44"/>
      <c r="B320" s="51"/>
      <c r="C320" s="52"/>
      <c r="D320" s="49"/>
    </row>
    <row r="321" customHeight="1" spans="1:4">
      <c r="A321" s="44"/>
      <c r="B321" s="51"/>
      <c r="C321" s="52"/>
      <c r="D321" s="49"/>
    </row>
    <row r="322" customHeight="1" spans="1:4">
      <c r="A322" s="44"/>
      <c r="B322" s="51"/>
      <c r="C322" s="52"/>
      <c r="D322" s="49"/>
    </row>
    <row r="323" customHeight="1" spans="1:4">
      <c r="A323" s="44"/>
      <c r="B323" s="51"/>
      <c r="C323" s="52"/>
      <c r="D323" s="49"/>
    </row>
    <row r="324" customHeight="1" spans="1:4">
      <c r="A324" s="44"/>
      <c r="B324" s="51"/>
      <c r="C324" s="52"/>
      <c r="D324" s="49"/>
    </row>
    <row r="325" customHeight="1" spans="1:4">
      <c r="A325" s="44"/>
      <c r="B325" s="51"/>
      <c r="C325" s="52"/>
      <c r="D325" s="49"/>
    </row>
    <row r="326" customHeight="1" spans="1:4">
      <c r="A326" s="44"/>
      <c r="B326" s="51"/>
      <c r="C326" s="52"/>
      <c r="D326" s="49"/>
    </row>
    <row r="327" customHeight="1" spans="1:4">
      <c r="A327" s="44"/>
      <c r="B327" s="51"/>
      <c r="C327" s="52"/>
      <c r="D327" s="49"/>
    </row>
    <row r="328" customHeight="1" spans="1:4">
      <c r="A328" s="44"/>
      <c r="B328" s="51"/>
      <c r="C328" s="52"/>
      <c r="D328" s="49"/>
    </row>
    <row r="329" customHeight="1" spans="1:4">
      <c r="A329" s="44"/>
      <c r="B329" s="51"/>
      <c r="C329" s="52"/>
      <c r="D329" s="49"/>
    </row>
    <row r="330" customHeight="1" spans="1:4">
      <c r="A330" s="44"/>
      <c r="B330" s="51"/>
      <c r="C330" s="52"/>
      <c r="D330" s="49"/>
    </row>
    <row r="331" customHeight="1" spans="1:4">
      <c r="A331" s="44"/>
      <c r="B331" s="51"/>
      <c r="C331" s="52"/>
      <c r="D331" s="49"/>
    </row>
    <row r="332" customHeight="1" spans="1:4">
      <c r="A332" s="44"/>
      <c r="B332" s="51"/>
      <c r="C332" s="52"/>
      <c r="D332" s="49"/>
    </row>
    <row r="333" customHeight="1" spans="1:4">
      <c r="A333" s="44"/>
      <c r="B333" s="51"/>
      <c r="C333" s="52"/>
      <c r="D333" s="49"/>
    </row>
    <row r="334" customHeight="1" spans="1:4">
      <c r="A334" s="44"/>
      <c r="B334" s="51"/>
      <c r="C334" s="52"/>
      <c r="D334" s="49"/>
    </row>
    <row r="335" customHeight="1" spans="1:4">
      <c r="A335" s="44"/>
      <c r="B335" s="51"/>
      <c r="C335" s="52"/>
      <c r="D335" s="49"/>
    </row>
    <row r="336" customHeight="1" spans="1:4">
      <c r="A336" s="44"/>
      <c r="B336" s="51"/>
      <c r="C336" s="52"/>
      <c r="D336" s="49"/>
    </row>
    <row r="337" customHeight="1" spans="1:4">
      <c r="A337" s="44"/>
      <c r="B337" s="51"/>
      <c r="C337" s="52"/>
      <c r="D337" s="49"/>
    </row>
    <row r="338" customHeight="1" spans="1:4">
      <c r="A338" s="44"/>
      <c r="B338" s="51"/>
      <c r="C338" s="52"/>
      <c r="D338" s="49"/>
    </row>
    <row r="339" customHeight="1" spans="1:4">
      <c r="A339" s="44"/>
      <c r="B339" s="51"/>
      <c r="C339" s="52"/>
      <c r="D339" s="49"/>
    </row>
    <row r="340" customHeight="1" spans="1:4">
      <c r="A340" s="44"/>
      <c r="B340" s="51"/>
      <c r="C340" s="52"/>
      <c r="D340" s="49"/>
    </row>
    <row r="341" customHeight="1" spans="1:4">
      <c r="A341" s="44"/>
      <c r="B341" s="51"/>
      <c r="C341" s="52"/>
      <c r="D341" s="49"/>
    </row>
    <row r="342" customHeight="1" spans="1:4">
      <c r="A342" s="44"/>
      <c r="B342" s="51"/>
      <c r="C342" s="52"/>
      <c r="D342" s="49"/>
    </row>
    <row r="343" customHeight="1" spans="1:4">
      <c r="A343" s="44"/>
      <c r="B343" s="51"/>
      <c r="C343" s="52"/>
      <c r="D343" s="49"/>
    </row>
    <row r="344" customHeight="1" spans="1:4">
      <c r="A344" s="44"/>
      <c r="B344" s="51"/>
      <c r="C344" s="52"/>
      <c r="D344" s="49"/>
    </row>
    <row r="345" customHeight="1" spans="1:4">
      <c r="A345" s="44"/>
      <c r="B345" s="51"/>
      <c r="C345" s="52"/>
      <c r="D345" s="49"/>
    </row>
    <row r="346" customHeight="1" spans="1:4">
      <c r="A346" s="44"/>
      <c r="B346" s="51"/>
      <c r="C346" s="52"/>
      <c r="D346" s="49"/>
    </row>
    <row r="347" customHeight="1" spans="1:4">
      <c r="A347" s="44"/>
      <c r="B347" s="51"/>
      <c r="C347" s="52"/>
      <c r="D347" s="49"/>
    </row>
    <row r="348" customHeight="1" spans="1:4">
      <c r="A348" s="44"/>
      <c r="B348" s="51"/>
      <c r="C348" s="52"/>
      <c r="D348" s="49"/>
    </row>
    <row r="349" customHeight="1" spans="1:4">
      <c r="A349" s="44"/>
      <c r="B349" s="51"/>
      <c r="C349" s="52"/>
      <c r="D349" s="49"/>
    </row>
    <row r="350" customHeight="1" spans="1:4">
      <c r="A350" s="44"/>
      <c r="B350" s="51"/>
      <c r="C350" s="52"/>
      <c r="D350" s="49"/>
    </row>
    <row r="351" customHeight="1" spans="1:4">
      <c r="A351" s="44"/>
      <c r="B351" s="51"/>
      <c r="C351" s="52"/>
      <c r="D351" s="49"/>
    </row>
    <row r="352" customHeight="1" spans="1:4">
      <c r="A352" s="44"/>
      <c r="B352" s="51"/>
      <c r="C352" s="52"/>
      <c r="D352" s="49"/>
    </row>
    <row r="353" customHeight="1" spans="1:4">
      <c r="A353" s="44"/>
      <c r="B353" s="51"/>
      <c r="C353" s="52"/>
      <c r="D353" s="49"/>
    </row>
    <row r="354" customHeight="1" spans="1:4">
      <c r="A354" s="44"/>
      <c r="B354" s="51"/>
      <c r="C354" s="52"/>
      <c r="D354" s="49"/>
    </row>
    <row r="355" customHeight="1" spans="1:4">
      <c r="A355" s="44"/>
      <c r="B355" s="51"/>
      <c r="C355" s="52"/>
      <c r="D355" s="49"/>
    </row>
    <row r="356" customHeight="1" spans="1:4">
      <c r="A356" s="44"/>
      <c r="B356" s="51"/>
      <c r="C356" s="52"/>
      <c r="D356" s="49"/>
    </row>
    <row r="357" customHeight="1" spans="1:4">
      <c r="A357" s="44"/>
      <c r="B357" s="51"/>
      <c r="C357" s="52"/>
      <c r="D357" s="49"/>
    </row>
    <row r="358" customHeight="1" spans="1:4">
      <c r="A358" s="44"/>
      <c r="B358" s="51"/>
      <c r="C358" s="52"/>
      <c r="D358" s="49"/>
    </row>
    <row r="359" customHeight="1" spans="1:4">
      <c r="A359" s="44"/>
      <c r="B359" s="51"/>
      <c r="C359" s="52"/>
      <c r="D359" s="49"/>
    </row>
    <row r="360" customHeight="1" spans="1:4">
      <c r="A360" s="44"/>
      <c r="B360" s="51"/>
      <c r="C360" s="52"/>
      <c r="D360" s="49"/>
    </row>
    <row r="361" customHeight="1" spans="1:4">
      <c r="A361" s="44"/>
      <c r="B361" s="51"/>
      <c r="C361" s="52"/>
      <c r="D361" s="49"/>
    </row>
    <row r="362" customHeight="1" spans="1:4">
      <c r="A362" s="44"/>
      <c r="B362" s="51"/>
      <c r="C362" s="52"/>
      <c r="D362" s="49"/>
    </row>
    <row r="363" customHeight="1" spans="1:4">
      <c r="A363" s="44"/>
      <c r="B363" s="51"/>
      <c r="C363" s="52"/>
      <c r="D363" s="49"/>
    </row>
    <row r="364" customHeight="1" spans="1:4">
      <c r="A364" s="44"/>
      <c r="B364" s="51"/>
      <c r="C364" s="52"/>
      <c r="D364" s="49"/>
    </row>
    <row r="365" customHeight="1" spans="1:4">
      <c r="A365" s="44"/>
      <c r="B365" s="51"/>
      <c r="C365" s="52"/>
      <c r="D365" s="49"/>
    </row>
    <row r="366" customHeight="1" spans="1:4">
      <c r="A366" s="44"/>
      <c r="B366" s="51"/>
      <c r="C366" s="52"/>
      <c r="D366" s="49"/>
    </row>
    <row r="367" customHeight="1" spans="1:4">
      <c r="A367" s="44"/>
      <c r="B367" s="51"/>
      <c r="C367" s="52"/>
      <c r="D367" s="49"/>
    </row>
    <row r="368" customHeight="1" spans="1:4">
      <c r="A368" s="44"/>
      <c r="B368" s="51"/>
      <c r="C368" s="52"/>
      <c r="D368" s="49"/>
    </row>
    <row r="369" customHeight="1" spans="1:4">
      <c r="A369" s="44"/>
      <c r="B369" s="51"/>
      <c r="C369" s="52"/>
      <c r="D369" s="49"/>
    </row>
    <row r="370" customHeight="1" spans="1:4">
      <c r="A370" s="44"/>
      <c r="B370" s="51"/>
      <c r="C370" s="52"/>
      <c r="D370" s="49"/>
    </row>
    <row r="371" customHeight="1" spans="1:4">
      <c r="A371" s="44"/>
      <c r="B371" s="51"/>
      <c r="C371" s="52"/>
      <c r="D371" s="49"/>
    </row>
    <row r="372" customHeight="1" spans="1:4">
      <c r="A372" s="44"/>
      <c r="B372" s="51"/>
      <c r="C372" s="52"/>
      <c r="D372" s="49"/>
    </row>
    <row r="373" customHeight="1" spans="1:4">
      <c r="A373" s="44"/>
      <c r="B373" s="51"/>
      <c r="C373" s="52"/>
      <c r="D373" s="49"/>
    </row>
    <row r="374" customHeight="1" spans="1:4">
      <c r="A374" s="44"/>
      <c r="B374" s="51"/>
      <c r="C374" s="52"/>
      <c r="D374" s="49"/>
    </row>
    <row r="375" customHeight="1" spans="1:4">
      <c r="A375" s="44"/>
      <c r="B375" s="51"/>
      <c r="C375" s="52"/>
      <c r="D375" s="49"/>
    </row>
    <row r="376" customHeight="1" spans="1:4">
      <c r="A376" s="44"/>
      <c r="B376" s="51"/>
      <c r="C376" s="52"/>
      <c r="D376" s="49"/>
    </row>
    <row r="377" customHeight="1" spans="1:4">
      <c r="A377" s="44"/>
      <c r="B377" s="51"/>
      <c r="C377" s="52"/>
      <c r="D377" s="49"/>
    </row>
    <row r="378" customHeight="1" spans="1:4">
      <c r="A378" s="44"/>
      <c r="B378" s="51"/>
      <c r="C378" s="52"/>
      <c r="D378" s="49"/>
    </row>
    <row r="379" customHeight="1" spans="1:4">
      <c r="A379" s="44"/>
      <c r="B379" s="51"/>
      <c r="C379" s="52"/>
      <c r="D379" s="49"/>
    </row>
    <row r="380" customHeight="1" spans="1:4">
      <c r="A380" s="44"/>
      <c r="B380" s="51"/>
      <c r="C380" s="52"/>
      <c r="D380" s="49"/>
    </row>
    <row r="381" customHeight="1" spans="1:4">
      <c r="A381" s="44"/>
      <c r="B381" s="51"/>
      <c r="C381" s="52"/>
      <c r="D381" s="49"/>
    </row>
    <row r="382" customHeight="1" spans="1:4">
      <c r="A382" s="44"/>
      <c r="B382" s="51"/>
      <c r="C382" s="52"/>
      <c r="D382" s="49"/>
    </row>
    <row r="383" customHeight="1" spans="1:4">
      <c r="A383" s="44"/>
      <c r="B383" s="51"/>
      <c r="C383" s="52"/>
      <c r="D383" s="49"/>
    </row>
    <row r="384" customHeight="1" spans="1:4">
      <c r="A384" s="44"/>
      <c r="B384" s="51"/>
      <c r="C384" s="52"/>
      <c r="D384" s="49"/>
    </row>
    <row r="385" customHeight="1" spans="1:4">
      <c r="A385" s="44"/>
      <c r="B385" s="51"/>
      <c r="C385" s="52"/>
      <c r="D385" s="49"/>
    </row>
    <row r="386" customHeight="1" spans="1:4">
      <c r="A386" s="44"/>
      <c r="B386" s="51"/>
      <c r="C386" s="52"/>
      <c r="D386" s="49"/>
    </row>
    <row r="387" customHeight="1" spans="1:4">
      <c r="A387" s="44"/>
      <c r="B387" s="51"/>
      <c r="C387" s="52"/>
      <c r="D387" s="49"/>
    </row>
    <row r="388" customHeight="1" spans="1:4">
      <c r="A388" s="44"/>
      <c r="B388" s="51"/>
      <c r="C388" s="52"/>
      <c r="D388" s="49"/>
    </row>
    <row r="389" customHeight="1" spans="1:4">
      <c r="A389" s="44"/>
      <c r="B389" s="51"/>
      <c r="C389" s="52"/>
      <c r="D389" s="49"/>
    </row>
    <row r="390" customHeight="1" spans="1:4">
      <c r="A390" s="44"/>
      <c r="B390" s="51"/>
      <c r="C390" s="52"/>
      <c r="D390" s="49"/>
    </row>
    <row r="391" customHeight="1" spans="1:4">
      <c r="A391" s="44"/>
      <c r="B391" s="51"/>
      <c r="C391" s="52"/>
      <c r="D391" s="49"/>
    </row>
    <row r="392" customHeight="1" spans="1:4">
      <c r="A392" s="44"/>
      <c r="B392" s="51"/>
      <c r="C392" s="52"/>
      <c r="D392" s="49"/>
    </row>
    <row r="393" customHeight="1" spans="1:4">
      <c r="A393" s="44"/>
      <c r="B393" s="51"/>
      <c r="C393" s="52"/>
      <c r="D393" s="49"/>
    </row>
    <row r="394" customHeight="1" spans="1:4">
      <c r="A394" s="44"/>
      <c r="B394" s="51"/>
      <c r="C394" s="52"/>
      <c r="D394" s="49"/>
    </row>
    <row r="395" customHeight="1" spans="1:4">
      <c r="A395" s="44"/>
      <c r="B395" s="51"/>
      <c r="C395" s="52"/>
      <c r="D395" s="49"/>
    </row>
    <row r="396" customHeight="1" spans="1:4">
      <c r="A396" s="44"/>
      <c r="B396" s="51"/>
      <c r="C396" s="52"/>
      <c r="D396" s="49"/>
    </row>
    <row r="397" customHeight="1" spans="1:4">
      <c r="A397" s="44"/>
      <c r="B397" s="51"/>
      <c r="C397" s="52"/>
      <c r="D397" s="49"/>
    </row>
    <row r="398" customHeight="1" spans="1:4">
      <c r="A398" s="44"/>
      <c r="B398" s="51"/>
      <c r="C398" s="52"/>
      <c r="D398" s="49"/>
    </row>
    <row r="399" customHeight="1" spans="1:4">
      <c r="A399" s="44"/>
      <c r="B399" s="51"/>
      <c r="C399" s="52"/>
      <c r="D399" s="49"/>
    </row>
    <row r="400" customHeight="1" spans="1:4">
      <c r="A400" s="44"/>
      <c r="B400" s="51"/>
      <c r="C400" s="52"/>
      <c r="D400" s="49"/>
    </row>
    <row r="401" customHeight="1" spans="1:4">
      <c r="A401" s="44"/>
      <c r="B401" s="51"/>
      <c r="C401" s="52"/>
      <c r="D401" s="49"/>
    </row>
    <row r="402" customHeight="1" spans="1:4">
      <c r="A402" s="44"/>
      <c r="B402" s="51"/>
      <c r="C402" s="52"/>
      <c r="D402" s="49"/>
    </row>
    <row r="403" customHeight="1" spans="1:4">
      <c r="A403" s="44"/>
      <c r="B403" s="51"/>
      <c r="C403" s="52"/>
      <c r="D403" s="49"/>
    </row>
    <row r="404" customHeight="1" spans="1:4">
      <c r="A404" s="44"/>
      <c r="B404" s="51"/>
      <c r="C404" s="52"/>
      <c r="D404" s="49"/>
    </row>
    <row r="405" customHeight="1" spans="1:4">
      <c r="A405" s="44"/>
      <c r="B405" s="51"/>
      <c r="C405" s="52"/>
      <c r="D405" s="49"/>
    </row>
    <row r="406" customHeight="1" spans="1:4">
      <c r="A406" s="44"/>
      <c r="B406" s="51"/>
      <c r="C406" s="52"/>
      <c r="D406" s="49"/>
    </row>
    <row r="407" customHeight="1" spans="1:4">
      <c r="A407" s="44"/>
      <c r="B407" s="51"/>
      <c r="C407" s="52"/>
      <c r="D407" s="49"/>
    </row>
    <row r="408" customHeight="1" spans="1:4">
      <c r="A408" s="44"/>
      <c r="B408" s="51"/>
      <c r="C408" s="52"/>
      <c r="D408" s="49"/>
    </row>
    <row r="409" customHeight="1" spans="1:4">
      <c r="A409" s="44"/>
      <c r="B409" s="51"/>
      <c r="C409" s="52"/>
      <c r="D409" s="49"/>
    </row>
    <row r="410" customHeight="1" spans="1:4">
      <c r="A410" s="44"/>
      <c r="B410" s="51"/>
      <c r="C410" s="52"/>
      <c r="D410" s="49"/>
    </row>
    <row r="411" customHeight="1" spans="1:4">
      <c r="A411" s="44"/>
      <c r="B411" s="51"/>
      <c r="C411" s="52"/>
      <c r="D411" s="49"/>
    </row>
    <row r="412" customHeight="1" spans="1:4">
      <c r="A412" s="44"/>
      <c r="B412" s="51"/>
      <c r="C412" s="52"/>
      <c r="D412" s="49"/>
    </row>
    <row r="413" customHeight="1" spans="1:4">
      <c r="A413" s="44"/>
      <c r="B413" s="51"/>
      <c r="C413" s="52"/>
      <c r="D413" s="49"/>
    </row>
    <row r="414" customHeight="1" spans="1:4">
      <c r="A414" s="44"/>
      <c r="B414" s="51"/>
      <c r="C414" s="52"/>
      <c r="D414" s="49"/>
    </row>
    <row r="415" customHeight="1" spans="1:4">
      <c r="A415" s="44"/>
      <c r="B415" s="51"/>
      <c r="C415" s="52"/>
      <c r="D415" s="49"/>
    </row>
    <row r="416" customHeight="1" spans="1:4">
      <c r="A416" s="44"/>
      <c r="B416" s="51"/>
      <c r="C416" s="52"/>
      <c r="D416" s="49"/>
    </row>
    <row r="417" customHeight="1" spans="1:4">
      <c r="A417" s="44"/>
      <c r="B417" s="51"/>
      <c r="C417" s="52"/>
      <c r="D417" s="49"/>
    </row>
    <row r="418" customHeight="1" spans="1:4">
      <c r="A418" s="44"/>
      <c r="B418" s="51"/>
      <c r="C418" s="52"/>
      <c r="D418" s="49"/>
    </row>
    <row r="419" customHeight="1" spans="1:4">
      <c r="A419" s="44"/>
      <c r="B419" s="51"/>
      <c r="C419" s="52"/>
      <c r="D419" s="49"/>
    </row>
    <row r="420" customHeight="1" spans="1:4">
      <c r="A420" s="44"/>
      <c r="B420" s="51"/>
      <c r="C420" s="52"/>
      <c r="D420" s="49"/>
    </row>
    <row r="421" customHeight="1" spans="1:4">
      <c r="A421" s="44"/>
      <c r="B421" s="51"/>
      <c r="C421" s="52"/>
      <c r="D421" s="49"/>
    </row>
    <row r="422" customHeight="1" spans="1:4">
      <c r="A422" s="44"/>
      <c r="B422" s="51"/>
      <c r="C422" s="52"/>
      <c r="D422" s="49"/>
    </row>
    <row r="423" customHeight="1" spans="1:4">
      <c r="A423" s="44"/>
      <c r="B423" s="51"/>
      <c r="C423" s="52"/>
      <c r="D423" s="49"/>
    </row>
    <row r="424" customHeight="1" spans="1:4">
      <c r="A424" s="44"/>
      <c r="B424" s="51"/>
      <c r="C424" s="52"/>
      <c r="D424" s="49"/>
    </row>
    <row r="425" customHeight="1" spans="1:4">
      <c r="A425" s="44"/>
      <c r="B425" s="51"/>
      <c r="C425" s="52"/>
      <c r="D425" s="49"/>
    </row>
    <row r="426" customHeight="1" spans="1:4">
      <c r="A426" s="44"/>
      <c r="B426" s="51"/>
      <c r="C426" s="52"/>
      <c r="D426" s="49"/>
    </row>
    <row r="427" customHeight="1" spans="1:4">
      <c r="A427" s="44"/>
      <c r="B427" s="51"/>
      <c r="C427" s="52"/>
      <c r="D427" s="49"/>
    </row>
    <row r="428" customHeight="1" spans="1:4">
      <c r="A428" s="44"/>
      <c r="B428" s="51"/>
      <c r="C428" s="52"/>
      <c r="D428" s="49"/>
    </row>
    <row r="429" customHeight="1" spans="1:4">
      <c r="A429" s="44"/>
      <c r="B429" s="51"/>
      <c r="C429" s="52"/>
      <c r="D429" s="49"/>
    </row>
    <row r="430" customHeight="1" spans="1:4">
      <c r="A430" s="44"/>
      <c r="B430" s="51"/>
      <c r="C430" s="52"/>
      <c r="D430" s="49"/>
    </row>
    <row r="431" customHeight="1" spans="1:4">
      <c r="A431" s="44"/>
      <c r="B431" s="51"/>
      <c r="C431" s="52"/>
      <c r="D431" s="49"/>
    </row>
    <row r="432" customHeight="1" spans="1:4">
      <c r="A432" s="44"/>
      <c r="B432" s="51"/>
      <c r="C432" s="52"/>
      <c r="D432" s="49"/>
    </row>
    <row r="433" customHeight="1" spans="1:4">
      <c r="A433" s="44"/>
      <c r="B433" s="51"/>
      <c r="C433" s="52"/>
      <c r="D433" s="49"/>
    </row>
    <row r="434" customHeight="1" spans="1:4">
      <c r="A434" s="44"/>
      <c r="B434" s="51"/>
      <c r="C434" s="52"/>
      <c r="D434" s="49"/>
    </row>
    <row r="435" customHeight="1" spans="1:4">
      <c r="A435" s="44"/>
      <c r="B435" s="51"/>
      <c r="C435" s="52"/>
      <c r="D435" s="49"/>
    </row>
    <row r="436" customHeight="1" spans="1:4">
      <c r="A436" s="44"/>
      <c r="B436" s="51"/>
      <c r="C436" s="52"/>
      <c r="D436" s="49"/>
    </row>
    <row r="437" customHeight="1" spans="1:4">
      <c r="A437" s="44"/>
      <c r="B437" s="51"/>
      <c r="C437" s="52"/>
      <c r="D437" s="49"/>
    </row>
    <row r="438" customHeight="1" spans="1:4">
      <c r="A438" s="44"/>
      <c r="B438" s="51"/>
      <c r="C438" s="52"/>
      <c r="D438" s="49"/>
    </row>
    <row r="439" customHeight="1" spans="1:4">
      <c r="A439" s="44"/>
      <c r="B439" s="51"/>
      <c r="C439" s="52"/>
      <c r="D439" s="49"/>
    </row>
    <row r="440" customHeight="1" spans="1:4">
      <c r="A440" s="44"/>
      <c r="B440" s="51"/>
      <c r="C440" s="52"/>
      <c r="D440" s="49"/>
    </row>
    <row r="441" customHeight="1" spans="1:4">
      <c r="A441" s="44"/>
      <c r="B441" s="51"/>
      <c r="C441" s="52"/>
      <c r="D441" s="49"/>
    </row>
    <row r="442" customHeight="1" spans="1:4">
      <c r="A442" s="44"/>
      <c r="B442" s="51"/>
      <c r="C442" s="52"/>
      <c r="D442" s="49"/>
    </row>
    <row r="443" customHeight="1" spans="1:4">
      <c r="A443" s="44"/>
      <c r="B443" s="51"/>
      <c r="C443" s="52"/>
      <c r="D443" s="49"/>
    </row>
    <row r="444" customHeight="1" spans="1:4">
      <c r="A444" s="44"/>
      <c r="B444" s="51"/>
      <c r="C444" s="52"/>
      <c r="D444" s="49"/>
    </row>
    <row r="445" customHeight="1" spans="1:4">
      <c r="A445" s="44"/>
      <c r="B445" s="51"/>
      <c r="C445" s="52"/>
      <c r="D445" s="49"/>
    </row>
    <row r="446" customHeight="1" spans="1:4">
      <c r="A446" s="44"/>
      <c r="B446" s="51"/>
      <c r="C446" s="52"/>
      <c r="D446" s="49"/>
    </row>
    <row r="447" customHeight="1" spans="1:4">
      <c r="A447" s="44"/>
      <c r="B447" s="51"/>
      <c r="C447" s="52"/>
      <c r="D447" s="49"/>
    </row>
    <row r="448" customHeight="1" spans="1:4">
      <c r="A448" s="44"/>
      <c r="B448" s="51"/>
      <c r="C448" s="52"/>
      <c r="D448" s="49"/>
    </row>
    <row r="449" customHeight="1" spans="1:4">
      <c r="A449" s="44"/>
      <c r="B449" s="51"/>
      <c r="C449" s="52"/>
      <c r="D449" s="49"/>
    </row>
    <row r="450" customHeight="1" spans="1:4">
      <c r="A450" s="44"/>
      <c r="B450" s="51"/>
      <c r="C450" s="52"/>
      <c r="D450" s="49"/>
    </row>
    <row r="451" customHeight="1" spans="1:4">
      <c r="A451" s="44"/>
      <c r="B451" s="51"/>
      <c r="C451" s="52"/>
      <c r="D451" s="49"/>
    </row>
    <row r="452" customHeight="1" spans="1:4">
      <c r="A452" s="44"/>
      <c r="B452" s="51"/>
      <c r="C452" s="52"/>
      <c r="D452" s="49"/>
    </row>
    <row r="453" customHeight="1" spans="1:4">
      <c r="A453" s="44"/>
      <c r="B453" s="51"/>
      <c r="C453" s="52"/>
      <c r="D453" s="49"/>
    </row>
    <row r="454" customHeight="1" spans="1:4">
      <c r="A454" s="44"/>
      <c r="B454" s="51"/>
      <c r="C454" s="52"/>
      <c r="D454" s="49"/>
    </row>
    <row r="455" customHeight="1" spans="1:4">
      <c r="A455" s="44"/>
      <c r="B455" s="51"/>
      <c r="C455" s="52"/>
      <c r="D455" s="49"/>
    </row>
    <row r="456" customHeight="1" spans="1:4">
      <c r="A456" s="44"/>
      <c r="B456" s="51"/>
      <c r="C456" s="52"/>
      <c r="D456" s="49"/>
    </row>
    <row r="457" customHeight="1" spans="1:4">
      <c r="A457" s="44"/>
      <c r="B457" s="51"/>
      <c r="C457" s="52"/>
      <c r="D457" s="49"/>
    </row>
    <row r="458" customHeight="1" spans="1:4">
      <c r="A458" s="44"/>
      <c r="B458" s="51"/>
      <c r="C458" s="52"/>
      <c r="D458" s="49"/>
    </row>
    <row r="459" customHeight="1" spans="1:4">
      <c r="A459" s="44"/>
      <c r="B459" s="51"/>
      <c r="C459" s="52"/>
      <c r="D459" s="49"/>
    </row>
    <row r="460" customHeight="1" spans="1:4">
      <c r="A460" s="44"/>
      <c r="B460" s="51"/>
      <c r="C460" s="52"/>
      <c r="D460" s="49"/>
    </row>
    <row r="461" customHeight="1" spans="1:4">
      <c r="A461" s="44"/>
      <c r="B461" s="51"/>
      <c r="C461" s="52"/>
      <c r="D461" s="49"/>
    </row>
    <row r="462" customHeight="1" spans="1:4">
      <c r="A462" s="44"/>
      <c r="B462" s="51"/>
      <c r="C462" s="52"/>
      <c r="D462" s="49"/>
    </row>
    <row r="463" customHeight="1" spans="1:4">
      <c r="A463" s="44"/>
      <c r="B463" s="51"/>
      <c r="C463" s="52"/>
      <c r="D463" s="49"/>
    </row>
    <row r="464" customHeight="1" spans="1:4">
      <c r="A464" s="44"/>
      <c r="B464" s="51"/>
      <c r="C464" s="52"/>
      <c r="D464" s="49"/>
    </row>
    <row r="465" customHeight="1" spans="1:4">
      <c r="A465" s="44"/>
      <c r="B465" s="51"/>
      <c r="C465" s="52"/>
      <c r="D465" s="49"/>
    </row>
    <row r="466" customHeight="1" spans="1:4">
      <c r="A466" s="44"/>
      <c r="B466" s="51"/>
      <c r="C466" s="52"/>
      <c r="D466" s="49"/>
    </row>
    <row r="467" customHeight="1" spans="1:4">
      <c r="A467" s="44"/>
      <c r="B467" s="51"/>
      <c r="C467" s="52"/>
      <c r="D467" s="49"/>
    </row>
    <row r="468" customHeight="1" spans="1:4">
      <c r="A468" s="44"/>
      <c r="B468" s="51"/>
      <c r="C468" s="52"/>
      <c r="D468" s="49"/>
    </row>
    <row r="469" customHeight="1" spans="1:4">
      <c r="A469" s="44"/>
      <c r="B469" s="51"/>
      <c r="C469" s="52"/>
      <c r="D469" s="49"/>
    </row>
    <row r="470" customHeight="1" spans="1:4">
      <c r="A470" s="44"/>
      <c r="B470" s="51"/>
      <c r="C470" s="52"/>
      <c r="D470" s="49"/>
    </row>
    <row r="471" customHeight="1" spans="1:4">
      <c r="A471" s="44"/>
      <c r="B471" s="51"/>
      <c r="C471" s="52"/>
      <c r="D471" s="49"/>
    </row>
    <row r="472" customHeight="1" spans="1:4">
      <c r="A472" s="44"/>
      <c r="B472" s="51"/>
      <c r="C472" s="52"/>
      <c r="D472" s="49"/>
    </row>
    <row r="473" customHeight="1" spans="1:4">
      <c r="A473" s="44"/>
      <c r="B473" s="51"/>
      <c r="C473" s="52"/>
      <c r="D473" s="49"/>
    </row>
    <row r="474" customHeight="1" spans="1:4">
      <c r="A474" s="44"/>
      <c r="B474" s="51"/>
      <c r="C474" s="52"/>
      <c r="D474" s="49"/>
    </row>
    <row r="475" customHeight="1" spans="1:4">
      <c r="A475" s="44"/>
      <c r="B475" s="51"/>
      <c r="C475" s="52"/>
      <c r="D475" s="49"/>
    </row>
    <row r="476" customHeight="1" spans="1:4">
      <c r="A476" s="44"/>
      <c r="B476" s="51"/>
      <c r="C476" s="52"/>
      <c r="D476" s="49"/>
    </row>
    <row r="477" customHeight="1" spans="1:4">
      <c r="A477" s="44"/>
      <c r="B477" s="51"/>
      <c r="C477" s="52"/>
      <c r="D477" s="49"/>
    </row>
    <row r="478" customHeight="1" spans="1:4">
      <c r="A478" s="44"/>
      <c r="B478" s="51"/>
      <c r="C478" s="52"/>
      <c r="D478" s="49"/>
    </row>
    <row r="479" customHeight="1" spans="1:4">
      <c r="A479" s="44"/>
      <c r="B479" s="51"/>
      <c r="C479" s="52"/>
      <c r="D479" s="49"/>
    </row>
    <row r="480" customHeight="1" spans="1:4">
      <c r="A480" s="44"/>
      <c r="B480" s="51"/>
      <c r="C480" s="52"/>
      <c r="D480" s="49"/>
    </row>
    <row r="481" customHeight="1" spans="1:4">
      <c r="A481" s="44"/>
      <c r="B481" s="51"/>
      <c r="C481" s="52"/>
      <c r="D481" s="49"/>
    </row>
    <row r="482" customHeight="1" spans="1:4">
      <c r="A482" s="44"/>
      <c r="B482" s="51"/>
      <c r="C482" s="52"/>
      <c r="D482" s="49"/>
    </row>
    <row r="483" customHeight="1" spans="1:4">
      <c r="A483" s="44"/>
      <c r="B483" s="51"/>
      <c r="C483" s="52"/>
      <c r="D483" s="49"/>
    </row>
    <row r="484" customHeight="1" spans="1:4">
      <c r="A484" s="44"/>
      <c r="B484" s="51"/>
      <c r="C484" s="52"/>
      <c r="D484" s="49"/>
    </row>
    <row r="485" customHeight="1" spans="1:4">
      <c r="A485" s="44"/>
      <c r="B485" s="51"/>
      <c r="C485" s="52"/>
      <c r="D485" s="49"/>
    </row>
    <row r="486" customHeight="1" spans="1:4">
      <c r="A486" s="44"/>
      <c r="B486" s="51"/>
      <c r="C486" s="52"/>
      <c r="D486" s="49"/>
    </row>
    <row r="487" customHeight="1" spans="1:4">
      <c r="A487" s="44"/>
      <c r="B487" s="51"/>
      <c r="C487" s="52"/>
      <c r="D487" s="49"/>
    </row>
    <row r="488" customHeight="1" spans="1:4">
      <c r="A488" s="44"/>
      <c r="B488" s="51"/>
      <c r="C488" s="52"/>
      <c r="D488" s="49"/>
    </row>
    <row r="489" customHeight="1" spans="1:4">
      <c r="A489" s="44"/>
      <c r="B489" s="51"/>
      <c r="C489" s="52"/>
      <c r="D489" s="49"/>
    </row>
    <row r="490" customHeight="1" spans="1:4">
      <c r="A490" s="44"/>
      <c r="B490" s="51"/>
      <c r="C490" s="52"/>
      <c r="D490" s="49"/>
    </row>
    <row r="491" customHeight="1" spans="1:4">
      <c r="A491" s="44"/>
      <c r="B491" s="51"/>
      <c r="C491" s="52"/>
      <c r="D491" s="49"/>
    </row>
    <row r="492" customHeight="1" spans="1:4">
      <c r="A492" s="44"/>
      <c r="B492" s="51"/>
      <c r="C492" s="52"/>
      <c r="D492" s="49"/>
    </row>
    <row r="493" customHeight="1" spans="1:4">
      <c r="A493" s="44"/>
      <c r="B493" s="51"/>
      <c r="C493" s="52"/>
      <c r="D493" s="49"/>
    </row>
    <row r="494" customHeight="1" spans="1:4">
      <c r="A494" s="44"/>
      <c r="B494" s="51"/>
      <c r="C494" s="52"/>
      <c r="D494" s="49"/>
    </row>
    <row r="495" customHeight="1" spans="1:4">
      <c r="A495" s="44"/>
      <c r="B495" s="51"/>
      <c r="C495" s="52"/>
      <c r="D495" s="49"/>
    </row>
    <row r="496" customHeight="1" spans="1:4">
      <c r="A496" s="44"/>
      <c r="B496" s="51"/>
      <c r="C496" s="52"/>
      <c r="D496" s="49"/>
    </row>
    <row r="497" customHeight="1" spans="1:4">
      <c r="A497" s="44"/>
      <c r="B497" s="51"/>
      <c r="C497" s="52"/>
      <c r="D497" s="49"/>
    </row>
    <row r="498" customHeight="1" spans="1:4">
      <c r="A498" s="44"/>
      <c r="B498" s="51"/>
      <c r="C498" s="52"/>
      <c r="D498" s="49"/>
    </row>
    <row r="499" customHeight="1" spans="1:4">
      <c r="A499" s="44"/>
      <c r="B499" s="51"/>
      <c r="C499" s="52"/>
      <c r="D499" s="49"/>
    </row>
    <row r="500" customHeight="1" spans="1:4">
      <c r="A500" s="44"/>
      <c r="B500" s="51"/>
      <c r="C500" s="52"/>
      <c r="D500" s="49"/>
    </row>
    <row r="501" customHeight="1" spans="1:4">
      <c r="A501" s="44"/>
      <c r="B501" s="51"/>
      <c r="C501" s="52"/>
      <c r="D501" s="49"/>
    </row>
    <row r="502" customHeight="1" spans="1:4">
      <c r="A502" s="44"/>
      <c r="B502" s="51"/>
      <c r="C502" s="52"/>
      <c r="D502" s="49"/>
    </row>
    <row r="503" customHeight="1" spans="1:4">
      <c r="A503" s="44"/>
      <c r="B503" s="51"/>
      <c r="C503" s="52"/>
      <c r="D503" s="49"/>
    </row>
    <row r="504" customHeight="1" spans="1:4">
      <c r="A504" s="44"/>
      <c r="B504" s="51"/>
      <c r="C504" s="52"/>
      <c r="D504" s="49"/>
    </row>
    <row r="505" customHeight="1" spans="1:4">
      <c r="A505" s="44"/>
      <c r="B505" s="51"/>
      <c r="C505" s="52"/>
      <c r="D505" s="49"/>
    </row>
    <row r="506" customHeight="1" spans="1:4">
      <c r="A506" s="44"/>
      <c r="B506" s="51"/>
      <c r="C506" s="52"/>
      <c r="D506" s="49"/>
    </row>
    <row r="507" customHeight="1" spans="1:4">
      <c r="A507" s="44"/>
      <c r="B507" s="51"/>
      <c r="C507" s="52"/>
      <c r="D507" s="49"/>
    </row>
    <row r="508" customHeight="1" spans="1:4">
      <c r="A508" s="44"/>
      <c r="B508" s="51"/>
      <c r="C508" s="52"/>
      <c r="D508" s="49"/>
    </row>
    <row r="509" customHeight="1" spans="1:4">
      <c r="A509" s="44"/>
      <c r="B509" s="51"/>
      <c r="C509" s="52"/>
      <c r="D509" s="49"/>
    </row>
    <row r="510" customHeight="1" spans="1:4">
      <c r="A510" s="44"/>
      <c r="B510" s="51"/>
      <c r="C510" s="52"/>
      <c r="D510" s="49"/>
    </row>
    <row r="511" customHeight="1" spans="1:4">
      <c r="A511" s="44"/>
      <c r="B511" s="51"/>
      <c r="C511" s="52"/>
      <c r="D511" s="49"/>
    </row>
    <row r="512" customHeight="1" spans="1:4">
      <c r="A512" s="44"/>
      <c r="B512" s="51"/>
      <c r="C512" s="52"/>
      <c r="D512" s="49"/>
    </row>
    <row r="513" customHeight="1" spans="1:4">
      <c r="A513" s="44"/>
      <c r="B513" s="51"/>
      <c r="C513" s="52"/>
      <c r="D513" s="49"/>
    </row>
    <row r="514" customHeight="1" spans="1:4">
      <c r="A514" s="44"/>
      <c r="B514" s="51"/>
      <c r="C514" s="52"/>
      <c r="D514" s="49"/>
    </row>
    <row r="515" customHeight="1" spans="1:4">
      <c r="A515" s="44"/>
      <c r="B515" s="51"/>
      <c r="C515" s="52"/>
      <c r="D515" s="49"/>
    </row>
    <row r="516" customHeight="1" spans="1:4">
      <c r="A516" s="44"/>
      <c r="B516" s="51"/>
      <c r="C516" s="52"/>
      <c r="D516" s="49"/>
    </row>
    <row r="517" customHeight="1" spans="1:4">
      <c r="A517" s="44"/>
      <c r="B517" s="51"/>
      <c r="C517" s="52"/>
      <c r="D517" s="49"/>
    </row>
    <row r="518" customHeight="1" spans="1:4">
      <c r="A518" s="44"/>
      <c r="B518" s="51"/>
      <c r="C518" s="52"/>
      <c r="D518" s="49"/>
    </row>
    <row r="519" customHeight="1" spans="1:4">
      <c r="A519" s="44"/>
      <c r="B519" s="51"/>
      <c r="C519" s="52"/>
      <c r="D519" s="49"/>
    </row>
    <row r="520" customHeight="1" spans="1:4">
      <c r="A520" s="44"/>
      <c r="B520" s="51"/>
      <c r="C520" s="52"/>
      <c r="D520" s="49"/>
    </row>
    <row r="521" customHeight="1" spans="1:4">
      <c r="A521" s="44"/>
      <c r="B521" s="51"/>
      <c r="C521" s="52"/>
      <c r="D521" s="49"/>
    </row>
    <row r="522" customHeight="1" spans="1:4">
      <c r="A522" s="44"/>
      <c r="B522" s="51"/>
      <c r="C522" s="52"/>
      <c r="D522" s="49"/>
    </row>
    <row r="523" customHeight="1" spans="1:4">
      <c r="A523" s="44"/>
      <c r="B523" s="51"/>
      <c r="C523" s="52"/>
      <c r="D523" s="49"/>
    </row>
    <row r="524" customHeight="1" spans="1:4">
      <c r="A524" s="44"/>
      <c r="B524" s="51"/>
      <c r="C524" s="52"/>
      <c r="D524" s="49"/>
    </row>
    <row r="525" customHeight="1" spans="1:4">
      <c r="A525" s="44"/>
      <c r="B525" s="51"/>
      <c r="C525" s="52"/>
      <c r="D525" s="49"/>
    </row>
    <row r="526" customHeight="1" spans="1:4">
      <c r="A526" s="44"/>
      <c r="B526" s="51"/>
      <c r="C526" s="52"/>
      <c r="D526" s="49"/>
    </row>
    <row r="527" customHeight="1" spans="1:4">
      <c r="A527" s="44"/>
      <c r="B527" s="51"/>
      <c r="C527" s="52"/>
      <c r="D527" s="49"/>
    </row>
    <row r="528" customHeight="1" spans="1:4">
      <c r="A528" s="44"/>
      <c r="B528" s="51"/>
      <c r="C528" s="52"/>
      <c r="D528" s="49"/>
    </row>
    <row r="529" customHeight="1" spans="1:4">
      <c r="A529" s="44"/>
      <c r="B529" s="51"/>
      <c r="C529" s="52"/>
      <c r="D529" s="49"/>
    </row>
    <row r="530" customHeight="1" spans="1:4">
      <c r="A530" s="44"/>
      <c r="B530" s="51"/>
      <c r="C530" s="52"/>
      <c r="D530" s="49"/>
    </row>
    <row r="531" customHeight="1" spans="1:4">
      <c r="A531" s="44"/>
      <c r="B531" s="51"/>
      <c r="C531" s="52"/>
      <c r="D531" s="49"/>
    </row>
    <row r="532" customHeight="1" spans="1:4">
      <c r="A532" s="44"/>
      <c r="B532" s="51"/>
      <c r="C532" s="52"/>
      <c r="D532" s="49"/>
    </row>
    <row r="533" customHeight="1" spans="1:4">
      <c r="A533" s="44"/>
      <c r="B533" s="51"/>
      <c r="C533" s="52"/>
      <c r="D533" s="49"/>
    </row>
    <row r="534" customHeight="1" spans="1:4">
      <c r="A534" s="44"/>
      <c r="B534" s="51"/>
      <c r="C534" s="52"/>
      <c r="D534" s="49"/>
    </row>
    <row r="535" customHeight="1" spans="1:4">
      <c r="A535" s="44"/>
      <c r="B535" s="51"/>
      <c r="C535" s="52"/>
      <c r="D535" s="49"/>
    </row>
    <row r="536" customHeight="1" spans="1:4">
      <c r="A536" s="44"/>
      <c r="B536" s="51"/>
      <c r="C536" s="52"/>
      <c r="D536" s="49"/>
    </row>
    <row r="537" customHeight="1" spans="1:4">
      <c r="A537" s="44"/>
      <c r="B537" s="51"/>
      <c r="C537" s="52"/>
      <c r="D537" s="49"/>
    </row>
    <row r="538" customHeight="1" spans="1:4">
      <c r="A538" s="44"/>
      <c r="B538" s="51"/>
      <c r="C538" s="52"/>
      <c r="D538" s="49"/>
    </row>
    <row r="539" customHeight="1" spans="1:4">
      <c r="A539" s="44"/>
      <c r="B539" s="51"/>
      <c r="C539" s="52"/>
      <c r="D539" s="49"/>
    </row>
    <row r="540" customHeight="1" spans="1:4">
      <c r="A540" s="44"/>
      <c r="B540" s="51"/>
      <c r="C540" s="52"/>
      <c r="D540" s="49"/>
    </row>
    <row r="541" customHeight="1" spans="1:4">
      <c r="A541" s="44"/>
      <c r="B541" s="51"/>
      <c r="C541" s="52"/>
      <c r="D541" s="49"/>
    </row>
    <row r="542" customHeight="1" spans="1:4">
      <c r="A542" s="44"/>
      <c r="B542" s="51"/>
      <c r="C542" s="52"/>
      <c r="D542" s="49"/>
    </row>
    <row r="543" customHeight="1" spans="1:4">
      <c r="A543" s="44"/>
      <c r="B543" s="51"/>
      <c r="C543" s="52"/>
      <c r="D543" s="49"/>
    </row>
    <row r="544" customHeight="1" spans="1:4">
      <c r="A544" s="44"/>
      <c r="B544" s="51"/>
      <c r="C544" s="52"/>
      <c r="D544" s="49"/>
    </row>
    <row r="545" customHeight="1" spans="1:4">
      <c r="A545" s="44"/>
      <c r="B545" s="51"/>
      <c r="C545" s="52"/>
      <c r="D545" s="49"/>
    </row>
    <row r="546" customHeight="1" spans="1:4">
      <c r="A546" s="44"/>
      <c r="B546" s="51"/>
      <c r="C546" s="52"/>
      <c r="D546" s="49"/>
    </row>
    <row r="547" customHeight="1" spans="1:4">
      <c r="A547" s="44"/>
      <c r="B547" s="51"/>
      <c r="C547" s="52"/>
      <c r="D547" s="49"/>
    </row>
    <row r="548" customHeight="1" spans="1:4">
      <c r="A548" s="44"/>
      <c r="B548" s="51"/>
      <c r="C548" s="52"/>
      <c r="D548" s="49"/>
    </row>
    <row r="549" customHeight="1" spans="1:4">
      <c r="A549" s="44"/>
      <c r="B549" s="51"/>
      <c r="C549" s="52"/>
      <c r="D549" s="49"/>
    </row>
    <row r="550" customHeight="1" spans="1:4">
      <c r="A550" s="44"/>
      <c r="B550" s="51"/>
      <c r="C550" s="52"/>
      <c r="D550" s="49"/>
    </row>
    <row r="551" customHeight="1" spans="1:4">
      <c r="A551" s="44"/>
      <c r="B551" s="51"/>
      <c r="C551" s="52"/>
      <c r="D551" s="49"/>
    </row>
    <row r="552" customHeight="1" spans="1:4">
      <c r="A552" s="44"/>
      <c r="B552" s="51"/>
      <c r="C552" s="52"/>
      <c r="D552" s="49"/>
    </row>
    <row r="553" customHeight="1" spans="1:4">
      <c r="A553" s="44"/>
      <c r="B553" s="51"/>
      <c r="C553" s="52"/>
      <c r="D553" s="49"/>
    </row>
    <row r="554" customHeight="1" spans="1:4">
      <c r="A554" s="44"/>
      <c r="B554" s="51"/>
      <c r="C554" s="52"/>
      <c r="D554" s="49"/>
    </row>
    <row r="555" customHeight="1" spans="1:4">
      <c r="A555" s="44"/>
      <c r="B555" s="51"/>
      <c r="C555" s="52"/>
      <c r="D555" s="49"/>
    </row>
    <row r="556" customHeight="1" spans="1:4">
      <c r="A556" s="44"/>
      <c r="B556" s="51"/>
      <c r="C556" s="52"/>
      <c r="D556" s="49"/>
    </row>
    <row r="557" customHeight="1" spans="1:4">
      <c r="A557" s="44"/>
      <c r="B557" s="51"/>
      <c r="C557" s="52"/>
      <c r="D557" s="49"/>
    </row>
    <row r="558" customHeight="1" spans="1:4">
      <c r="A558" s="44"/>
      <c r="B558" s="51"/>
      <c r="C558" s="52"/>
      <c r="D558" s="49"/>
    </row>
    <row r="559" customHeight="1" spans="1:4">
      <c r="A559" s="44"/>
      <c r="B559" s="51"/>
      <c r="C559" s="52"/>
      <c r="D559" s="49"/>
    </row>
    <row r="560" customHeight="1" spans="1:4">
      <c r="A560" s="44"/>
      <c r="B560" s="51"/>
      <c r="C560" s="52"/>
      <c r="D560" s="49"/>
    </row>
    <row r="561" customHeight="1" spans="1:4">
      <c r="A561" s="44"/>
      <c r="B561" s="51"/>
      <c r="C561" s="52"/>
      <c r="D561" s="49"/>
    </row>
    <row r="562" customHeight="1" spans="1:4">
      <c r="A562" s="44"/>
      <c r="B562" s="51"/>
      <c r="C562" s="52"/>
      <c r="D562" s="49"/>
    </row>
    <row r="563" customHeight="1" spans="1:4">
      <c r="A563" s="44"/>
      <c r="B563" s="51"/>
      <c r="C563" s="52"/>
      <c r="D563" s="49"/>
    </row>
    <row r="564" customHeight="1" spans="1:4">
      <c r="A564" s="44"/>
      <c r="B564" s="51"/>
      <c r="C564" s="52"/>
      <c r="D564" s="49"/>
    </row>
    <row r="565" customHeight="1" spans="1:4">
      <c r="A565" s="44"/>
      <c r="B565" s="51"/>
      <c r="C565" s="52"/>
      <c r="D565" s="49"/>
    </row>
    <row r="566" customHeight="1" spans="1:4">
      <c r="A566" s="44"/>
      <c r="B566" s="51"/>
      <c r="C566" s="52"/>
      <c r="D566" s="49"/>
    </row>
    <row r="567" customHeight="1" spans="1:4">
      <c r="A567" s="44"/>
      <c r="B567" s="51"/>
      <c r="C567" s="52"/>
      <c r="D567" s="49"/>
    </row>
    <row r="568" customHeight="1" spans="1:4">
      <c r="A568" s="44"/>
      <c r="B568" s="51"/>
      <c r="C568" s="52"/>
      <c r="D568" s="49"/>
    </row>
    <row r="569" customHeight="1" spans="1:4">
      <c r="A569" s="44"/>
      <c r="B569" s="51"/>
      <c r="C569" s="52"/>
      <c r="D569" s="49"/>
    </row>
    <row r="570" customHeight="1" spans="1:4">
      <c r="A570" s="44"/>
      <c r="B570" s="51"/>
      <c r="C570" s="52"/>
      <c r="D570" s="49"/>
    </row>
    <row r="571" customHeight="1" spans="1:4">
      <c r="A571" s="44"/>
      <c r="B571" s="51"/>
      <c r="C571" s="52"/>
      <c r="D571" s="49"/>
    </row>
    <row r="572" customHeight="1" spans="1:4">
      <c r="A572" s="44"/>
      <c r="B572" s="51"/>
      <c r="C572" s="52"/>
      <c r="D572" s="49"/>
    </row>
    <row r="573" customHeight="1" spans="1:4">
      <c r="A573" s="44"/>
      <c r="B573" s="51"/>
      <c r="C573" s="52"/>
      <c r="D573" s="49"/>
    </row>
    <row r="574" customHeight="1" spans="1:4">
      <c r="A574" s="44"/>
      <c r="B574" s="51"/>
      <c r="C574" s="52"/>
      <c r="D574" s="49"/>
    </row>
    <row r="575" customHeight="1" spans="1:4">
      <c r="A575" s="44"/>
      <c r="B575" s="51"/>
      <c r="C575" s="52"/>
      <c r="D575" s="49"/>
    </row>
    <row r="576" customHeight="1" spans="1:4">
      <c r="A576" s="44"/>
      <c r="B576" s="51"/>
      <c r="C576" s="52"/>
      <c r="D576" s="49"/>
    </row>
    <row r="577" customHeight="1" spans="1:4">
      <c r="A577" s="44"/>
      <c r="B577" s="51"/>
      <c r="C577" s="52"/>
      <c r="D577" s="49"/>
    </row>
    <row r="578" customHeight="1" spans="1:4">
      <c r="A578" s="44"/>
      <c r="B578" s="51"/>
      <c r="C578" s="52"/>
      <c r="D578" s="49"/>
    </row>
    <row r="579" customHeight="1" spans="1:4">
      <c r="A579" s="44"/>
      <c r="B579" s="51"/>
      <c r="C579" s="52"/>
      <c r="D579" s="49"/>
    </row>
    <row r="580" customHeight="1" spans="1:4">
      <c r="A580" s="44"/>
      <c r="B580" s="51"/>
      <c r="C580" s="52"/>
      <c r="D580" s="49"/>
    </row>
    <row r="581" customHeight="1" spans="1:4">
      <c r="A581" s="44"/>
      <c r="B581" s="51"/>
      <c r="C581" s="52"/>
      <c r="D581" s="49"/>
    </row>
    <row r="582" customHeight="1" spans="1:4">
      <c r="A582" s="44"/>
      <c r="B582" s="51"/>
      <c r="C582" s="52"/>
      <c r="D582" s="49"/>
    </row>
    <row r="583" customHeight="1" spans="1:4">
      <c r="A583" s="44"/>
      <c r="B583" s="51"/>
      <c r="C583" s="52"/>
      <c r="D583" s="49"/>
    </row>
    <row r="584" customHeight="1" spans="1:4">
      <c r="A584" s="44"/>
      <c r="B584" s="51"/>
      <c r="C584" s="52"/>
      <c r="D584" s="49"/>
    </row>
    <row r="585" customHeight="1" spans="1:4">
      <c r="A585" s="44"/>
      <c r="B585" s="51"/>
      <c r="C585" s="52"/>
      <c r="D585" s="49"/>
    </row>
    <row r="586" customHeight="1" spans="1:4">
      <c r="A586" s="44"/>
      <c r="B586" s="51"/>
      <c r="C586" s="52"/>
      <c r="D586" s="49"/>
    </row>
    <row r="587" customHeight="1" spans="1:4">
      <c r="A587" s="44"/>
      <c r="B587" s="51"/>
      <c r="C587" s="52"/>
      <c r="D587" s="49"/>
    </row>
    <row r="588" customHeight="1" spans="1:4">
      <c r="A588" s="44"/>
      <c r="B588" s="51"/>
      <c r="C588" s="52"/>
      <c r="D588" s="49"/>
    </row>
    <row r="589" customHeight="1" spans="1:4">
      <c r="A589" s="44"/>
      <c r="B589" s="51"/>
      <c r="C589" s="52"/>
      <c r="D589" s="49"/>
    </row>
    <row r="590" customHeight="1" spans="1:4">
      <c r="A590" s="44"/>
      <c r="B590" s="51"/>
      <c r="C590" s="52"/>
      <c r="D590" s="49"/>
    </row>
    <row r="591" customHeight="1" spans="1:4">
      <c r="A591" s="44"/>
      <c r="B591" s="51"/>
      <c r="C591" s="52"/>
      <c r="D591" s="49"/>
    </row>
    <row r="592" customHeight="1" spans="1:4">
      <c r="A592" s="44"/>
      <c r="B592" s="51"/>
      <c r="C592" s="52"/>
      <c r="D592" s="49"/>
    </row>
    <row r="593" customHeight="1" spans="1:4">
      <c r="A593" s="44"/>
      <c r="B593" s="51"/>
      <c r="C593" s="52"/>
      <c r="D593" s="49"/>
    </row>
    <row r="594" customHeight="1" spans="1:4">
      <c r="A594" s="44"/>
      <c r="B594" s="51"/>
      <c r="C594" s="52"/>
      <c r="D594" s="49"/>
    </row>
    <row r="595" customHeight="1" spans="1:4">
      <c r="A595" s="44"/>
      <c r="B595" s="51"/>
      <c r="C595" s="52"/>
      <c r="D595" s="49"/>
    </row>
    <row r="596" customHeight="1" spans="1:4">
      <c r="A596" s="44"/>
      <c r="B596" s="51"/>
      <c r="C596" s="52"/>
      <c r="D596" s="49"/>
    </row>
    <row r="597" customHeight="1" spans="1:4">
      <c r="A597" s="44"/>
      <c r="B597" s="51"/>
      <c r="C597" s="52"/>
      <c r="D597" s="49"/>
    </row>
    <row r="598" customHeight="1" spans="1:4">
      <c r="A598" s="44"/>
      <c r="B598" s="51"/>
      <c r="C598" s="52"/>
      <c r="D598" s="49"/>
    </row>
    <row r="599" customHeight="1" spans="1:4">
      <c r="A599" s="44"/>
      <c r="B599" s="51"/>
      <c r="C599" s="52"/>
      <c r="D599" s="49"/>
    </row>
    <row r="600" customHeight="1" spans="1:4">
      <c r="A600" s="44"/>
      <c r="B600" s="51"/>
      <c r="C600" s="52"/>
      <c r="D600" s="49"/>
    </row>
    <row r="601" customHeight="1" spans="1:4">
      <c r="A601" s="44"/>
      <c r="B601" s="51"/>
      <c r="C601" s="52"/>
      <c r="D601" s="49"/>
    </row>
    <row r="602" customHeight="1" spans="1:4">
      <c r="A602" s="44"/>
      <c r="B602" s="51"/>
      <c r="C602" s="52"/>
      <c r="D602" s="49"/>
    </row>
    <row r="603" customHeight="1" spans="1:4">
      <c r="A603" s="44"/>
      <c r="B603" s="51"/>
      <c r="C603" s="52"/>
      <c r="D603" s="49"/>
    </row>
    <row r="604" customHeight="1" spans="1:4">
      <c r="A604" s="44"/>
      <c r="B604" s="51"/>
      <c r="C604" s="52"/>
      <c r="D604" s="49"/>
    </row>
    <row r="605" customHeight="1" spans="1:4">
      <c r="A605" s="44"/>
      <c r="B605" s="51"/>
      <c r="C605" s="52"/>
      <c r="D605" s="49"/>
    </row>
    <row r="606" customHeight="1" spans="1:4">
      <c r="A606" s="44"/>
      <c r="B606" s="51"/>
      <c r="C606" s="52"/>
      <c r="D606" s="49"/>
    </row>
    <row r="607" customHeight="1" spans="1:4">
      <c r="A607" s="44"/>
      <c r="B607" s="51"/>
      <c r="C607" s="52"/>
      <c r="D607" s="49"/>
    </row>
    <row r="608" customHeight="1" spans="1:4">
      <c r="A608" s="44"/>
      <c r="B608" s="51"/>
      <c r="C608" s="52"/>
      <c r="D608" s="49"/>
    </row>
    <row r="609" customHeight="1" spans="1:4">
      <c r="A609" s="44"/>
      <c r="B609" s="51"/>
      <c r="C609" s="52"/>
      <c r="D609" s="49"/>
    </row>
    <row r="610" customHeight="1" spans="1:4">
      <c r="A610" s="44"/>
      <c r="B610" s="51"/>
      <c r="C610" s="52"/>
      <c r="D610" s="49"/>
    </row>
    <row r="611" customHeight="1" spans="1:4">
      <c r="A611" s="44"/>
      <c r="B611" s="51"/>
      <c r="C611" s="52"/>
      <c r="D611" s="49"/>
    </row>
    <row r="612" customHeight="1" spans="1:4">
      <c r="A612" s="44"/>
      <c r="B612" s="51"/>
      <c r="C612" s="52"/>
      <c r="D612" s="49"/>
    </row>
    <row r="613" customHeight="1" spans="1:4">
      <c r="A613" s="44"/>
      <c r="B613" s="51"/>
      <c r="C613" s="52"/>
      <c r="D613" s="49"/>
    </row>
    <row r="614" customHeight="1" spans="1:4">
      <c r="A614" s="44"/>
      <c r="B614" s="51"/>
      <c r="C614" s="52"/>
      <c r="D614" s="49"/>
    </row>
    <row r="615" customHeight="1" spans="1:4">
      <c r="A615" s="44"/>
      <c r="B615" s="51"/>
      <c r="C615" s="52"/>
      <c r="D615" s="49"/>
    </row>
    <row r="616" customHeight="1" spans="1:4">
      <c r="A616" s="44"/>
      <c r="B616" s="51"/>
      <c r="C616" s="52"/>
      <c r="D616" s="49"/>
    </row>
    <row r="617" customHeight="1" spans="1:4">
      <c r="A617" s="44"/>
      <c r="B617" s="51"/>
      <c r="C617" s="52"/>
      <c r="D617" s="49"/>
    </row>
    <row r="618" customHeight="1" spans="1:4">
      <c r="A618" s="44"/>
      <c r="B618" s="51"/>
      <c r="C618" s="52"/>
      <c r="D618" s="49"/>
    </row>
    <row r="619" customHeight="1" spans="1:4">
      <c r="A619" s="44"/>
      <c r="B619" s="51"/>
      <c r="C619" s="52"/>
      <c r="D619" s="49"/>
    </row>
    <row r="620" customHeight="1" spans="1:4">
      <c r="A620" s="44"/>
      <c r="B620" s="51"/>
      <c r="C620" s="52"/>
      <c r="D620" s="49"/>
    </row>
    <row r="621" customHeight="1" spans="1:4">
      <c r="A621" s="44"/>
      <c r="B621" s="51"/>
      <c r="C621" s="52"/>
      <c r="D621" s="49"/>
    </row>
    <row r="622" customHeight="1" spans="1:4">
      <c r="A622" s="44"/>
      <c r="B622" s="51"/>
      <c r="C622" s="52"/>
      <c r="D622" s="49"/>
    </row>
    <row r="623" customHeight="1" spans="1:4">
      <c r="A623" s="44"/>
      <c r="B623" s="51"/>
      <c r="C623" s="52"/>
      <c r="D623" s="49"/>
    </row>
    <row r="624" customHeight="1" spans="1:4">
      <c r="A624" s="44"/>
      <c r="B624" s="51"/>
      <c r="C624" s="52"/>
      <c r="D624" s="49"/>
    </row>
    <row r="625" customHeight="1" spans="1:4">
      <c r="A625" s="44"/>
      <c r="B625" s="51"/>
      <c r="C625" s="52"/>
      <c r="D625" s="49"/>
    </row>
    <row r="626" customHeight="1" spans="1:4">
      <c r="A626" s="44"/>
      <c r="B626" s="51"/>
      <c r="C626" s="52"/>
      <c r="D626" s="49"/>
    </row>
    <row r="627" customHeight="1" spans="1:4">
      <c r="A627" s="44"/>
      <c r="B627" s="51"/>
      <c r="C627" s="52"/>
      <c r="D627" s="49"/>
    </row>
    <row r="628" customHeight="1" spans="1:4">
      <c r="A628" s="44"/>
      <c r="B628" s="51"/>
      <c r="C628" s="52"/>
      <c r="D628" s="49"/>
    </row>
    <row r="629" customHeight="1" spans="1:4">
      <c r="A629" s="44"/>
      <c r="B629" s="51"/>
      <c r="C629" s="52"/>
      <c r="D629" s="49"/>
    </row>
    <row r="630" customHeight="1" spans="1:4">
      <c r="A630" s="44"/>
      <c r="B630" s="51"/>
      <c r="C630" s="52"/>
      <c r="D630" s="49"/>
    </row>
    <row r="631" customHeight="1" spans="1:4">
      <c r="A631" s="44"/>
      <c r="B631" s="51"/>
      <c r="C631" s="52"/>
      <c r="D631" s="49"/>
    </row>
    <row r="632" customHeight="1" spans="1:4">
      <c r="A632" s="44"/>
      <c r="B632" s="51"/>
      <c r="C632" s="52"/>
      <c r="D632" s="49"/>
    </row>
    <row r="633" customHeight="1" spans="1:4">
      <c r="A633" s="44"/>
      <c r="B633" s="51"/>
      <c r="C633" s="52"/>
      <c r="D633" s="49"/>
    </row>
    <row r="634" customHeight="1" spans="1:4">
      <c r="A634" s="44"/>
      <c r="B634" s="51"/>
      <c r="C634" s="52"/>
      <c r="D634" s="49"/>
    </row>
    <row r="635" customHeight="1" spans="1:4">
      <c r="A635" s="44"/>
      <c r="B635" s="51"/>
      <c r="C635" s="52"/>
      <c r="D635" s="49"/>
    </row>
    <row r="636" customHeight="1" spans="1:4">
      <c r="A636" s="44"/>
      <c r="B636" s="51"/>
      <c r="C636" s="52"/>
      <c r="D636" s="49"/>
    </row>
    <row r="637" customHeight="1" spans="1:4">
      <c r="A637" s="44"/>
      <c r="B637" s="51"/>
      <c r="C637" s="52"/>
      <c r="D637" s="49"/>
    </row>
    <row r="638" customHeight="1" spans="1:4">
      <c r="A638" s="44"/>
      <c r="B638" s="51"/>
      <c r="C638" s="52"/>
      <c r="D638" s="49"/>
    </row>
    <row r="639" customHeight="1" spans="1:4">
      <c r="A639" s="44"/>
      <c r="B639" s="51"/>
      <c r="C639" s="52"/>
      <c r="D639" s="49"/>
    </row>
    <row r="640" customHeight="1" spans="1:4">
      <c r="A640" s="44"/>
      <c r="B640" s="51"/>
      <c r="C640" s="52"/>
      <c r="D640" s="49"/>
    </row>
    <row r="641" customHeight="1" spans="1:4">
      <c r="A641" s="44"/>
      <c r="B641" s="51"/>
      <c r="C641" s="52"/>
      <c r="D641" s="49"/>
    </row>
    <row r="642" customHeight="1" spans="1:4">
      <c r="A642" s="44"/>
      <c r="B642" s="51"/>
      <c r="C642" s="52"/>
      <c r="D642" s="49"/>
    </row>
    <row r="643" customHeight="1" spans="1:4">
      <c r="A643" s="44"/>
      <c r="B643" s="51"/>
      <c r="C643" s="52"/>
      <c r="D643" s="49"/>
    </row>
    <row r="644" customHeight="1" spans="1:4">
      <c r="A644" s="44"/>
      <c r="B644" s="51"/>
      <c r="C644" s="52"/>
      <c r="D644" s="49"/>
    </row>
    <row r="645" customHeight="1" spans="1:4">
      <c r="A645" s="44"/>
      <c r="B645" s="51"/>
      <c r="C645" s="52"/>
      <c r="D645" s="49"/>
    </row>
    <row r="646" customHeight="1" spans="1:4">
      <c r="A646" s="44"/>
      <c r="B646" s="51"/>
      <c r="C646" s="52"/>
      <c r="D646" s="49"/>
    </row>
    <row r="647" customHeight="1" spans="1:4">
      <c r="A647" s="44"/>
      <c r="B647" s="51"/>
      <c r="C647" s="52"/>
      <c r="D647" s="49"/>
    </row>
    <row r="648" customHeight="1" spans="1:4">
      <c r="A648" s="44"/>
      <c r="B648" s="51"/>
      <c r="C648" s="52"/>
      <c r="D648" s="49"/>
    </row>
    <row r="649" customHeight="1" spans="1:4">
      <c r="A649" s="44"/>
      <c r="B649" s="51"/>
      <c r="C649" s="52"/>
      <c r="D649" s="49"/>
    </row>
    <row r="650" customHeight="1" spans="1:4">
      <c r="A650" s="44"/>
      <c r="B650" s="51"/>
      <c r="C650" s="52"/>
      <c r="D650" s="49"/>
    </row>
    <row r="651" customHeight="1" spans="1:4">
      <c r="A651" s="44"/>
      <c r="B651" s="51"/>
      <c r="C651" s="52"/>
      <c r="D651" s="49"/>
    </row>
    <row r="652" customHeight="1" spans="1:4">
      <c r="A652" s="44"/>
      <c r="B652" s="51"/>
      <c r="C652" s="52"/>
      <c r="D652" s="49"/>
    </row>
    <row r="653" customHeight="1" spans="1:4">
      <c r="A653" s="44"/>
      <c r="B653" s="51"/>
      <c r="C653" s="52"/>
      <c r="D653" s="49"/>
    </row>
    <row r="654" customHeight="1" spans="1:4">
      <c r="A654" s="44"/>
      <c r="B654" s="51"/>
      <c r="C654" s="52"/>
      <c r="D654" s="49"/>
    </row>
    <row r="655" customHeight="1" spans="1:4">
      <c r="A655" s="44"/>
      <c r="B655" s="51"/>
      <c r="C655" s="52"/>
      <c r="D655" s="49"/>
    </row>
    <row r="656" customHeight="1" spans="1:4">
      <c r="A656" s="44"/>
      <c r="B656" s="51"/>
      <c r="C656" s="52"/>
      <c r="D656" s="49"/>
    </row>
    <row r="657" customHeight="1" spans="1:4">
      <c r="A657" s="44"/>
      <c r="B657" s="51"/>
      <c r="C657" s="52"/>
      <c r="D657" s="49"/>
    </row>
    <row r="658" customHeight="1" spans="1:4">
      <c r="A658" s="44"/>
      <c r="B658" s="51"/>
      <c r="C658" s="52"/>
      <c r="D658" s="49"/>
    </row>
    <row r="659" customHeight="1" spans="1:4">
      <c r="A659" s="44"/>
      <c r="B659" s="51"/>
      <c r="C659" s="52"/>
      <c r="D659" s="49"/>
    </row>
    <row r="660" customHeight="1" spans="1:4">
      <c r="A660" s="44"/>
      <c r="B660" s="51"/>
      <c r="C660" s="52"/>
      <c r="D660" s="49"/>
    </row>
    <row r="661" customHeight="1" spans="1:4">
      <c r="A661" s="44"/>
      <c r="B661" s="51"/>
      <c r="C661" s="52"/>
      <c r="D661" s="49"/>
    </row>
    <row r="662" customHeight="1" spans="1:4">
      <c r="A662" s="44"/>
      <c r="B662" s="51"/>
      <c r="C662" s="52"/>
      <c r="D662" s="49"/>
    </row>
    <row r="663" customHeight="1" spans="1:4">
      <c r="A663" s="44"/>
      <c r="B663" s="51"/>
      <c r="C663" s="52"/>
      <c r="D663" s="49"/>
    </row>
    <row r="664" customHeight="1" spans="1:4">
      <c r="A664" s="44"/>
      <c r="B664" s="51"/>
      <c r="C664" s="52"/>
      <c r="D664" s="49"/>
    </row>
    <row r="665" customHeight="1" spans="1:4">
      <c r="A665" s="44"/>
      <c r="B665" s="51"/>
      <c r="C665" s="52"/>
      <c r="D665" s="49"/>
    </row>
    <row r="666" customHeight="1" spans="1:4">
      <c r="A666" s="44"/>
      <c r="B666" s="51"/>
      <c r="C666" s="52"/>
      <c r="D666" s="49"/>
    </row>
    <row r="667" customHeight="1" spans="1:4">
      <c r="A667" s="44"/>
      <c r="B667" s="51"/>
      <c r="C667" s="52"/>
      <c r="D667" s="49"/>
    </row>
    <row r="668" customHeight="1" spans="1:4">
      <c r="A668" s="44"/>
      <c r="B668" s="51"/>
      <c r="C668" s="52"/>
      <c r="D668" s="49"/>
    </row>
    <row r="669" customHeight="1" spans="1:4">
      <c r="A669" s="44"/>
      <c r="B669" s="51"/>
      <c r="C669" s="52"/>
      <c r="D669" s="49"/>
    </row>
    <row r="670" customHeight="1" spans="1:4">
      <c r="A670" s="44"/>
      <c r="B670" s="51"/>
      <c r="C670" s="52"/>
      <c r="D670" s="49"/>
    </row>
    <row r="671" customHeight="1" spans="1:4">
      <c r="A671" s="44"/>
      <c r="B671" s="51"/>
      <c r="C671" s="52"/>
      <c r="D671" s="49"/>
    </row>
    <row r="672" customHeight="1" spans="1:4">
      <c r="A672" s="44"/>
      <c r="B672" s="51"/>
      <c r="C672" s="52"/>
      <c r="D672" s="49"/>
    </row>
    <row r="673" customHeight="1" spans="1:4">
      <c r="A673" s="44"/>
      <c r="B673" s="51"/>
      <c r="C673" s="52"/>
      <c r="D673" s="49"/>
    </row>
    <row r="674" customHeight="1" spans="1:4">
      <c r="A674" s="44"/>
      <c r="B674" s="51"/>
      <c r="C674" s="52"/>
      <c r="D674" s="49"/>
    </row>
    <row r="675" customHeight="1" spans="1:4">
      <c r="A675" s="44"/>
      <c r="B675" s="51"/>
      <c r="C675" s="52"/>
      <c r="D675" s="49"/>
    </row>
    <row r="676" customHeight="1" spans="1:4">
      <c r="A676" s="44"/>
      <c r="B676" s="51"/>
      <c r="C676" s="52"/>
      <c r="D676" s="49"/>
    </row>
    <row r="677" customHeight="1" spans="1:4">
      <c r="A677" s="44"/>
      <c r="B677" s="51"/>
      <c r="C677" s="52"/>
      <c r="D677" s="49"/>
    </row>
    <row r="678" customHeight="1" spans="1:4">
      <c r="A678" s="44"/>
      <c r="B678" s="51"/>
      <c r="C678" s="52"/>
      <c r="D678" s="49"/>
    </row>
    <row r="679" customHeight="1" spans="1:4">
      <c r="A679" s="44"/>
      <c r="B679" s="51"/>
      <c r="C679" s="52"/>
      <c r="D679" s="49"/>
    </row>
    <row r="680" customHeight="1" spans="1:4">
      <c r="A680" s="44"/>
      <c r="B680" s="51"/>
      <c r="C680" s="52"/>
      <c r="D680" s="49"/>
    </row>
    <row r="681" customHeight="1" spans="1:4">
      <c r="A681" s="44"/>
      <c r="B681" s="51"/>
      <c r="C681" s="52"/>
      <c r="D681" s="49"/>
    </row>
    <row r="682" customHeight="1" spans="1:4">
      <c r="A682" s="44"/>
      <c r="B682" s="51"/>
      <c r="C682" s="52"/>
      <c r="D682" s="49"/>
    </row>
    <row r="683" customHeight="1" spans="1:4">
      <c r="A683" s="44"/>
      <c r="B683" s="51"/>
      <c r="C683" s="52"/>
      <c r="D683" s="49"/>
    </row>
    <row r="684" customHeight="1" spans="1:4">
      <c r="A684" s="44"/>
      <c r="B684" s="51"/>
      <c r="C684" s="52"/>
      <c r="D684" s="49"/>
    </row>
    <row r="685" customHeight="1" spans="1:4">
      <c r="A685" s="44"/>
      <c r="B685" s="51"/>
      <c r="C685" s="52"/>
      <c r="D685" s="49"/>
    </row>
    <row r="686" customHeight="1" spans="1:4">
      <c r="A686" s="44"/>
      <c r="B686" s="51"/>
      <c r="C686" s="52"/>
      <c r="D686" s="49"/>
    </row>
    <row r="687" customHeight="1" spans="1:4">
      <c r="A687" s="44"/>
      <c r="B687" s="51"/>
      <c r="C687" s="52"/>
      <c r="D687" s="49"/>
    </row>
    <row r="688" customHeight="1" spans="1:4">
      <c r="A688" s="44"/>
      <c r="B688" s="51"/>
      <c r="C688" s="52"/>
      <c r="D688" s="49"/>
    </row>
    <row r="689" customHeight="1" spans="1:4">
      <c r="A689" s="44"/>
      <c r="B689" s="51"/>
      <c r="C689" s="52"/>
      <c r="D689" s="49"/>
    </row>
    <row r="690" customHeight="1" spans="1:4">
      <c r="A690" s="44"/>
      <c r="B690" s="51"/>
      <c r="C690" s="52"/>
      <c r="D690" s="49"/>
    </row>
    <row r="691" customHeight="1" spans="1:4">
      <c r="A691" s="44"/>
      <c r="B691" s="51"/>
      <c r="C691" s="52"/>
      <c r="D691" s="49"/>
    </row>
    <row r="692" customHeight="1" spans="1:4">
      <c r="A692" s="44"/>
      <c r="B692" s="51"/>
      <c r="C692" s="52"/>
      <c r="D692" s="49"/>
    </row>
    <row r="693" customHeight="1" spans="1:4">
      <c r="A693" s="44"/>
      <c r="B693" s="51"/>
      <c r="C693" s="52"/>
      <c r="D693" s="49"/>
    </row>
    <row r="694" customHeight="1" spans="1:4">
      <c r="A694" s="44"/>
      <c r="B694" s="51"/>
      <c r="C694" s="52"/>
      <c r="D694" s="49"/>
    </row>
    <row r="695" customHeight="1" spans="1:4">
      <c r="A695" s="44"/>
      <c r="B695" s="51"/>
      <c r="C695" s="52"/>
      <c r="D695" s="49"/>
    </row>
    <row r="696" customHeight="1" spans="1:4">
      <c r="A696" s="44"/>
      <c r="B696" s="51"/>
      <c r="C696" s="52"/>
      <c r="D696" s="49"/>
    </row>
    <row r="697" customHeight="1" spans="1:4">
      <c r="A697" s="44"/>
      <c r="B697" s="51"/>
      <c r="C697" s="52"/>
      <c r="D697" s="49"/>
    </row>
    <row r="698" customHeight="1" spans="1:4">
      <c r="A698" s="44"/>
      <c r="B698" s="51"/>
      <c r="C698" s="52"/>
      <c r="D698" s="49"/>
    </row>
    <row r="699" customHeight="1" spans="1:4">
      <c r="A699" s="44"/>
      <c r="B699" s="51"/>
      <c r="C699" s="52"/>
      <c r="D699" s="49"/>
    </row>
    <row r="700" customHeight="1" spans="1:4">
      <c r="A700" s="44"/>
      <c r="B700" s="51"/>
      <c r="C700" s="52"/>
      <c r="D700" s="49"/>
    </row>
    <row r="701" customHeight="1" spans="1:4">
      <c r="A701" s="44"/>
      <c r="B701" s="51"/>
      <c r="C701" s="52"/>
      <c r="D701" s="49"/>
    </row>
    <row r="702" customHeight="1" spans="1:4">
      <c r="A702" s="44"/>
      <c r="B702" s="51"/>
      <c r="C702" s="52"/>
      <c r="D702" s="49"/>
    </row>
    <row r="703" customHeight="1" spans="1:4">
      <c r="A703" s="44"/>
      <c r="B703" s="51"/>
      <c r="C703" s="52"/>
      <c r="D703" s="49"/>
    </row>
    <row r="704" customHeight="1" spans="1:4">
      <c r="A704" s="44"/>
      <c r="B704" s="51"/>
      <c r="C704" s="52"/>
      <c r="D704" s="49"/>
    </row>
    <row r="705" customHeight="1" spans="1:4">
      <c r="A705" s="44"/>
      <c r="B705" s="51"/>
      <c r="C705" s="52"/>
      <c r="D705" s="49"/>
    </row>
    <row r="706" customHeight="1" spans="1:4">
      <c r="A706" s="44"/>
      <c r="B706" s="51"/>
      <c r="C706" s="52"/>
      <c r="D706" s="49"/>
    </row>
    <row r="707" customHeight="1" spans="1:4">
      <c r="A707" s="44"/>
      <c r="B707" s="51"/>
      <c r="C707" s="52"/>
      <c r="D707" s="49"/>
    </row>
    <row r="708" customHeight="1" spans="1:4">
      <c r="A708" s="44"/>
      <c r="B708" s="51"/>
      <c r="C708" s="52"/>
      <c r="D708" s="49"/>
    </row>
    <row r="709" customHeight="1" spans="1:4">
      <c r="A709" s="44"/>
      <c r="B709" s="51"/>
      <c r="C709" s="52"/>
      <c r="D709" s="49"/>
    </row>
    <row r="710" customHeight="1" spans="1:4">
      <c r="A710" s="44"/>
      <c r="B710" s="51"/>
      <c r="C710" s="52"/>
      <c r="D710" s="49"/>
    </row>
    <row r="711" customHeight="1" spans="1:4">
      <c r="A711" s="44"/>
      <c r="B711" s="51"/>
      <c r="C711" s="52"/>
      <c r="D711" s="49"/>
    </row>
    <row r="712" customHeight="1" spans="1:4">
      <c r="A712" s="44"/>
      <c r="B712" s="51"/>
      <c r="C712" s="52"/>
      <c r="D712" s="49"/>
    </row>
    <row r="713" customHeight="1" spans="1:4">
      <c r="A713" s="44"/>
      <c r="B713" s="51"/>
      <c r="C713" s="52"/>
      <c r="D713" s="49"/>
    </row>
    <row r="714" customHeight="1" spans="1:4">
      <c r="A714" s="44"/>
      <c r="B714" s="51"/>
      <c r="C714" s="52"/>
      <c r="D714" s="49"/>
    </row>
    <row r="715" customHeight="1" spans="1:4">
      <c r="A715" s="44"/>
      <c r="B715" s="51"/>
      <c r="C715" s="52"/>
      <c r="D715" s="49"/>
    </row>
    <row r="716" customHeight="1" spans="1:4">
      <c r="A716" s="44"/>
      <c r="B716" s="51"/>
      <c r="C716" s="52"/>
      <c r="D716" s="49"/>
    </row>
    <row r="717" customHeight="1" spans="1:4">
      <c r="A717" s="44"/>
      <c r="B717" s="51"/>
      <c r="C717" s="52"/>
      <c r="D717" s="49"/>
    </row>
    <row r="718" customHeight="1" spans="1:4">
      <c r="A718" s="44"/>
      <c r="B718" s="51"/>
      <c r="C718" s="52"/>
      <c r="D718" s="49"/>
    </row>
    <row r="719" customHeight="1" spans="1:4">
      <c r="A719" s="44"/>
      <c r="B719" s="51"/>
      <c r="C719" s="52"/>
      <c r="D719" s="49"/>
    </row>
    <row r="720" customHeight="1" spans="1:4">
      <c r="A720" s="44"/>
      <c r="B720" s="51"/>
      <c r="C720" s="52"/>
      <c r="D720" s="49"/>
    </row>
    <row r="721" customHeight="1" spans="1:4">
      <c r="A721" s="44"/>
      <c r="B721" s="51"/>
      <c r="C721" s="52"/>
      <c r="D721" s="49"/>
    </row>
    <row r="722" customHeight="1" spans="1:4">
      <c r="A722" s="44"/>
      <c r="B722" s="51"/>
      <c r="C722" s="52"/>
      <c r="D722" s="49"/>
    </row>
    <row r="723" customHeight="1" spans="1:4">
      <c r="A723" s="44"/>
      <c r="B723" s="51"/>
      <c r="C723" s="52"/>
      <c r="D723" s="49"/>
    </row>
    <row r="724" customHeight="1" spans="1:4">
      <c r="A724" s="44"/>
      <c r="B724" s="51"/>
      <c r="C724" s="52"/>
      <c r="D724" s="49"/>
    </row>
    <row r="725" customHeight="1" spans="1:4">
      <c r="A725" s="44"/>
      <c r="B725" s="51"/>
      <c r="C725" s="52"/>
      <c r="D725" s="49"/>
    </row>
    <row r="726" customHeight="1" spans="1:4">
      <c r="A726" s="44"/>
      <c r="B726" s="51"/>
      <c r="C726" s="52"/>
      <c r="D726" s="49"/>
    </row>
    <row r="727" customHeight="1" spans="1:4">
      <c r="A727" s="44"/>
      <c r="B727" s="51"/>
      <c r="C727" s="52"/>
      <c r="D727" s="49"/>
    </row>
    <row r="728" customHeight="1" spans="1:4">
      <c r="A728" s="44"/>
      <c r="B728" s="51"/>
      <c r="C728" s="52"/>
      <c r="D728" s="49"/>
    </row>
    <row r="729" customHeight="1" spans="1:4">
      <c r="A729" s="44"/>
      <c r="B729" s="51"/>
      <c r="C729" s="52"/>
      <c r="D729" s="49"/>
    </row>
    <row r="730" customHeight="1" spans="1:4">
      <c r="A730" s="44"/>
      <c r="B730" s="51"/>
      <c r="C730" s="52"/>
      <c r="D730" s="49"/>
    </row>
    <row r="731" customHeight="1" spans="1:4">
      <c r="A731" s="44"/>
      <c r="B731" s="51"/>
      <c r="C731" s="52"/>
      <c r="D731" s="49"/>
    </row>
    <row r="732" customHeight="1" spans="1:4">
      <c r="A732" s="44"/>
      <c r="B732" s="51"/>
      <c r="C732" s="52"/>
      <c r="D732" s="49"/>
    </row>
    <row r="733" customHeight="1" spans="1:4">
      <c r="A733" s="44"/>
      <c r="B733" s="51"/>
      <c r="C733" s="52"/>
      <c r="D733" s="49"/>
    </row>
    <row r="734" customHeight="1" spans="1:4">
      <c r="A734" s="44"/>
      <c r="B734" s="51"/>
      <c r="C734" s="52"/>
      <c r="D734" s="49"/>
    </row>
    <row r="735" customHeight="1" spans="1:4">
      <c r="A735" s="44"/>
      <c r="B735" s="51"/>
      <c r="C735" s="52"/>
      <c r="D735" s="49"/>
    </row>
    <row r="736" customHeight="1" spans="1:4">
      <c r="A736" s="44"/>
      <c r="B736" s="51"/>
      <c r="C736" s="52"/>
      <c r="D736" s="49"/>
    </row>
    <row r="737" customHeight="1" spans="1:4">
      <c r="A737" s="44"/>
      <c r="B737" s="51"/>
      <c r="C737" s="52"/>
      <c r="D737" s="49"/>
    </row>
    <row r="738" customHeight="1" spans="1:4">
      <c r="A738" s="44"/>
      <c r="B738" s="51"/>
      <c r="C738" s="52"/>
      <c r="D738" s="49"/>
    </row>
    <row r="739" customHeight="1" spans="1:4">
      <c r="A739" s="44"/>
      <c r="B739" s="51"/>
      <c r="C739" s="52"/>
      <c r="D739" s="49"/>
    </row>
    <row r="740" customHeight="1" spans="1:4">
      <c r="A740" s="44"/>
      <c r="B740" s="51"/>
      <c r="C740" s="52"/>
      <c r="D740" s="49"/>
    </row>
    <row r="741" customHeight="1" spans="1:4">
      <c r="A741" s="44"/>
      <c r="B741" s="51"/>
      <c r="C741" s="52"/>
      <c r="D741" s="49"/>
    </row>
    <row r="742" customHeight="1" spans="1:4">
      <c r="A742" s="44"/>
      <c r="B742" s="51"/>
      <c r="C742" s="52"/>
      <c r="D742" s="49"/>
    </row>
    <row r="743" customHeight="1" spans="1:4">
      <c r="A743" s="44"/>
      <c r="B743" s="51"/>
      <c r="C743" s="52"/>
      <c r="D743" s="49"/>
    </row>
    <row r="744" customHeight="1" spans="1:4">
      <c r="A744" s="44"/>
      <c r="B744" s="51"/>
      <c r="C744" s="52"/>
      <c r="D744" s="49"/>
    </row>
    <row r="745" customHeight="1" spans="1:4">
      <c r="A745" s="44"/>
      <c r="B745" s="51"/>
      <c r="C745" s="52"/>
      <c r="D745" s="49"/>
    </row>
    <row r="746" customHeight="1" spans="1:4">
      <c r="A746" s="44"/>
      <c r="B746" s="51"/>
      <c r="C746" s="52"/>
      <c r="D746" s="49"/>
    </row>
    <row r="747" customHeight="1" spans="1:4">
      <c r="A747" s="44"/>
      <c r="B747" s="51"/>
      <c r="C747" s="52"/>
      <c r="D747" s="49"/>
    </row>
    <row r="748" customHeight="1" spans="1:4">
      <c r="A748" s="44"/>
      <c r="B748" s="51"/>
      <c r="C748" s="52"/>
      <c r="D748" s="49"/>
    </row>
    <row r="749" customHeight="1" spans="1:4">
      <c r="A749" s="44"/>
      <c r="B749" s="51"/>
      <c r="C749" s="52"/>
      <c r="D749" s="49"/>
    </row>
    <row r="750" customHeight="1" spans="1:4">
      <c r="A750" s="44"/>
      <c r="B750" s="51"/>
      <c r="C750" s="52"/>
      <c r="D750" s="49"/>
    </row>
    <row r="751" customHeight="1" spans="1:4">
      <c r="A751" s="44"/>
      <c r="B751" s="51"/>
      <c r="C751" s="52"/>
      <c r="D751" s="49"/>
    </row>
    <row r="752" customHeight="1" spans="1:4">
      <c r="A752" s="44"/>
      <c r="B752" s="51"/>
      <c r="C752" s="52"/>
      <c r="D752" s="49"/>
    </row>
    <row r="753" customHeight="1" spans="1:4">
      <c r="A753" s="44"/>
      <c r="B753" s="51"/>
      <c r="C753" s="52"/>
      <c r="D753" s="49"/>
    </row>
    <row r="754" customHeight="1" spans="1:4">
      <c r="A754" s="44"/>
      <c r="B754" s="51"/>
      <c r="C754" s="52"/>
      <c r="D754" s="49"/>
    </row>
    <row r="755" customHeight="1" spans="1:4">
      <c r="A755" s="44"/>
      <c r="B755" s="51"/>
      <c r="C755" s="52"/>
      <c r="D755" s="49"/>
    </row>
    <row r="756" customHeight="1" spans="1:4">
      <c r="A756" s="44"/>
      <c r="B756" s="51"/>
      <c r="C756" s="52"/>
      <c r="D756" s="49"/>
    </row>
    <row r="757" customHeight="1" spans="1:4">
      <c r="A757" s="44"/>
      <c r="B757" s="51"/>
      <c r="C757" s="52"/>
      <c r="D757" s="49"/>
    </row>
    <row r="758" customHeight="1" spans="1:4">
      <c r="A758" s="44"/>
      <c r="B758" s="51"/>
      <c r="C758" s="52"/>
      <c r="D758" s="49"/>
    </row>
    <row r="759" customHeight="1" spans="1:4">
      <c r="A759" s="44"/>
      <c r="B759" s="51"/>
      <c r="C759" s="52"/>
      <c r="D759" s="49"/>
    </row>
    <row r="760" customHeight="1" spans="1:4">
      <c r="A760" s="44"/>
      <c r="B760" s="51"/>
      <c r="C760" s="52"/>
      <c r="D760" s="49"/>
    </row>
    <row r="761" customHeight="1" spans="1:4">
      <c r="A761" s="44"/>
      <c r="B761" s="51"/>
      <c r="C761" s="52"/>
      <c r="D761" s="49"/>
    </row>
    <row r="762" customHeight="1" spans="1:4">
      <c r="A762" s="44"/>
      <c r="B762" s="51"/>
      <c r="C762" s="52"/>
      <c r="D762" s="49"/>
    </row>
    <row r="763" customHeight="1" spans="1:4">
      <c r="A763" s="44"/>
      <c r="B763" s="51"/>
      <c r="C763" s="52"/>
      <c r="D763" s="49"/>
    </row>
    <row r="764" customHeight="1" spans="1:4">
      <c r="A764" s="44"/>
      <c r="B764" s="51"/>
      <c r="C764" s="52"/>
      <c r="D764" s="49"/>
    </row>
    <row r="765" customHeight="1" spans="1:4">
      <c r="A765" s="44"/>
      <c r="B765" s="51"/>
      <c r="C765" s="52"/>
      <c r="D765" s="49"/>
    </row>
    <row r="766" customHeight="1" spans="1:4">
      <c r="A766" s="44"/>
      <c r="B766" s="51"/>
      <c r="C766" s="52"/>
      <c r="D766" s="49"/>
    </row>
    <row r="767" customHeight="1" spans="1:4">
      <c r="A767" s="44"/>
      <c r="B767" s="51"/>
      <c r="C767" s="52"/>
      <c r="D767" s="49"/>
    </row>
    <row r="768" customHeight="1" spans="1:4">
      <c r="A768" s="44"/>
      <c r="B768" s="51"/>
      <c r="C768" s="52"/>
      <c r="D768" s="49"/>
    </row>
    <row r="769" customHeight="1" spans="1:4">
      <c r="A769" s="44"/>
      <c r="B769" s="51"/>
      <c r="C769" s="52"/>
      <c r="D769" s="49"/>
    </row>
    <row r="770" customHeight="1" spans="1:4">
      <c r="A770" s="44"/>
      <c r="B770" s="51"/>
      <c r="C770" s="52"/>
      <c r="D770" s="49"/>
    </row>
    <row r="771" customHeight="1" spans="1:4">
      <c r="A771" s="44"/>
      <c r="B771" s="51"/>
      <c r="C771" s="52"/>
      <c r="D771" s="49"/>
    </row>
    <row r="772" customHeight="1" spans="1:4">
      <c r="A772" s="44"/>
      <c r="B772" s="51"/>
      <c r="C772" s="52"/>
      <c r="D772" s="49"/>
    </row>
    <row r="773" customHeight="1" spans="1:4">
      <c r="A773" s="44"/>
      <c r="B773" s="51"/>
      <c r="C773" s="52"/>
      <c r="D773" s="49"/>
    </row>
    <row r="774" customHeight="1" spans="1:4">
      <c r="A774" s="44"/>
      <c r="B774" s="51"/>
      <c r="C774" s="52"/>
      <c r="D774" s="49"/>
    </row>
    <row r="775" customHeight="1" spans="1:4">
      <c r="A775" s="44"/>
      <c r="B775" s="51"/>
      <c r="C775" s="52"/>
      <c r="D775" s="49"/>
    </row>
    <row r="776" customHeight="1" spans="1:4">
      <c r="A776" s="44"/>
      <c r="B776" s="51"/>
      <c r="C776" s="52"/>
      <c r="D776" s="49"/>
    </row>
    <row r="777" customHeight="1" spans="1:4">
      <c r="A777" s="44"/>
      <c r="B777" s="51"/>
      <c r="C777" s="52"/>
      <c r="D777" s="49"/>
    </row>
    <row r="778" customHeight="1" spans="1:4">
      <c r="A778" s="44"/>
      <c r="B778" s="51"/>
      <c r="C778" s="52"/>
      <c r="D778" s="49"/>
    </row>
    <row r="779" customHeight="1" spans="1:4">
      <c r="A779" s="44"/>
      <c r="B779" s="51"/>
      <c r="C779" s="52"/>
      <c r="D779" s="49"/>
    </row>
    <row r="780" customHeight="1" spans="1:4">
      <c r="A780" s="44"/>
      <c r="B780" s="51"/>
      <c r="C780" s="52"/>
      <c r="D780" s="49"/>
    </row>
    <row r="781" customHeight="1" spans="1:4">
      <c r="A781" s="44"/>
      <c r="B781" s="51"/>
      <c r="C781" s="52"/>
      <c r="D781" s="49"/>
    </row>
    <row r="782" customHeight="1" spans="1:4">
      <c r="A782" s="44"/>
      <c r="B782" s="51"/>
      <c r="C782" s="52"/>
      <c r="D782" s="49"/>
    </row>
    <row r="783" customHeight="1" spans="1:4">
      <c r="A783" s="44"/>
      <c r="B783" s="51"/>
      <c r="C783" s="52"/>
      <c r="D783" s="49"/>
    </row>
    <row r="784" customHeight="1" spans="1:4">
      <c r="A784" s="44"/>
      <c r="B784" s="51"/>
      <c r="C784" s="52"/>
      <c r="D784" s="49"/>
    </row>
    <row r="785" customHeight="1" spans="1:4">
      <c r="A785" s="44"/>
      <c r="B785" s="51"/>
      <c r="C785" s="52"/>
      <c r="D785" s="49"/>
    </row>
    <row r="786" customHeight="1" spans="1:4">
      <c r="A786" s="44"/>
      <c r="B786" s="51"/>
      <c r="C786" s="52"/>
      <c r="D786" s="49"/>
    </row>
    <row r="787" customHeight="1" spans="1:4">
      <c r="A787" s="44"/>
      <c r="B787" s="51"/>
      <c r="C787" s="52"/>
      <c r="D787" s="49"/>
    </row>
    <row r="788" customHeight="1" spans="1:4">
      <c r="A788" s="44"/>
      <c r="B788" s="51"/>
      <c r="C788" s="52"/>
      <c r="D788" s="49"/>
    </row>
    <row r="789" customHeight="1" spans="1:4">
      <c r="A789" s="44"/>
      <c r="B789" s="51"/>
      <c r="C789" s="52"/>
      <c r="D789" s="49"/>
    </row>
    <row r="790" customHeight="1" spans="1:4">
      <c r="A790" s="44"/>
      <c r="B790" s="51"/>
      <c r="C790" s="52"/>
      <c r="D790" s="49"/>
    </row>
    <row r="791" customHeight="1" spans="1:4">
      <c r="A791" s="44"/>
      <c r="B791" s="51"/>
      <c r="C791" s="52"/>
      <c r="D791" s="49"/>
    </row>
    <row r="792" customHeight="1" spans="1:4">
      <c r="A792" s="44"/>
      <c r="B792" s="51"/>
      <c r="C792" s="52"/>
      <c r="D792" s="49"/>
    </row>
    <row r="793" customHeight="1" spans="1:4">
      <c r="A793" s="44"/>
      <c r="B793" s="51"/>
      <c r="C793" s="52"/>
      <c r="D793" s="49"/>
    </row>
    <row r="794" customHeight="1" spans="1:4">
      <c r="A794" s="44"/>
      <c r="B794" s="51"/>
      <c r="C794" s="52"/>
      <c r="D794" s="49"/>
    </row>
    <row r="795" customHeight="1" spans="1:4">
      <c r="A795" s="44"/>
      <c r="B795" s="51"/>
      <c r="C795" s="52"/>
      <c r="D795" s="49"/>
    </row>
    <row r="796" customHeight="1" spans="1:4">
      <c r="A796" s="44"/>
      <c r="B796" s="51"/>
      <c r="C796" s="52"/>
      <c r="D796" s="49"/>
    </row>
    <row r="797" customHeight="1" spans="1:4">
      <c r="A797" s="44"/>
      <c r="B797" s="51"/>
      <c r="C797" s="52"/>
      <c r="D797" s="49"/>
    </row>
    <row r="798" customHeight="1" spans="1:4">
      <c r="A798" s="44"/>
      <c r="B798" s="51"/>
      <c r="C798" s="52"/>
      <c r="D798" s="49"/>
    </row>
    <row r="799" customHeight="1" spans="1:4">
      <c r="A799" s="44"/>
      <c r="B799" s="51"/>
      <c r="C799" s="52"/>
      <c r="D799" s="49"/>
    </row>
    <row r="800" customHeight="1" spans="1:4">
      <c r="A800" s="44"/>
      <c r="B800" s="51"/>
      <c r="C800" s="52"/>
      <c r="D800" s="49"/>
    </row>
    <row r="801" customHeight="1" spans="1:4">
      <c r="A801" s="44"/>
      <c r="B801" s="51"/>
      <c r="C801" s="52"/>
      <c r="D801" s="49"/>
    </row>
    <row r="802" customHeight="1" spans="1:4">
      <c r="A802" s="44"/>
      <c r="B802" s="51"/>
      <c r="C802" s="52"/>
      <c r="D802" s="49"/>
    </row>
    <row r="803" customHeight="1" spans="1:4">
      <c r="A803" s="44"/>
      <c r="B803" s="51"/>
      <c r="C803" s="52"/>
      <c r="D803" s="49"/>
    </row>
    <row r="804" customHeight="1" spans="1:4">
      <c r="A804" s="44"/>
      <c r="B804" s="51"/>
      <c r="C804" s="52"/>
      <c r="D804" s="49"/>
    </row>
    <row r="805" customHeight="1" spans="1:4">
      <c r="A805" s="44"/>
      <c r="B805" s="51"/>
      <c r="C805" s="52"/>
      <c r="D805" s="49"/>
    </row>
    <row r="806" customHeight="1" spans="1:4">
      <c r="A806" s="44"/>
      <c r="B806" s="51"/>
      <c r="C806" s="52"/>
      <c r="D806" s="49"/>
    </row>
    <row r="807" customHeight="1" spans="1:4">
      <c r="A807" s="44"/>
      <c r="B807" s="51"/>
      <c r="C807" s="52"/>
      <c r="D807" s="49"/>
    </row>
    <row r="808" customHeight="1" spans="1:4">
      <c r="A808" s="44"/>
      <c r="B808" s="51"/>
      <c r="C808" s="52"/>
      <c r="D808" s="49"/>
    </row>
    <row r="809" customHeight="1" spans="1:4">
      <c r="A809" s="44"/>
      <c r="B809" s="51"/>
      <c r="C809" s="52"/>
      <c r="D809" s="49"/>
    </row>
    <row r="810" customHeight="1" spans="1:4">
      <c r="A810" s="44"/>
      <c r="B810" s="51"/>
      <c r="C810" s="52"/>
      <c r="D810" s="49"/>
    </row>
    <row r="811" customHeight="1" spans="1:4">
      <c r="A811" s="44"/>
      <c r="B811" s="51"/>
      <c r="C811" s="52"/>
      <c r="D811" s="49"/>
    </row>
    <row r="812" customHeight="1" spans="1:4">
      <c r="A812" s="44"/>
      <c r="B812" s="51"/>
      <c r="C812" s="52"/>
      <c r="D812" s="49"/>
    </row>
    <row r="813" customHeight="1" spans="1:4">
      <c r="A813" s="44"/>
      <c r="B813" s="51"/>
      <c r="C813" s="52"/>
      <c r="D813" s="49"/>
    </row>
    <row r="814" customHeight="1" spans="1:4">
      <c r="A814" s="44"/>
      <c r="B814" s="51"/>
      <c r="C814" s="52"/>
      <c r="D814" s="49"/>
    </row>
    <row r="815" customHeight="1" spans="1:4">
      <c r="A815" s="44"/>
      <c r="B815" s="51"/>
      <c r="C815" s="52"/>
      <c r="D815" s="49"/>
    </row>
    <row r="816" customHeight="1" spans="1:4">
      <c r="A816" s="44"/>
      <c r="B816" s="51"/>
      <c r="C816" s="52"/>
      <c r="D816" s="49"/>
    </row>
    <row r="817" customHeight="1" spans="1:4">
      <c r="A817" s="44"/>
      <c r="B817" s="51"/>
      <c r="C817" s="52"/>
      <c r="D817" s="49"/>
    </row>
    <row r="818" customHeight="1" spans="1:4">
      <c r="A818" s="44"/>
      <c r="B818" s="51"/>
      <c r="C818" s="52"/>
      <c r="D818" s="49"/>
    </row>
    <row r="819" customHeight="1" spans="1:4">
      <c r="A819" s="44"/>
      <c r="B819" s="51"/>
      <c r="C819" s="52"/>
      <c r="D819" s="49"/>
    </row>
    <row r="820" customHeight="1" spans="1:4">
      <c r="A820" s="44"/>
      <c r="B820" s="51"/>
      <c r="C820" s="52"/>
      <c r="D820" s="49"/>
    </row>
    <row r="821" customHeight="1" spans="1:4">
      <c r="A821" s="44"/>
      <c r="B821" s="51"/>
      <c r="C821" s="52"/>
      <c r="D821" s="49"/>
    </row>
    <row r="822" customHeight="1" spans="1:4">
      <c r="A822" s="44"/>
      <c r="B822" s="51"/>
      <c r="C822" s="52"/>
      <c r="D822" s="49"/>
    </row>
    <row r="823" customHeight="1" spans="1:4">
      <c r="A823" s="44"/>
      <c r="B823" s="51"/>
      <c r="C823" s="52"/>
      <c r="D823" s="49"/>
    </row>
    <row r="824" customHeight="1" spans="1:4">
      <c r="A824" s="44"/>
      <c r="B824" s="51"/>
      <c r="C824" s="52"/>
      <c r="D824" s="49"/>
    </row>
    <row r="825" customHeight="1" spans="1:4">
      <c r="A825" s="44"/>
      <c r="B825" s="51"/>
      <c r="C825" s="52"/>
      <c r="D825" s="49"/>
    </row>
    <row r="826" customHeight="1" spans="1:4">
      <c r="A826" s="44"/>
      <c r="B826" s="51"/>
      <c r="C826" s="52"/>
      <c r="D826" s="49"/>
    </row>
    <row r="827" customHeight="1" spans="1:4">
      <c r="A827" s="44"/>
      <c r="B827" s="51"/>
      <c r="C827" s="52"/>
      <c r="D827" s="49"/>
    </row>
    <row r="828" customHeight="1" spans="1:4">
      <c r="A828" s="44"/>
      <c r="B828" s="51"/>
      <c r="C828" s="52"/>
      <c r="D828" s="49"/>
    </row>
    <row r="829" customHeight="1" spans="1:4">
      <c r="A829" s="44"/>
      <c r="B829" s="51"/>
      <c r="C829" s="52"/>
      <c r="D829" s="49"/>
    </row>
    <row r="830" customHeight="1" spans="1:4">
      <c r="A830" s="44"/>
      <c r="B830" s="51"/>
      <c r="C830" s="52"/>
      <c r="D830" s="49"/>
    </row>
    <row r="831" customHeight="1" spans="1:4">
      <c r="A831" s="44"/>
      <c r="B831" s="51"/>
      <c r="C831" s="52"/>
      <c r="D831" s="49"/>
    </row>
    <row r="832" customHeight="1" spans="1:4">
      <c r="A832" s="44"/>
      <c r="B832" s="51"/>
      <c r="C832" s="52"/>
      <c r="D832" s="49"/>
    </row>
    <row r="833" customHeight="1" spans="1:4">
      <c r="A833" s="44"/>
      <c r="B833" s="51"/>
      <c r="C833" s="52"/>
      <c r="D833" s="49"/>
    </row>
    <row r="834" customHeight="1" spans="1:4">
      <c r="A834" s="44"/>
      <c r="B834" s="51"/>
      <c r="C834" s="52"/>
      <c r="D834" s="49"/>
    </row>
    <row r="835" customHeight="1" spans="1:4">
      <c r="A835" s="44"/>
      <c r="B835" s="51"/>
      <c r="C835" s="52"/>
      <c r="D835" s="49"/>
    </row>
    <row r="836" customHeight="1" spans="1:4">
      <c r="A836" s="44"/>
      <c r="B836" s="51"/>
      <c r="C836" s="52"/>
      <c r="D836" s="49"/>
    </row>
    <row r="837" customHeight="1" spans="1:4">
      <c r="A837" s="44"/>
      <c r="B837" s="51"/>
      <c r="C837" s="52"/>
      <c r="D837" s="49"/>
    </row>
    <row r="838" customHeight="1" spans="1:4">
      <c r="A838" s="44"/>
      <c r="B838" s="51"/>
      <c r="C838" s="52"/>
      <c r="D838" s="49"/>
    </row>
    <row r="839" customHeight="1" spans="1:4">
      <c r="A839" s="44"/>
      <c r="B839" s="51"/>
      <c r="C839" s="52"/>
      <c r="D839" s="49"/>
    </row>
    <row r="840" customHeight="1" spans="1:4">
      <c r="A840" s="44"/>
      <c r="B840" s="51"/>
      <c r="C840" s="52"/>
      <c r="D840" s="49"/>
    </row>
    <row r="841" customHeight="1" spans="1:4">
      <c r="A841" s="44"/>
      <c r="B841" s="51"/>
      <c r="C841" s="52"/>
      <c r="D841" s="49"/>
    </row>
    <row r="842" customHeight="1" spans="1:4">
      <c r="A842" s="44"/>
      <c r="B842" s="51"/>
      <c r="C842" s="52"/>
      <c r="D842" s="49"/>
    </row>
    <row r="843" customHeight="1" spans="1:4">
      <c r="A843" s="44"/>
      <c r="B843" s="51"/>
      <c r="C843" s="52"/>
      <c r="D843" s="49"/>
    </row>
    <row r="844" customHeight="1" spans="1:4">
      <c r="A844" s="44"/>
      <c r="B844" s="51"/>
      <c r="C844" s="52"/>
      <c r="D844" s="49"/>
    </row>
    <row r="845" customHeight="1" spans="1:4">
      <c r="A845" s="44"/>
      <c r="B845" s="51"/>
      <c r="C845" s="52"/>
      <c r="D845" s="49"/>
    </row>
    <row r="846" customHeight="1" spans="1:4">
      <c r="A846" s="44"/>
      <c r="B846" s="51"/>
      <c r="C846" s="52"/>
      <c r="D846" s="49"/>
    </row>
    <row r="847" customHeight="1" spans="1:4">
      <c r="A847" s="44"/>
      <c r="B847" s="51"/>
      <c r="C847" s="52"/>
      <c r="D847" s="49"/>
    </row>
    <row r="848" customHeight="1" spans="1:4">
      <c r="A848" s="44"/>
      <c r="B848" s="51"/>
      <c r="C848" s="52"/>
      <c r="D848" s="49"/>
    </row>
    <row r="849" customHeight="1" spans="1:4">
      <c r="A849" s="44"/>
      <c r="B849" s="51"/>
      <c r="C849" s="52"/>
      <c r="D849" s="49"/>
    </row>
    <row r="850" customHeight="1" spans="1:4">
      <c r="A850" s="44"/>
      <c r="B850" s="51"/>
      <c r="C850" s="52"/>
      <c r="D850" s="49"/>
    </row>
    <row r="851" customHeight="1" spans="1:4">
      <c r="A851" s="44"/>
      <c r="B851" s="51"/>
      <c r="C851" s="52"/>
      <c r="D851" s="49"/>
    </row>
    <row r="852" customHeight="1" spans="1:4">
      <c r="A852" s="44"/>
      <c r="B852" s="51"/>
      <c r="C852" s="52"/>
      <c r="D852" s="49"/>
    </row>
    <row r="853" customHeight="1" spans="1:4">
      <c r="A853" s="44"/>
      <c r="B853" s="51"/>
      <c r="C853" s="52"/>
      <c r="D853" s="49"/>
    </row>
    <row r="854" customHeight="1" spans="1:4">
      <c r="A854" s="44"/>
      <c r="B854" s="51"/>
      <c r="C854" s="52"/>
      <c r="D854" s="49"/>
    </row>
    <row r="855" customHeight="1" spans="1:4">
      <c r="A855" s="44"/>
      <c r="B855" s="51"/>
      <c r="C855" s="52"/>
      <c r="D855" s="49"/>
    </row>
    <row r="856" customHeight="1" spans="1:4">
      <c r="A856" s="44"/>
      <c r="B856" s="51"/>
      <c r="C856" s="52"/>
      <c r="D856" s="49"/>
    </row>
    <row r="857" customHeight="1" spans="1:4">
      <c r="A857" s="44"/>
      <c r="B857" s="51"/>
      <c r="C857" s="52"/>
      <c r="D857" s="49"/>
    </row>
    <row r="858" customHeight="1" spans="1:4">
      <c r="A858" s="44"/>
      <c r="B858" s="51"/>
      <c r="C858" s="52"/>
      <c r="D858" s="49"/>
    </row>
    <row r="859" customHeight="1" spans="1:4">
      <c r="A859" s="44"/>
      <c r="B859" s="51"/>
      <c r="C859" s="52"/>
      <c r="D859" s="49"/>
    </row>
    <row r="860" customHeight="1" spans="1:4">
      <c r="A860" s="44"/>
      <c r="B860" s="51"/>
      <c r="C860" s="52"/>
      <c r="D860" s="49"/>
    </row>
    <row r="861" customHeight="1" spans="1:4">
      <c r="A861" s="44"/>
      <c r="B861" s="51"/>
      <c r="C861" s="52"/>
      <c r="D861" s="49"/>
    </row>
    <row r="862" customHeight="1" spans="1:4">
      <c r="A862" s="44"/>
      <c r="B862" s="51"/>
      <c r="C862" s="52"/>
      <c r="D862" s="49"/>
    </row>
    <row r="863" customHeight="1" spans="1:4">
      <c r="A863" s="44"/>
      <c r="B863" s="51"/>
      <c r="C863" s="52"/>
      <c r="D863" s="49"/>
    </row>
    <row r="864" customHeight="1" spans="1:4">
      <c r="A864" s="44"/>
      <c r="B864" s="51"/>
      <c r="C864" s="52"/>
      <c r="D864" s="49"/>
    </row>
    <row r="865" customHeight="1" spans="1:4">
      <c r="A865" s="44"/>
      <c r="B865" s="51"/>
      <c r="C865" s="52"/>
      <c r="D865" s="49"/>
    </row>
    <row r="866" customHeight="1" spans="1:4">
      <c r="A866" s="44"/>
      <c r="B866" s="51"/>
      <c r="C866" s="52"/>
      <c r="D866" s="49"/>
    </row>
    <row r="867" customHeight="1" spans="1:4">
      <c r="A867" s="44"/>
      <c r="B867" s="51"/>
      <c r="C867" s="52"/>
      <c r="D867" s="49"/>
    </row>
    <row r="868" customHeight="1" spans="1:4">
      <c r="A868" s="44"/>
      <c r="B868" s="51"/>
      <c r="C868" s="52"/>
      <c r="D868" s="49"/>
    </row>
    <row r="869" customHeight="1" spans="1:4">
      <c r="A869" s="44"/>
      <c r="B869" s="51"/>
      <c r="C869" s="52"/>
      <c r="D869" s="49"/>
    </row>
    <row r="870" customHeight="1" spans="1:4">
      <c r="A870" s="44"/>
      <c r="B870" s="51"/>
      <c r="C870" s="52"/>
      <c r="D870" s="49"/>
    </row>
    <row r="871" customHeight="1" spans="1:4">
      <c r="A871" s="44"/>
      <c r="B871" s="51"/>
      <c r="C871" s="52"/>
      <c r="D871" s="49"/>
    </row>
    <row r="872" customHeight="1" spans="1:4">
      <c r="A872" s="44"/>
      <c r="B872" s="51"/>
      <c r="C872" s="52"/>
      <c r="D872" s="49"/>
    </row>
    <row r="873" customHeight="1" spans="1:4">
      <c r="A873" s="44"/>
      <c r="B873" s="51"/>
      <c r="C873" s="52"/>
      <c r="D873" s="49"/>
    </row>
    <row r="874" customHeight="1" spans="1:4">
      <c r="A874" s="44"/>
      <c r="B874" s="51"/>
      <c r="C874" s="52"/>
      <c r="D874" s="49"/>
    </row>
    <row r="875" customHeight="1" spans="1:4">
      <c r="A875" s="44"/>
      <c r="B875" s="51"/>
      <c r="C875" s="52"/>
      <c r="D875" s="49"/>
    </row>
    <row r="876" customHeight="1" spans="1:4">
      <c r="A876" s="44"/>
      <c r="B876" s="51"/>
      <c r="C876" s="52"/>
      <c r="D876" s="49"/>
    </row>
    <row r="877" customHeight="1" spans="1:4">
      <c r="A877" s="44"/>
      <c r="B877" s="51"/>
      <c r="C877" s="52"/>
      <c r="D877" s="49"/>
    </row>
    <row r="878" customHeight="1" spans="1:4">
      <c r="A878" s="44"/>
      <c r="B878" s="51"/>
      <c r="C878" s="52"/>
      <c r="D878" s="49"/>
    </row>
    <row r="879" customHeight="1" spans="1:4">
      <c r="A879" s="44"/>
      <c r="B879" s="51"/>
      <c r="C879" s="52"/>
      <c r="D879" s="49"/>
    </row>
    <row r="880" customHeight="1" spans="1:4">
      <c r="A880" s="44"/>
      <c r="B880" s="51"/>
      <c r="C880" s="52"/>
      <c r="D880" s="49"/>
    </row>
    <row r="881" customHeight="1" spans="1:4">
      <c r="A881" s="44"/>
      <c r="B881" s="51"/>
      <c r="C881" s="52"/>
      <c r="D881" s="49"/>
    </row>
    <row r="882" customHeight="1" spans="1:4">
      <c r="A882" s="44"/>
      <c r="B882" s="51"/>
      <c r="C882" s="52"/>
      <c r="D882" s="49"/>
    </row>
    <row r="883" customHeight="1" spans="1:4">
      <c r="A883" s="44"/>
      <c r="B883" s="51"/>
      <c r="C883" s="52"/>
      <c r="D883" s="49"/>
    </row>
    <row r="884" customHeight="1" spans="1:4">
      <c r="A884" s="44"/>
      <c r="B884" s="51"/>
      <c r="C884" s="52"/>
      <c r="D884" s="49"/>
    </row>
    <row r="885" customHeight="1" spans="1:4">
      <c r="A885" s="44"/>
      <c r="B885" s="51"/>
      <c r="C885" s="52"/>
      <c r="D885" s="49"/>
    </row>
    <row r="886" customHeight="1" spans="1:4">
      <c r="A886" s="44"/>
      <c r="B886" s="51"/>
      <c r="C886" s="52"/>
      <c r="D886" s="49"/>
    </row>
    <row r="887" customHeight="1" spans="1:4">
      <c r="A887" s="44"/>
      <c r="B887" s="51"/>
      <c r="C887" s="52"/>
      <c r="D887" s="49"/>
    </row>
    <row r="888" customHeight="1" spans="1:4">
      <c r="A888" s="44"/>
      <c r="B888" s="51"/>
      <c r="C888" s="52"/>
      <c r="D888" s="49"/>
    </row>
    <row r="889" customHeight="1" spans="1:4">
      <c r="A889" s="44"/>
      <c r="B889" s="51"/>
      <c r="C889" s="52"/>
      <c r="D889" s="49"/>
    </row>
    <row r="890" customHeight="1" spans="1:4">
      <c r="A890" s="44"/>
      <c r="B890" s="51"/>
      <c r="C890" s="52"/>
      <c r="D890" s="49"/>
    </row>
    <row r="891" customHeight="1" spans="1:4">
      <c r="A891" s="44"/>
      <c r="B891" s="51"/>
      <c r="C891" s="52"/>
      <c r="D891" s="49"/>
    </row>
    <row r="892" customHeight="1" spans="1:4">
      <c r="A892" s="44"/>
      <c r="B892" s="51"/>
      <c r="C892" s="52"/>
      <c r="D892" s="49"/>
    </row>
    <row r="893" customHeight="1" spans="1:4">
      <c r="A893" s="44"/>
      <c r="B893" s="51"/>
      <c r="C893" s="52"/>
      <c r="D893" s="49"/>
    </row>
    <row r="894" customHeight="1" spans="1:4">
      <c r="A894" s="44"/>
      <c r="B894" s="51"/>
      <c r="C894" s="52"/>
      <c r="D894" s="49"/>
    </row>
    <row r="895" customHeight="1" spans="1:4">
      <c r="A895" s="44"/>
      <c r="B895" s="51"/>
      <c r="C895" s="52"/>
      <c r="D895" s="49"/>
    </row>
    <row r="896" customHeight="1" spans="1:4">
      <c r="A896" s="44"/>
      <c r="B896" s="51"/>
      <c r="C896" s="52"/>
      <c r="D896" s="49"/>
    </row>
    <row r="897" customHeight="1" spans="1:4">
      <c r="A897" s="44"/>
      <c r="B897" s="51"/>
      <c r="C897" s="52"/>
      <c r="D897" s="49"/>
    </row>
    <row r="898" customHeight="1" spans="1:4">
      <c r="A898" s="44"/>
      <c r="B898" s="51"/>
      <c r="C898" s="52"/>
      <c r="D898" s="49"/>
    </row>
    <row r="899" customHeight="1" spans="1:4">
      <c r="A899" s="44"/>
      <c r="B899" s="51"/>
      <c r="C899" s="52"/>
      <c r="D899" s="49"/>
    </row>
    <row r="900" customHeight="1" spans="1:4">
      <c r="A900" s="44"/>
      <c r="B900" s="51"/>
      <c r="C900" s="52"/>
      <c r="D900" s="49"/>
    </row>
    <row r="901" customHeight="1" spans="1:4">
      <c r="A901" s="44"/>
      <c r="B901" s="51"/>
      <c r="C901" s="52"/>
      <c r="D901" s="49"/>
    </row>
    <row r="902" customHeight="1" spans="1:4">
      <c r="A902" s="44"/>
      <c r="B902" s="51"/>
      <c r="C902" s="52"/>
      <c r="D902" s="49"/>
    </row>
    <row r="903" customHeight="1" spans="1:4">
      <c r="A903" s="44"/>
      <c r="B903" s="51"/>
      <c r="C903" s="52"/>
      <c r="D903" s="49"/>
    </row>
    <row r="904" customHeight="1" spans="1:4">
      <c r="A904" s="44"/>
      <c r="B904" s="51"/>
      <c r="C904" s="52"/>
      <c r="D904" s="49"/>
    </row>
    <row r="905" customHeight="1" spans="1:4">
      <c r="A905" s="44"/>
      <c r="B905" s="51"/>
      <c r="C905" s="52"/>
      <c r="D905" s="49"/>
    </row>
    <row r="906" customHeight="1" spans="1:4">
      <c r="A906" s="44"/>
      <c r="B906" s="51"/>
      <c r="C906" s="52"/>
      <c r="D906" s="49"/>
    </row>
    <row r="907" customHeight="1" spans="1:4">
      <c r="A907" s="44"/>
      <c r="B907" s="51"/>
      <c r="C907" s="52"/>
      <c r="D907" s="49"/>
    </row>
    <row r="908" customHeight="1" spans="1:4">
      <c r="A908" s="44"/>
      <c r="B908" s="51"/>
      <c r="C908" s="52"/>
      <c r="D908" s="49"/>
    </row>
    <row r="909" customHeight="1" spans="1:4">
      <c r="A909" s="44"/>
      <c r="B909" s="51"/>
      <c r="C909" s="52"/>
      <c r="D909" s="49"/>
    </row>
    <row r="910" customHeight="1" spans="1:4">
      <c r="A910" s="44"/>
      <c r="B910" s="51"/>
      <c r="C910" s="52"/>
      <c r="D910" s="49"/>
    </row>
    <row r="911" customHeight="1" spans="1:4">
      <c r="A911" s="44"/>
      <c r="B911" s="51"/>
      <c r="C911" s="52"/>
      <c r="D911" s="49"/>
    </row>
    <row r="912" customHeight="1" spans="1:4">
      <c r="A912" s="44"/>
      <c r="B912" s="51"/>
      <c r="C912" s="52"/>
      <c r="D912" s="49"/>
    </row>
    <row r="913" customHeight="1" spans="1:4">
      <c r="A913" s="44"/>
      <c r="B913" s="51"/>
      <c r="C913" s="52"/>
      <c r="D913" s="49"/>
    </row>
    <row r="914" customHeight="1" spans="1:4">
      <c r="A914" s="44"/>
      <c r="B914" s="51"/>
      <c r="C914" s="52"/>
      <c r="D914" s="49"/>
    </row>
    <row r="915" customHeight="1" spans="1:4">
      <c r="A915" s="44"/>
      <c r="B915" s="51"/>
      <c r="C915" s="52"/>
      <c r="D915" s="49"/>
    </row>
    <row r="916" customHeight="1" spans="1:4">
      <c r="A916" s="44"/>
      <c r="B916" s="51"/>
      <c r="C916" s="52"/>
      <c r="D916" s="49"/>
    </row>
    <row r="917" customHeight="1" spans="1:4">
      <c r="A917" s="44"/>
      <c r="B917" s="51"/>
      <c r="C917" s="52"/>
      <c r="D917" s="49"/>
    </row>
    <row r="918" customHeight="1" spans="1:4">
      <c r="A918" s="44"/>
      <c r="B918" s="51"/>
      <c r="C918" s="52"/>
      <c r="D918" s="49"/>
    </row>
    <row r="919" customHeight="1" spans="1:4">
      <c r="A919" s="44"/>
      <c r="B919" s="51"/>
      <c r="C919" s="52"/>
      <c r="D919" s="49"/>
    </row>
    <row r="920" customHeight="1" spans="1:4">
      <c r="A920" s="44"/>
      <c r="B920" s="51"/>
      <c r="C920" s="52"/>
      <c r="D920" s="49"/>
    </row>
    <row r="921" customHeight="1" spans="1:4">
      <c r="A921" s="44"/>
      <c r="B921" s="51"/>
      <c r="C921" s="52"/>
      <c r="D921" s="49"/>
    </row>
    <row r="922" customHeight="1" spans="1:4">
      <c r="A922" s="44"/>
      <c r="B922" s="51"/>
      <c r="C922" s="52"/>
      <c r="D922" s="49"/>
    </row>
    <row r="923" customHeight="1" spans="1:4">
      <c r="A923" s="44"/>
      <c r="B923" s="51"/>
      <c r="C923" s="52"/>
      <c r="D923" s="49"/>
    </row>
    <row r="924" customHeight="1" spans="1:4">
      <c r="A924" s="44"/>
      <c r="B924" s="51"/>
      <c r="C924" s="52"/>
      <c r="D924" s="49"/>
    </row>
    <row r="925" customHeight="1" spans="1:4">
      <c r="A925" s="44"/>
      <c r="B925" s="51"/>
      <c r="C925" s="52"/>
      <c r="D925" s="49"/>
    </row>
    <row r="926" customHeight="1" spans="1:4">
      <c r="A926" s="44"/>
      <c r="B926" s="51"/>
      <c r="C926" s="52"/>
      <c r="D926" s="49"/>
    </row>
    <row r="927" customHeight="1" spans="1:4">
      <c r="A927" s="44"/>
      <c r="B927" s="51"/>
      <c r="C927" s="52"/>
      <c r="D927" s="49"/>
    </row>
    <row r="928" customHeight="1" spans="1:4">
      <c r="A928" s="44"/>
      <c r="B928" s="51"/>
      <c r="C928" s="52"/>
      <c r="D928" s="49"/>
    </row>
    <row r="929" customHeight="1" spans="1:4">
      <c r="A929" s="44"/>
      <c r="B929" s="51"/>
      <c r="C929" s="52"/>
      <c r="D929" s="49"/>
    </row>
    <row r="930" customHeight="1" spans="1:4">
      <c r="A930" s="44"/>
      <c r="B930" s="51"/>
      <c r="C930" s="52"/>
      <c r="D930" s="49"/>
    </row>
    <row r="931" customHeight="1" spans="1:4">
      <c r="A931" s="44"/>
      <c r="B931" s="51"/>
      <c r="C931" s="52"/>
      <c r="D931" s="49"/>
    </row>
    <row r="932" customHeight="1" spans="1:4">
      <c r="A932" s="44"/>
      <c r="B932" s="51"/>
      <c r="C932" s="52"/>
      <c r="D932" s="49"/>
    </row>
    <row r="933" customHeight="1" spans="1:4">
      <c r="A933" s="44"/>
      <c r="B933" s="51"/>
      <c r="C933" s="52"/>
      <c r="D933" s="49"/>
    </row>
    <row r="934" customHeight="1" spans="1:4">
      <c r="A934" s="44"/>
      <c r="B934" s="51"/>
      <c r="C934" s="52"/>
      <c r="D934" s="49"/>
    </row>
    <row r="935" customHeight="1" spans="1:4">
      <c r="A935" s="44"/>
      <c r="B935" s="51"/>
      <c r="C935" s="52"/>
      <c r="D935" s="49"/>
    </row>
    <row r="936" customHeight="1" spans="1:4">
      <c r="A936" s="44"/>
      <c r="B936" s="51"/>
      <c r="C936" s="52"/>
      <c r="D936" s="49"/>
    </row>
    <row r="937" customHeight="1" spans="1:4">
      <c r="A937" s="44"/>
      <c r="B937" s="51"/>
      <c r="C937" s="52"/>
      <c r="D937" s="49"/>
    </row>
    <row r="938" customHeight="1" spans="1:4">
      <c r="A938" s="44"/>
      <c r="B938" s="51"/>
      <c r="C938" s="52"/>
      <c r="D938" s="49"/>
    </row>
    <row r="939" customHeight="1" spans="1:4">
      <c r="A939" s="44"/>
      <c r="B939" s="51"/>
      <c r="C939" s="52"/>
      <c r="D939" s="49"/>
    </row>
    <row r="940" customHeight="1" spans="1:4">
      <c r="A940" s="44"/>
      <c r="B940" s="51"/>
      <c r="C940" s="52"/>
      <c r="D940" s="49"/>
    </row>
    <row r="941" customHeight="1" spans="1:4">
      <c r="A941" s="44"/>
      <c r="B941" s="51"/>
      <c r="C941" s="52"/>
      <c r="D941" s="49"/>
    </row>
    <row r="942" customHeight="1" spans="1:4">
      <c r="A942" s="44"/>
      <c r="B942" s="51"/>
      <c r="C942" s="52"/>
      <c r="D942" s="49"/>
    </row>
    <row r="943" customHeight="1" spans="1:4">
      <c r="A943" s="44"/>
      <c r="B943" s="51"/>
      <c r="C943" s="52"/>
      <c r="D943" s="49"/>
    </row>
    <row r="944" customHeight="1" spans="1:4">
      <c r="A944" s="44"/>
      <c r="B944" s="51"/>
      <c r="C944" s="52"/>
      <c r="D944" s="49"/>
    </row>
    <row r="945" customHeight="1" spans="1:4">
      <c r="A945" s="44"/>
      <c r="B945" s="51"/>
      <c r="C945" s="52"/>
      <c r="D945" s="49"/>
    </row>
    <row r="946" customHeight="1" spans="1:4">
      <c r="A946" s="44"/>
      <c r="B946" s="51"/>
      <c r="C946" s="52"/>
      <c r="D946" s="49"/>
    </row>
    <row r="947" customHeight="1" spans="1:4">
      <c r="A947" s="44"/>
      <c r="B947" s="51"/>
      <c r="C947" s="52"/>
      <c r="D947" s="49"/>
    </row>
    <row r="948" customHeight="1" spans="1:4">
      <c r="A948" s="44"/>
      <c r="B948" s="51"/>
      <c r="C948" s="52"/>
      <c r="D948" s="49"/>
    </row>
    <row r="949" customHeight="1" spans="1:4">
      <c r="A949" s="44"/>
      <c r="B949" s="51"/>
      <c r="C949" s="52"/>
      <c r="D949" s="49"/>
    </row>
    <row r="950" customHeight="1" spans="1:4">
      <c r="A950" s="44"/>
      <c r="B950" s="51"/>
      <c r="C950" s="52"/>
      <c r="D950" s="49"/>
    </row>
    <row r="951" customHeight="1" spans="1:4">
      <c r="A951" s="44"/>
      <c r="B951" s="51"/>
      <c r="C951" s="52"/>
      <c r="D951" s="49"/>
    </row>
    <row r="952" customHeight="1" spans="1:4">
      <c r="A952" s="44"/>
      <c r="B952" s="51"/>
      <c r="C952" s="52"/>
      <c r="D952" s="49"/>
    </row>
    <row r="953" customHeight="1" spans="1:4">
      <c r="A953" s="44"/>
      <c r="B953" s="51"/>
      <c r="C953" s="52"/>
      <c r="D953" s="49"/>
    </row>
    <row r="954" customHeight="1" spans="1:4">
      <c r="A954" s="44"/>
      <c r="B954" s="51"/>
      <c r="C954" s="52"/>
      <c r="D954" s="49"/>
    </row>
    <row r="955" customHeight="1" spans="1:4">
      <c r="A955" s="44"/>
      <c r="B955" s="51"/>
      <c r="C955" s="52"/>
      <c r="D955" s="49"/>
    </row>
    <row r="956" customHeight="1" spans="1:4">
      <c r="A956" s="44"/>
      <c r="B956" s="51"/>
      <c r="C956" s="52"/>
      <c r="D956" s="49"/>
    </row>
    <row r="957" customHeight="1" spans="1:4">
      <c r="A957" s="44"/>
      <c r="B957" s="51"/>
      <c r="C957" s="52"/>
      <c r="D957" s="49"/>
    </row>
    <row r="958" customHeight="1" spans="1:4">
      <c r="A958" s="44"/>
      <c r="B958" s="51"/>
      <c r="C958" s="52"/>
      <c r="D958" s="49"/>
    </row>
    <row r="959" customHeight="1" spans="1:4">
      <c r="A959" s="44"/>
      <c r="B959" s="51"/>
      <c r="C959" s="52"/>
      <c r="D959" s="49"/>
    </row>
    <row r="960" customHeight="1" spans="1:4">
      <c r="A960" s="44"/>
      <c r="B960" s="51"/>
      <c r="C960" s="52"/>
      <c r="D960" s="49"/>
    </row>
    <row r="961" customHeight="1" spans="1:4">
      <c r="A961" s="44"/>
      <c r="B961" s="51"/>
      <c r="C961" s="52"/>
      <c r="D961" s="49"/>
    </row>
    <row r="962" customHeight="1" spans="1:4">
      <c r="A962" s="44"/>
      <c r="B962" s="51"/>
      <c r="C962" s="52"/>
      <c r="D962" s="49"/>
    </row>
    <row r="963" customHeight="1" spans="1:4">
      <c r="A963" s="44"/>
      <c r="B963" s="51"/>
      <c r="C963" s="52"/>
      <c r="D963" s="49"/>
    </row>
    <row r="964" customHeight="1" spans="1:4">
      <c r="A964" s="44"/>
      <c r="B964" s="51"/>
      <c r="C964" s="52"/>
      <c r="D964" s="49"/>
    </row>
    <row r="965" customHeight="1" spans="1:4">
      <c r="A965" s="44"/>
      <c r="B965" s="51"/>
      <c r="C965" s="52"/>
      <c r="D965" s="49"/>
    </row>
    <row r="966" customHeight="1" spans="1:4">
      <c r="A966" s="44"/>
      <c r="B966" s="51"/>
      <c r="C966" s="52"/>
      <c r="D966" s="49"/>
    </row>
    <row r="967" customHeight="1" spans="1:4">
      <c r="A967" s="44"/>
      <c r="B967" s="51"/>
      <c r="C967" s="52"/>
      <c r="D967" s="49"/>
    </row>
    <row r="968" customHeight="1" spans="1:4">
      <c r="A968" s="44"/>
      <c r="B968" s="51"/>
      <c r="C968" s="52"/>
      <c r="D968" s="49"/>
    </row>
    <row r="969" customHeight="1" spans="1:4">
      <c r="A969" s="44"/>
      <c r="B969" s="51"/>
      <c r="C969" s="52"/>
      <c r="D969" s="49"/>
    </row>
    <row r="970" customHeight="1" spans="1:4">
      <c r="A970" s="44"/>
      <c r="B970" s="51"/>
      <c r="C970" s="52"/>
      <c r="D970" s="49"/>
    </row>
    <row r="971" customHeight="1" spans="1:4">
      <c r="A971" s="44"/>
      <c r="B971" s="51"/>
      <c r="C971" s="52"/>
      <c r="D971" s="49"/>
    </row>
    <row r="972" customHeight="1" spans="1:4">
      <c r="A972" s="44"/>
      <c r="B972" s="51"/>
      <c r="C972" s="52"/>
      <c r="D972" s="49"/>
    </row>
    <row r="973" customHeight="1" spans="1:4">
      <c r="A973" s="44"/>
      <c r="B973" s="51"/>
      <c r="C973" s="52"/>
      <c r="D973" s="49"/>
    </row>
    <row r="974" customHeight="1" spans="1:4">
      <c r="A974" s="44"/>
      <c r="B974" s="51"/>
      <c r="C974" s="52"/>
      <c r="D974" s="49"/>
    </row>
    <row r="975" customHeight="1" spans="1:4">
      <c r="A975" s="44"/>
      <c r="B975" s="51"/>
      <c r="C975" s="52"/>
      <c r="D975" s="49"/>
    </row>
    <row r="976" customHeight="1" spans="1:4">
      <c r="A976" s="44"/>
      <c r="B976" s="51"/>
      <c r="C976" s="52"/>
      <c r="D976" s="49"/>
    </row>
    <row r="977" customHeight="1" spans="1:4">
      <c r="A977" s="44"/>
      <c r="B977" s="51"/>
      <c r="C977" s="52"/>
      <c r="D977" s="49"/>
    </row>
    <row r="978" customHeight="1" spans="1:4">
      <c r="A978" s="44"/>
      <c r="B978" s="51"/>
      <c r="C978" s="52"/>
      <c r="D978" s="49"/>
    </row>
    <row r="979" customHeight="1" spans="1:4">
      <c r="A979" s="44"/>
      <c r="B979" s="51"/>
      <c r="C979" s="52"/>
      <c r="D979" s="49"/>
    </row>
    <row r="980" customHeight="1" spans="1:4">
      <c r="A980" s="44"/>
      <c r="B980" s="51"/>
      <c r="C980" s="52"/>
      <c r="D980" s="49"/>
    </row>
    <row r="981" customHeight="1" spans="1:4">
      <c r="A981" s="44"/>
      <c r="B981" s="51"/>
      <c r="C981" s="52"/>
      <c r="D981" s="49"/>
    </row>
    <row r="982" customHeight="1" spans="1:4">
      <c r="A982" s="44"/>
      <c r="B982" s="51"/>
      <c r="C982" s="52"/>
      <c r="D982" s="49"/>
    </row>
    <row r="983" customHeight="1" spans="1:4">
      <c r="A983" s="44"/>
      <c r="B983" s="51"/>
      <c r="C983" s="52"/>
      <c r="D983" s="49"/>
    </row>
    <row r="984" customHeight="1" spans="1:4">
      <c r="A984" s="44"/>
      <c r="B984" s="51"/>
      <c r="C984" s="52"/>
      <c r="D984" s="49"/>
    </row>
    <row r="985" customHeight="1" spans="1:4">
      <c r="A985" s="44"/>
      <c r="B985" s="51"/>
      <c r="C985" s="52"/>
      <c r="D985" s="49"/>
    </row>
    <row r="986" customHeight="1" spans="1:4">
      <c r="A986" s="44"/>
      <c r="B986" s="51"/>
      <c r="C986" s="52"/>
      <c r="D986" s="49"/>
    </row>
    <row r="987" customHeight="1" spans="1:4">
      <c r="A987" s="44"/>
      <c r="B987" s="51"/>
      <c r="C987" s="52"/>
      <c r="D987" s="49"/>
    </row>
    <row r="988" customHeight="1" spans="1:4">
      <c r="A988" s="44"/>
      <c r="B988" s="51"/>
      <c r="C988" s="52"/>
      <c r="D988" s="49"/>
    </row>
    <row r="989" customHeight="1" spans="1:4">
      <c r="A989" s="44"/>
      <c r="B989" s="51"/>
      <c r="C989" s="52"/>
      <c r="D989" s="49"/>
    </row>
    <row r="990" customHeight="1" spans="1:4">
      <c r="A990" s="44"/>
      <c r="B990" s="51"/>
      <c r="C990" s="52"/>
      <c r="D990" s="49"/>
    </row>
    <row r="991" customHeight="1" spans="1:4">
      <c r="A991" s="44"/>
      <c r="B991" s="51"/>
      <c r="C991" s="52"/>
      <c r="D991" s="49"/>
    </row>
    <row r="992" customHeight="1" spans="1:4">
      <c r="A992" s="44"/>
      <c r="B992" s="51"/>
      <c r="C992" s="52"/>
      <c r="D992" s="49"/>
    </row>
    <row r="993" customHeight="1" spans="1:4">
      <c r="A993" s="44"/>
      <c r="B993" s="51"/>
      <c r="C993" s="52"/>
      <c r="D993" s="49"/>
    </row>
    <row r="994" customHeight="1" spans="1:4">
      <c r="A994" s="44"/>
      <c r="B994" s="51"/>
      <c r="C994" s="52"/>
      <c r="D994" s="49"/>
    </row>
    <row r="995" customHeight="1" spans="1:4">
      <c r="A995" s="44"/>
      <c r="B995" s="51"/>
      <c r="C995" s="52"/>
      <c r="D995" s="49"/>
    </row>
    <row r="996" customHeight="1" spans="1:4">
      <c r="A996" s="44"/>
      <c r="B996" s="51"/>
      <c r="C996" s="52"/>
      <c r="D996" s="49"/>
    </row>
    <row r="997" customHeight="1" spans="1:4">
      <c r="A997" s="44"/>
      <c r="B997" s="51"/>
      <c r="C997" s="52"/>
      <c r="D997" s="49"/>
    </row>
    <row r="998" customHeight="1" spans="1:4">
      <c r="A998" s="44"/>
      <c r="B998" s="51"/>
      <c r="C998" s="52"/>
      <c r="D998" s="49"/>
    </row>
    <row r="999" customHeight="1" spans="1:4">
      <c r="A999" s="44"/>
      <c r="B999" s="51"/>
      <c r="C999" s="52"/>
      <c r="D999" s="49"/>
    </row>
    <row r="1000" customHeight="1" spans="1:4">
      <c r="A1000" s="44"/>
      <c r="B1000" s="51"/>
      <c r="C1000" s="52"/>
      <c r="D1000" s="49"/>
    </row>
  </sheetData>
  <mergeCells count="1">
    <mergeCell ref="E1:G1"/>
  </mergeCells>
  <conditionalFormatting sqref="A1:C51">
    <cfRule type="expression" dxfId="38" priority="1">
      <formula>MOD(ROW(),2)=1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0"/>
  <sheetViews>
    <sheetView workbookViewId="0">
      <selection activeCell="D3" sqref="D3"/>
    </sheetView>
  </sheetViews>
  <sheetFormatPr defaultColWidth="12.6285714285714" defaultRowHeight="15.75" customHeight="1"/>
  <cols>
    <col min="1" max="1" width="23.8571428571429" customWidth="1"/>
    <col min="2" max="2" width="9.42857142857143" customWidth="1"/>
    <col min="3" max="3" width="9.71428571428571" customWidth="1"/>
    <col min="4" max="4" width="19.4285714285714" customWidth="1"/>
    <col min="12" max="12" width="34" customWidth="1"/>
  </cols>
  <sheetData>
    <row r="1" ht="18" spans="1:6">
      <c r="A1" s="9" t="s">
        <v>19</v>
      </c>
      <c r="B1" s="9" t="s">
        <v>25</v>
      </c>
      <c r="C1" s="9" t="s">
        <v>161</v>
      </c>
      <c r="D1" s="9" t="s">
        <v>162</v>
      </c>
      <c r="F1" s="17" t="s">
        <v>11</v>
      </c>
    </row>
    <row r="2" customHeight="1" spans="1:6">
      <c r="A2" s="10" t="s">
        <v>28</v>
      </c>
      <c r="B2" s="10">
        <v>2</v>
      </c>
      <c r="C2" s="43">
        <f ca="1">'2'!C2:C52</f>
        <v>8</v>
      </c>
      <c r="D2" s="43" t="str">
        <f ca="1" t="shared" ref="D2:D51" si="0">_xlfn.IFS(AND(B2&lt;=2,C2&lt;=3),"Needs Review",AND(B2&lt;=3,C2&lt;=5),"Standard",AND(B2&gt;=4,C2&gt;=7),"High Performer",TRUE,"Mixed")</f>
        <v>Mixed</v>
      </c>
    </row>
    <row r="3" customHeight="1" spans="1:6">
      <c r="A3" s="10" t="s">
        <v>33</v>
      </c>
      <c r="B3" s="10">
        <v>1.8</v>
      </c>
      <c r="C3" s="43">
        <f ca="1">'2'!C3:C53</f>
        <v>85</v>
      </c>
      <c r="D3" s="43" t="str">
        <f ca="1" t="shared" si="0"/>
        <v>Mixed</v>
      </c>
    </row>
    <row r="4" customHeight="1" spans="1:6">
      <c r="A4" s="10" t="s">
        <v>35</v>
      </c>
      <c r="B4" s="10">
        <v>4</v>
      </c>
      <c r="C4" s="43">
        <f ca="1">'2'!C4:C54</f>
        <v>6</v>
      </c>
      <c r="D4" s="43" t="str">
        <f ca="1" t="shared" si="0"/>
        <v>Mixed</v>
      </c>
    </row>
    <row r="5" customHeight="1" spans="1:6">
      <c r="A5" s="10" t="s">
        <v>38</v>
      </c>
      <c r="B5" s="10">
        <v>4.3</v>
      </c>
      <c r="C5" s="43">
        <f ca="1">'2'!C5:C55</f>
        <v>9</v>
      </c>
      <c r="D5" s="43" t="str">
        <f ca="1" t="shared" si="0"/>
        <v>High Performer</v>
      </c>
    </row>
    <row r="6" customHeight="1" spans="1:6">
      <c r="A6" s="10" t="s">
        <v>42</v>
      </c>
      <c r="B6" s="10">
        <v>2.7</v>
      </c>
      <c r="C6" s="43">
        <f ca="1">'2'!C6:C56</f>
        <v>2</v>
      </c>
      <c r="D6" s="43" t="str">
        <f ca="1" t="shared" si="0"/>
        <v>Standard</v>
      </c>
    </row>
    <row r="7" customHeight="1" spans="1:6">
      <c r="A7" s="10" t="s">
        <v>44</v>
      </c>
      <c r="B7" s="10">
        <v>1.7</v>
      </c>
      <c r="C7" s="43">
        <f ca="1">'2'!C7:C57</f>
        <v>4</v>
      </c>
      <c r="D7" s="43" t="str">
        <f ca="1" t="shared" si="0"/>
        <v>Standard</v>
      </c>
    </row>
    <row r="8" customHeight="1" spans="1:6">
      <c r="A8" s="10" t="s">
        <v>46</v>
      </c>
      <c r="B8" s="10">
        <v>3.7</v>
      </c>
      <c r="C8" s="43">
        <f ca="1">'2'!C8:C58</f>
        <v>1</v>
      </c>
      <c r="D8" s="43" t="str">
        <f ca="1" t="shared" si="0"/>
        <v>Mixed</v>
      </c>
    </row>
    <row r="9" customHeight="1" spans="1:6">
      <c r="A9" s="10" t="s">
        <v>49</v>
      </c>
      <c r="B9" s="10">
        <v>2.5</v>
      </c>
      <c r="C9" s="43">
        <f ca="1">'2'!C9:C59</f>
        <v>1</v>
      </c>
      <c r="D9" s="43" t="str">
        <f ca="1" t="shared" si="0"/>
        <v>Standard</v>
      </c>
    </row>
    <row r="10" customHeight="1" spans="1:6">
      <c r="A10" s="10" t="s">
        <v>51</v>
      </c>
      <c r="B10" s="10">
        <v>2.8</v>
      </c>
      <c r="C10" s="43">
        <f ca="1">'2'!C10:C60</f>
        <v>3</v>
      </c>
      <c r="D10" s="43" t="str">
        <f ca="1" t="shared" si="0"/>
        <v>Standard</v>
      </c>
    </row>
    <row r="11" customHeight="1" spans="1:6">
      <c r="A11" s="10" t="s">
        <v>53</v>
      </c>
      <c r="B11" s="10">
        <v>1.7</v>
      </c>
      <c r="C11" s="43">
        <f ca="1">'2'!C11:C61</f>
        <v>8</v>
      </c>
      <c r="D11" s="43" t="str">
        <f ca="1" t="shared" si="0"/>
        <v>Mixed</v>
      </c>
    </row>
    <row r="12" customHeight="1" spans="1:6">
      <c r="A12" s="10" t="s">
        <v>55</v>
      </c>
      <c r="B12" s="10">
        <v>5</v>
      </c>
      <c r="C12" s="43">
        <f ca="1">'2'!C12:C62</f>
        <v>2</v>
      </c>
      <c r="D12" s="43" t="str">
        <f ca="1" t="shared" si="0"/>
        <v>Mixed</v>
      </c>
    </row>
    <row r="13" customHeight="1" spans="1:6">
      <c r="A13" s="10" t="s">
        <v>59</v>
      </c>
      <c r="B13" s="10">
        <v>4.2</v>
      </c>
      <c r="C13" s="43">
        <f ca="1">'2'!C13:C63</f>
        <v>8</v>
      </c>
      <c r="D13" s="43" t="str">
        <f ca="1" t="shared" si="0"/>
        <v>High Performer</v>
      </c>
    </row>
    <row r="14" customHeight="1" spans="1:6">
      <c r="A14" s="10" t="s">
        <v>61</v>
      </c>
      <c r="B14" s="10">
        <v>4.8</v>
      </c>
      <c r="C14" s="43">
        <f ca="1">'2'!C14:C64</f>
        <v>3</v>
      </c>
      <c r="D14" s="43" t="str">
        <f ca="1" t="shared" si="0"/>
        <v>Mixed</v>
      </c>
    </row>
    <row r="15" customHeight="1" spans="1:6">
      <c r="A15" s="10" t="s">
        <v>64</v>
      </c>
      <c r="B15" s="10">
        <v>2.4</v>
      </c>
      <c r="C15" s="43">
        <f ca="1">'2'!C15:C65</f>
        <v>4</v>
      </c>
      <c r="D15" s="43" t="str">
        <f ca="1" t="shared" si="0"/>
        <v>Standard</v>
      </c>
    </row>
    <row r="16" customHeight="1" spans="1:6">
      <c r="A16" s="10" t="s">
        <v>66</v>
      </c>
      <c r="B16" s="10">
        <v>3.5</v>
      </c>
      <c r="C16" s="43">
        <f ca="1">'2'!C16:C66</f>
        <v>8</v>
      </c>
      <c r="D16" s="43" t="str">
        <f ca="1" t="shared" si="0"/>
        <v>Mixed</v>
      </c>
    </row>
    <row r="17" customHeight="1" spans="1:4">
      <c r="A17" s="10" t="s">
        <v>69</v>
      </c>
      <c r="B17" s="10">
        <v>1.9</v>
      </c>
      <c r="C17" s="43">
        <f ca="1">'2'!C17:C67</f>
        <v>1</v>
      </c>
      <c r="D17" s="43" t="str">
        <f ca="1" t="shared" si="0"/>
        <v>Needs Review</v>
      </c>
    </row>
    <row r="18" customHeight="1" spans="1:4">
      <c r="A18" s="10" t="s">
        <v>71</v>
      </c>
      <c r="B18" s="10">
        <v>3.6</v>
      </c>
      <c r="C18" s="43">
        <f ca="1">'2'!C18:C68</f>
        <v>7</v>
      </c>
      <c r="D18" s="43" t="str">
        <f ca="1" t="shared" si="0"/>
        <v>Mixed</v>
      </c>
    </row>
    <row r="19" customHeight="1" spans="1:4">
      <c r="A19" s="10" t="s">
        <v>73</v>
      </c>
      <c r="B19" s="10">
        <v>4.6</v>
      </c>
      <c r="C19" s="43">
        <f ca="1">'2'!C19:C69</f>
        <v>8</v>
      </c>
      <c r="D19" s="43" t="str">
        <f ca="1" t="shared" si="0"/>
        <v>High Performer</v>
      </c>
    </row>
    <row r="20" customHeight="1" spans="1:4">
      <c r="A20" s="10" t="s">
        <v>76</v>
      </c>
      <c r="B20" s="10">
        <v>3.1</v>
      </c>
      <c r="C20" s="43">
        <f ca="1">'2'!C20:C70</f>
        <v>1</v>
      </c>
      <c r="D20" s="43" t="str">
        <f ca="1" t="shared" si="0"/>
        <v>Mixed</v>
      </c>
    </row>
    <row r="21" customHeight="1" spans="1:4">
      <c r="A21" s="10" t="s">
        <v>78</v>
      </c>
      <c r="B21" s="10">
        <v>2.5</v>
      </c>
      <c r="C21" s="43">
        <f ca="1">'2'!C21:C71</f>
        <v>6</v>
      </c>
      <c r="D21" s="43" t="str">
        <f ca="1" t="shared" si="0"/>
        <v>Mixed</v>
      </c>
    </row>
    <row r="22" customHeight="1" spans="1:4">
      <c r="A22" s="10" t="s">
        <v>80</v>
      </c>
      <c r="B22" s="10">
        <v>4.2</v>
      </c>
      <c r="C22" s="43">
        <f ca="1">'2'!C22:C72</f>
        <v>9</v>
      </c>
      <c r="D22" s="43" t="str">
        <f ca="1" t="shared" si="0"/>
        <v>High Performer</v>
      </c>
    </row>
    <row r="23" customHeight="1" spans="1:4">
      <c r="A23" s="10" t="s">
        <v>84</v>
      </c>
      <c r="B23" s="10">
        <v>2.8</v>
      </c>
      <c r="C23" s="43">
        <f ca="1">'2'!C23:C73</f>
        <v>6</v>
      </c>
      <c r="D23" s="43" t="str">
        <f ca="1" t="shared" si="0"/>
        <v>Mixed</v>
      </c>
    </row>
    <row r="24" customHeight="1" spans="1:4">
      <c r="A24" s="10" t="s">
        <v>86</v>
      </c>
      <c r="B24" s="10">
        <v>3.2</v>
      </c>
      <c r="C24" s="43">
        <f ca="1">'2'!C24:C74</f>
        <v>6</v>
      </c>
      <c r="D24" s="43" t="str">
        <f ca="1" t="shared" si="0"/>
        <v>Mixed</v>
      </c>
    </row>
    <row r="25" customHeight="1" spans="1:4">
      <c r="A25" s="10" t="s">
        <v>89</v>
      </c>
      <c r="B25" s="10">
        <v>3.4</v>
      </c>
      <c r="C25" s="43">
        <f ca="1">'2'!C25:C75</f>
        <v>1</v>
      </c>
      <c r="D25" s="43" t="str">
        <f ca="1" t="shared" si="0"/>
        <v>Mixed</v>
      </c>
    </row>
    <row r="26" customHeight="1" spans="1:4">
      <c r="A26" s="10" t="s">
        <v>91</v>
      </c>
      <c r="B26" s="10">
        <v>3.9</v>
      </c>
      <c r="C26" s="43">
        <f ca="1">'2'!C26:C76</f>
        <v>2</v>
      </c>
      <c r="D26" s="43" t="str">
        <f ca="1" t="shared" si="0"/>
        <v>Mixed</v>
      </c>
    </row>
    <row r="27" customHeight="1" spans="1:4">
      <c r="A27" s="10" t="s">
        <v>94</v>
      </c>
      <c r="B27" s="10">
        <v>2.4</v>
      </c>
      <c r="C27" s="43">
        <f ca="1">'2'!C27:C77</f>
        <v>5</v>
      </c>
      <c r="D27" s="43" t="str">
        <f ca="1" t="shared" si="0"/>
        <v>Standard</v>
      </c>
    </row>
    <row r="28" customHeight="1" spans="1:4">
      <c r="A28" s="10" t="s">
        <v>96</v>
      </c>
      <c r="B28" s="10">
        <v>4</v>
      </c>
      <c r="C28" s="43">
        <f ca="1">'2'!C28:C78</f>
        <v>7</v>
      </c>
      <c r="D28" s="43" t="str">
        <f ca="1" t="shared" si="0"/>
        <v>High Performer</v>
      </c>
    </row>
    <row r="29" customHeight="1" spans="1:4">
      <c r="A29" s="10" t="s">
        <v>98</v>
      </c>
      <c r="B29" s="10">
        <v>2.5</v>
      </c>
      <c r="C29" s="43">
        <f ca="1">'2'!C29:C79</f>
        <v>4</v>
      </c>
      <c r="D29" s="43" t="str">
        <f ca="1" t="shared" si="0"/>
        <v>Standard</v>
      </c>
    </row>
    <row r="30" customHeight="1" spans="1:4">
      <c r="A30" s="10" t="s">
        <v>101</v>
      </c>
      <c r="B30" s="10">
        <v>2.4</v>
      </c>
      <c r="C30" s="43">
        <f ca="1">'2'!C30:C80</f>
        <v>8</v>
      </c>
      <c r="D30" s="43" t="str">
        <f ca="1" t="shared" si="0"/>
        <v>Mixed</v>
      </c>
    </row>
    <row r="31" customHeight="1" spans="1:4">
      <c r="A31" s="10" t="s">
        <v>103</v>
      </c>
      <c r="B31" s="10">
        <v>3</v>
      </c>
      <c r="C31" s="43">
        <f ca="1">'2'!C31:C81</f>
        <v>1</v>
      </c>
      <c r="D31" s="43" t="str">
        <f ca="1" t="shared" si="0"/>
        <v>Standard</v>
      </c>
    </row>
    <row r="32" customHeight="1" spans="1:4">
      <c r="A32" s="10" t="s">
        <v>105</v>
      </c>
      <c r="B32" s="10">
        <v>4.3</v>
      </c>
      <c r="C32" s="43">
        <f ca="1">'2'!C32:C82</f>
        <v>1</v>
      </c>
      <c r="D32" s="43" t="str">
        <f ca="1" t="shared" si="0"/>
        <v>Mixed</v>
      </c>
    </row>
    <row r="33" customHeight="1" spans="1:4">
      <c r="A33" s="10" t="s">
        <v>109</v>
      </c>
      <c r="B33" s="10">
        <v>2.1</v>
      </c>
      <c r="C33" s="43">
        <f ca="1">'2'!C33:C83</f>
        <v>6</v>
      </c>
      <c r="D33" s="43" t="str">
        <f ca="1" t="shared" si="0"/>
        <v>Mixed</v>
      </c>
    </row>
    <row r="34" customHeight="1" spans="1:4">
      <c r="A34" s="10" t="s">
        <v>112</v>
      </c>
      <c r="B34" s="10">
        <v>3.8</v>
      </c>
      <c r="C34" s="43">
        <f ca="1">'2'!C34:C84</f>
        <v>9</v>
      </c>
      <c r="D34" s="43" t="str">
        <f ca="1" t="shared" si="0"/>
        <v>Mixed</v>
      </c>
    </row>
    <row r="35" customHeight="1" spans="1:4">
      <c r="A35" s="10" t="s">
        <v>115</v>
      </c>
      <c r="B35" s="10">
        <v>2.2</v>
      </c>
      <c r="C35" s="43">
        <f ca="1">'2'!C35:C85</f>
        <v>2</v>
      </c>
      <c r="D35" s="43" t="str">
        <f ca="1" t="shared" si="0"/>
        <v>Standard</v>
      </c>
    </row>
    <row r="36" customHeight="1" spans="1:4">
      <c r="A36" s="10" t="s">
        <v>117</v>
      </c>
      <c r="B36" s="10">
        <v>4.2</v>
      </c>
      <c r="C36" s="43">
        <f ca="1">'2'!C36:C86</f>
        <v>0</v>
      </c>
      <c r="D36" s="43" t="str">
        <f ca="1" t="shared" si="0"/>
        <v>Mixed</v>
      </c>
    </row>
    <row r="37" customHeight="1" spans="1:4">
      <c r="A37" s="10" t="s">
        <v>119</v>
      </c>
      <c r="B37" s="10">
        <v>4.9</v>
      </c>
      <c r="C37" s="43">
        <f ca="1">'2'!C37:C87</f>
        <v>2</v>
      </c>
      <c r="D37" s="43" t="str">
        <f ca="1" t="shared" si="0"/>
        <v>Mixed</v>
      </c>
    </row>
    <row r="38" customHeight="1" spans="1:4">
      <c r="A38" s="10" t="s">
        <v>121</v>
      </c>
      <c r="B38" s="10">
        <v>3.5</v>
      </c>
      <c r="C38" s="43">
        <f ca="1">'2'!C38:C88</f>
        <v>8</v>
      </c>
      <c r="D38" s="43" t="str">
        <f ca="1" t="shared" si="0"/>
        <v>Mixed</v>
      </c>
    </row>
    <row r="39" customHeight="1" spans="1:4">
      <c r="A39" s="10" t="s">
        <v>123</v>
      </c>
      <c r="B39" s="10">
        <v>1.7</v>
      </c>
      <c r="C39" s="43">
        <f ca="1">'2'!C39:C89</f>
        <v>6</v>
      </c>
      <c r="D39" s="43" t="str">
        <f ca="1" t="shared" si="0"/>
        <v>Mixed</v>
      </c>
    </row>
    <row r="40" customHeight="1" spans="1:4">
      <c r="A40" s="10" t="s">
        <v>125</v>
      </c>
      <c r="B40" s="10">
        <v>3.6</v>
      </c>
      <c r="C40" s="43">
        <f ca="1">'2'!C40:C90</f>
        <v>1</v>
      </c>
      <c r="D40" s="43" t="str">
        <f ca="1" t="shared" si="0"/>
        <v>Mixed</v>
      </c>
    </row>
    <row r="41" customHeight="1" spans="1:4">
      <c r="A41" s="10" t="s">
        <v>127</v>
      </c>
      <c r="B41" s="10">
        <v>2.6</v>
      </c>
      <c r="C41" s="43">
        <f ca="1">'2'!C41:C91</f>
        <v>3</v>
      </c>
      <c r="D41" s="43" t="str">
        <f ca="1" t="shared" si="0"/>
        <v>Standard</v>
      </c>
    </row>
    <row r="42" customHeight="1" spans="1:4">
      <c r="A42" s="10" t="s">
        <v>130</v>
      </c>
      <c r="B42" s="10">
        <v>4.8</v>
      </c>
      <c r="C42" s="43">
        <f ca="1">'2'!C42:C92</f>
        <v>5</v>
      </c>
      <c r="D42" s="43" t="str">
        <f ca="1" t="shared" si="0"/>
        <v>Mixed</v>
      </c>
    </row>
    <row r="43" customHeight="1" spans="1:4">
      <c r="A43" s="10" t="s">
        <v>134</v>
      </c>
      <c r="B43" s="10">
        <v>2.4</v>
      </c>
      <c r="C43" s="43">
        <f ca="1">'2'!C43:C93</f>
        <v>1</v>
      </c>
      <c r="D43" s="43" t="str">
        <f ca="1" t="shared" si="0"/>
        <v>Standard</v>
      </c>
    </row>
    <row r="44" customHeight="1" spans="1:4">
      <c r="A44" s="10" t="s">
        <v>137</v>
      </c>
      <c r="B44" s="10">
        <v>3.4</v>
      </c>
      <c r="C44" s="43">
        <f ca="1">'2'!C44:C94</f>
        <v>3</v>
      </c>
      <c r="D44" s="43" t="str">
        <f ca="1" t="shared" si="0"/>
        <v>Mixed</v>
      </c>
    </row>
    <row r="45" customHeight="1" spans="1:4">
      <c r="A45" s="10" t="s">
        <v>139</v>
      </c>
      <c r="B45" s="10">
        <v>3.8</v>
      </c>
      <c r="C45" s="43">
        <f ca="1">'2'!C45:C95</f>
        <v>8</v>
      </c>
      <c r="D45" s="43" t="str">
        <f ca="1" t="shared" si="0"/>
        <v>Mixed</v>
      </c>
    </row>
    <row r="46" customHeight="1" spans="1:4">
      <c r="A46" s="10" t="s">
        <v>141</v>
      </c>
      <c r="B46" s="10">
        <v>2.5</v>
      </c>
      <c r="C46" s="43">
        <f ca="1">'2'!C46:C96</f>
        <v>8</v>
      </c>
      <c r="D46" s="43" t="str">
        <f ca="1" t="shared" si="0"/>
        <v>Mixed</v>
      </c>
    </row>
    <row r="47" customHeight="1" spans="1:4">
      <c r="A47" s="10" t="s">
        <v>143</v>
      </c>
      <c r="B47" s="10">
        <v>2.4</v>
      </c>
      <c r="C47" s="43">
        <f ca="1">'2'!C47:C97</f>
        <v>8</v>
      </c>
      <c r="D47" s="43" t="str">
        <f ca="1" t="shared" si="0"/>
        <v>Mixed</v>
      </c>
    </row>
    <row r="48" customHeight="1" spans="1:4">
      <c r="A48" s="10" t="s">
        <v>146</v>
      </c>
      <c r="B48" s="10">
        <v>2.7</v>
      </c>
      <c r="C48" s="43">
        <f ca="1">'2'!C48:C98</f>
        <v>9</v>
      </c>
      <c r="D48" s="43" t="str">
        <f ca="1" t="shared" si="0"/>
        <v>Mixed</v>
      </c>
    </row>
    <row r="49" customHeight="1" spans="1:4">
      <c r="A49" s="10" t="s">
        <v>149</v>
      </c>
      <c r="B49" s="10">
        <v>3</v>
      </c>
      <c r="C49" s="43">
        <f ca="1">'2'!C49:C99</f>
        <v>8</v>
      </c>
      <c r="D49" s="43" t="str">
        <f ca="1" t="shared" si="0"/>
        <v>Mixed</v>
      </c>
    </row>
    <row r="50" customHeight="1" spans="1:4">
      <c r="A50" s="10" t="s">
        <v>151</v>
      </c>
      <c r="B50" s="10">
        <v>3.5</v>
      </c>
      <c r="C50" s="43">
        <f ca="1">'2'!C50:C100</f>
        <v>6</v>
      </c>
      <c r="D50" s="43" t="str">
        <f ca="1" t="shared" si="0"/>
        <v>Mixed</v>
      </c>
    </row>
    <row r="51" customHeight="1" spans="1:4">
      <c r="A51" s="10" t="s">
        <v>153</v>
      </c>
      <c r="B51" s="10">
        <v>4.3</v>
      </c>
      <c r="C51" s="43">
        <f ca="1">'2'!C51:C101</f>
        <v>3</v>
      </c>
      <c r="D51" s="43" t="str">
        <f ca="1" t="shared" si="0"/>
        <v>Mixed</v>
      </c>
    </row>
    <row r="52" customHeight="1" spans="1:4">
      <c r="A52" s="44"/>
      <c r="B52" s="45"/>
      <c r="C52" s="46"/>
    </row>
    <row r="53" customHeight="1" spans="1:4">
      <c r="A53" s="44"/>
      <c r="B53" s="45"/>
      <c r="C53" s="46"/>
    </row>
    <row r="54" customHeight="1" spans="1:4">
      <c r="A54" s="44"/>
      <c r="B54" s="45"/>
      <c r="C54" s="46"/>
    </row>
    <row r="55" customHeight="1" spans="1:4">
      <c r="A55" s="44"/>
      <c r="B55" s="45"/>
      <c r="C55" s="46"/>
    </row>
    <row r="56" customHeight="1" spans="1:4">
      <c r="A56" s="44"/>
      <c r="B56" s="45"/>
      <c r="C56" s="46"/>
    </row>
    <row r="57" customHeight="1" spans="1:4">
      <c r="A57" s="44"/>
      <c r="B57" s="45"/>
      <c r="C57" s="46"/>
    </row>
    <row r="58" customHeight="1" spans="1:4">
      <c r="A58" s="44"/>
      <c r="B58" s="45"/>
      <c r="C58" s="46"/>
    </row>
    <row r="59" customHeight="1" spans="1:4">
      <c r="A59" s="44"/>
      <c r="B59" s="45"/>
      <c r="C59" s="46"/>
    </row>
    <row r="60" customHeight="1" spans="1:4">
      <c r="A60" s="44"/>
      <c r="B60" s="45"/>
      <c r="C60" s="46"/>
    </row>
    <row r="61" customHeight="1" spans="1:4">
      <c r="A61" s="44"/>
      <c r="B61" s="45"/>
      <c r="C61" s="46"/>
    </row>
    <row r="62" customHeight="1" spans="1:4">
      <c r="A62" s="44"/>
      <c r="B62" s="45"/>
      <c r="C62" s="46"/>
    </row>
    <row r="63" customHeight="1" spans="1:4">
      <c r="A63" s="44"/>
      <c r="B63" s="45"/>
      <c r="C63" s="46"/>
    </row>
    <row r="64" customHeight="1" spans="1:4">
      <c r="A64" s="44"/>
      <c r="B64" s="45"/>
      <c r="C64" s="46"/>
    </row>
    <row r="65" customHeight="1" spans="1:3">
      <c r="A65" s="44"/>
      <c r="B65" s="45"/>
      <c r="C65" s="46"/>
    </row>
    <row r="66" customHeight="1" spans="1:3">
      <c r="A66" s="44"/>
      <c r="B66" s="45"/>
      <c r="C66" s="46"/>
    </row>
    <row r="67" customHeight="1" spans="1:3">
      <c r="A67" s="44"/>
      <c r="B67" s="45"/>
      <c r="C67" s="46"/>
    </row>
    <row r="68" customHeight="1" spans="1:3">
      <c r="A68" s="44"/>
      <c r="B68" s="45"/>
      <c r="C68" s="46"/>
    </row>
    <row r="69" customHeight="1" spans="1:3">
      <c r="A69" s="44"/>
      <c r="B69" s="45"/>
      <c r="C69" s="46"/>
    </row>
    <row r="70" customHeight="1" spans="1:3">
      <c r="A70" s="44"/>
      <c r="B70" s="45"/>
      <c r="C70" s="46"/>
    </row>
    <row r="71" customHeight="1" spans="1:3">
      <c r="A71" s="44"/>
      <c r="B71" s="45"/>
      <c r="C71" s="46"/>
    </row>
    <row r="72" customHeight="1" spans="1:3">
      <c r="A72" s="44"/>
      <c r="B72" s="45"/>
      <c r="C72" s="46"/>
    </row>
    <row r="73" customHeight="1" spans="1:3">
      <c r="A73" s="44"/>
      <c r="B73" s="45"/>
      <c r="C73" s="46"/>
    </row>
    <row r="74" customHeight="1" spans="1:3">
      <c r="A74" s="44"/>
      <c r="B74" s="45"/>
      <c r="C74" s="46"/>
    </row>
    <row r="75" customHeight="1" spans="1:3">
      <c r="A75" s="44"/>
      <c r="B75" s="45"/>
      <c r="C75" s="46"/>
    </row>
    <row r="76" customHeight="1" spans="1:3">
      <c r="A76" s="44"/>
      <c r="B76" s="45"/>
      <c r="C76" s="46"/>
    </row>
    <row r="77" customHeight="1" spans="1:3">
      <c r="A77" s="44"/>
      <c r="B77" s="45"/>
      <c r="C77" s="46"/>
    </row>
    <row r="78" customHeight="1" spans="1:3">
      <c r="A78" s="44"/>
      <c r="B78" s="45"/>
      <c r="C78" s="46"/>
    </row>
    <row r="79" customHeight="1" spans="1:3">
      <c r="A79" s="44"/>
      <c r="B79" s="45"/>
      <c r="C79" s="46"/>
    </row>
    <row r="80" customHeight="1" spans="1:3">
      <c r="A80" s="44"/>
      <c r="B80" s="45"/>
      <c r="C80" s="46"/>
    </row>
    <row r="81" customHeight="1" spans="1:3">
      <c r="A81" s="44"/>
      <c r="B81" s="45"/>
      <c r="C81" s="46"/>
    </row>
    <row r="82" customHeight="1" spans="1:3">
      <c r="A82" s="44"/>
      <c r="B82" s="45"/>
      <c r="C82" s="46"/>
    </row>
    <row r="83" customHeight="1" spans="1:3">
      <c r="A83" s="44"/>
      <c r="B83" s="45"/>
      <c r="C83" s="46"/>
    </row>
    <row r="84" customHeight="1" spans="1:3">
      <c r="A84" s="44"/>
      <c r="B84" s="45"/>
      <c r="C84" s="46"/>
    </row>
    <row r="85" customHeight="1" spans="1:3">
      <c r="A85" s="44"/>
      <c r="B85" s="45"/>
      <c r="C85" s="46"/>
    </row>
    <row r="86" customHeight="1" spans="1:3">
      <c r="A86" s="44"/>
      <c r="B86" s="45"/>
      <c r="C86" s="46"/>
    </row>
    <row r="87" customHeight="1" spans="1:3">
      <c r="A87" s="44"/>
      <c r="B87" s="45"/>
      <c r="C87" s="46"/>
    </row>
    <row r="88" customHeight="1" spans="1:3">
      <c r="A88" s="44"/>
      <c r="B88" s="45"/>
      <c r="C88" s="46"/>
    </row>
    <row r="89" customHeight="1" spans="1:3">
      <c r="A89" s="44"/>
      <c r="B89" s="45"/>
      <c r="C89" s="46"/>
    </row>
    <row r="90" customHeight="1" spans="1:3">
      <c r="A90" s="44"/>
      <c r="B90" s="45"/>
      <c r="C90" s="46"/>
    </row>
    <row r="91" customHeight="1" spans="1:3">
      <c r="A91" s="44"/>
      <c r="B91" s="45"/>
      <c r="C91" s="46"/>
    </row>
    <row r="92" customHeight="1" spans="1:3">
      <c r="A92" s="44"/>
      <c r="B92" s="45"/>
      <c r="C92" s="46"/>
    </row>
    <row r="93" customHeight="1" spans="1:3">
      <c r="A93" s="44"/>
      <c r="B93" s="45"/>
      <c r="C93" s="46"/>
    </row>
    <row r="94" customHeight="1" spans="1:3">
      <c r="A94" s="44"/>
      <c r="B94" s="45"/>
      <c r="C94" s="46"/>
    </row>
    <row r="95" customHeight="1" spans="1:3">
      <c r="A95" s="44"/>
      <c r="B95" s="45"/>
      <c r="C95" s="46"/>
    </row>
    <row r="96" customHeight="1" spans="1:3">
      <c r="A96" s="44"/>
      <c r="B96" s="45"/>
      <c r="C96" s="46"/>
    </row>
    <row r="97" customHeight="1" spans="1:3">
      <c r="A97" s="44"/>
      <c r="B97" s="45"/>
      <c r="C97" s="46"/>
    </row>
    <row r="98" customHeight="1" spans="1:3">
      <c r="A98" s="44"/>
      <c r="B98" s="45"/>
      <c r="C98" s="46"/>
    </row>
    <row r="99" customHeight="1" spans="1:3">
      <c r="A99" s="44"/>
      <c r="B99" s="45"/>
      <c r="C99" s="46"/>
    </row>
    <row r="100" customHeight="1" spans="1:3">
      <c r="A100" s="44"/>
      <c r="B100" s="45"/>
      <c r="C100" s="46"/>
    </row>
    <row r="101" customHeight="1" spans="1:3">
      <c r="A101" s="44"/>
      <c r="B101" s="45"/>
      <c r="C101" s="46"/>
    </row>
    <row r="102" customHeight="1" spans="1:3">
      <c r="A102" s="44"/>
      <c r="B102" s="45"/>
      <c r="C102" s="46"/>
    </row>
    <row r="103" customHeight="1" spans="1:3">
      <c r="A103" s="44"/>
      <c r="B103" s="45"/>
      <c r="C103" s="46"/>
    </row>
    <row r="104" customHeight="1" spans="1:3">
      <c r="A104" s="44"/>
      <c r="B104" s="45"/>
      <c r="C104" s="46"/>
    </row>
    <row r="105" customHeight="1" spans="1:3">
      <c r="A105" s="44"/>
      <c r="B105" s="45"/>
      <c r="C105" s="46"/>
    </row>
    <row r="106" customHeight="1" spans="1:3">
      <c r="A106" s="44"/>
      <c r="B106" s="45"/>
      <c r="C106" s="46"/>
    </row>
    <row r="107" customHeight="1" spans="1:3">
      <c r="A107" s="44"/>
      <c r="B107" s="45"/>
      <c r="C107" s="46"/>
    </row>
    <row r="108" customHeight="1" spans="1:3">
      <c r="A108" s="44"/>
      <c r="B108" s="45"/>
      <c r="C108" s="46"/>
    </row>
    <row r="109" customHeight="1" spans="1:3">
      <c r="A109" s="44"/>
      <c r="B109" s="45"/>
      <c r="C109" s="46"/>
    </row>
    <row r="110" customHeight="1" spans="1:3">
      <c r="A110" s="44"/>
      <c r="B110" s="45"/>
      <c r="C110" s="46"/>
    </row>
    <row r="111" customHeight="1" spans="1:3">
      <c r="A111" s="44"/>
      <c r="B111" s="45"/>
      <c r="C111" s="46"/>
    </row>
    <row r="112" customHeight="1" spans="1:3">
      <c r="A112" s="44"/>
      <c r="B112" s="45"/>
      <c r="C112" s="46"/>
    </row>
    <row r="113" customHeight="1" spans="1:3">
      <c r="A113" s="44"/>
      <c r="B113" s="45"/>
      <c r="C113" s="46"/>
    </row>
    <row r="114" customHeight="1" spans="1:3">
      <c r="A114" s="44"/>
      <c r="B114" s="45"/>
      <c r="C114" s="46"/>
    </row>
    <row r="115" customHeight="1" spans="1:3">
      <c r="A115" s="44"/>
      <c r="B115" s="45"/>
      <c r="C115" s="46"/>
    </row>
    <row r="116" customHeight="1" spans="1:3">
      <c r="A116" s="44"/>
      <c r="B116" s="45"/>
      <c r="C116" s="46"/>
    </row>
    <row r="117" customHeight="1" spans="1:3">
      <c r="A117" s="44"/>
      <c r="B117" s="45"/>
      <c r="C117" s="46"/>
    </row>
    <row r="118" customHeight="1" spans="1:3">
      <c r="A118" s="44"/>
      <c r="B118" s="45"/>
      <c r="C118" s="46"/>
    </row>
    <row r="119" customHeight="1" spans="1:3">
      <c r="A119" s="44"/>
      <c r="B119" s="45"/>
      <c r="C119" s="46"/>
    </row>
    <row r="120" customHeight="1" spans="1:3">
      <c r="A120" s="44"/>
      <c r="B120" s="45"/>
      <c r="C120" s="46"/>
    </row>
    <row r="121" customHeight="1" spans="1:3">
      <c r="A121" s="44"/>
      <c r="B121" s="45"/>
      <c r="C121" s="46"/>
    </row>
    <row r="122" customHeight="1" spans="1:3">
      <c r="A122" s="44"/>
      <c r="B122" s="45"/>
      <c r="C122" s="46"/>
    </row>
    <row r="123" customHeight="1" spans="1:3">
      <c r="A123" s="44"/>
      <c r="B123" s="45"/>
      <c r="C123" s="46"/>
    </row>
    <row r="124" customHeight="1" spans="1:3">
      <c r="A124" s="44"/>
      <c r="B124" s="45"/>
      <c r="C124" s="46"/>
    </row>
    <row r="125" customHeight="1" spans="1:3">
      <c r="A125" s="44"/>
      <c r="B125" s="45"/>
      <c r="C125" s="46"/>
    </row>
    <row r="126" customHeight="1" spans="1:3">
      <c r="A126" s="44"/>
      <c r="B126" s="45"/>
      <c r="C126" s="46"/>
    </row>
    <row r="127" customHeight="1" spans="1:3">
      <c r="A127" s="44"/>
      <c r="B127" s="45"/>
      <c r="C127" s="46"/>
    </row>
    <row r="128" customHeight="1" spans="1:3">
      <c r="A128" s="44"/>
      <c r="B128" s="45"/>
      <c r="C128" s="46"/>
    </row>
    <row r="129" customHeight="1" spans="1:3">
      <c r="A129" s="44"/>
      <c r="B129" s="45"/>
      <c r="C129" s="46"/>
    </row>
    <row r="130" customHeight="1" spans="1:3">
      <c r="A130" s="44"/>
      <c r="B130" s="45"/>
      <c r="C130" s="46"/>
    </row>
    <row r="131" customHeight="1" spans="1:3">
      <c r="A131" s="44"/>
      <c r="B131" s="45"/>
      <c r="C131" s="46"/>
    </row>
    <row r="132" customHeight="1" spans="1:3">
      <c r="A132" s="44"/>
      <c r="B132" s="45"/>
      <c r="C132" s="46"/>
    </row>
    <row r="133" customHeight="1" spans="1:3">
      <c r="A133" s="44"/>
      <c r="B133" s="45"/>
      <c r="C133" s="46"/>
    </row>
    <row r="134" customHeight="1" spans="1:3">
      <c r="A134" s="44"/>
      <c r="B134" s="45"/>
      <c r="C134" s="46"/>
    </row>
    <row r="135" customHeight="1" spans="1:3">
      <c r="A135" s="44"/>
      <c r="B135" s="45"/>
      <c r="C135" s="46"/>
    </row>
    <row r="136" customHeight="1" spans="1:3">
      <c r="A136" s="44"/>
      <c r="B136" s="45"/>
      <c r="C136" s="46"/>
    </row>
    <row r="137" customHeight="1" spans="1:3">
      <c r="A137" s="44"/>
      <c r="B137" s="45"/>
      <c r="C137" s="46"/>
    </row>
    <row r="138" customHeight="1" spans="1:3">
      <c r="A138" s="44"/>
      <c r="B138" s="45"/>
      <c r="C138" s="46"/>
    </row>
    <row r="139" customHeight="1" spans="1:3">
      <c r="A139" s="44"/>
      <c r="B139" s="45"/>
      <c r="C139" s="46"/>
    </row>
    <row r="140" customHeight="1" spans="1:3">
      <c r="A140" s="44"/>
      <c r="B140" s="45"/>
      <c r="C140" s="46"/>
    </row>
    <row r="141" customHeight="1" spans="1:3">
      <c r="A141" s="44"/>
      <c r="B141" s="45"/>
      <c r="C141" s="46"/>
    </row>
    <row r="142" customHeight="1" spans="1:3">
      <c r="A142" s="44"/>
      <c r="B142" s="45"/>
      <c r="C142" s="46"/>
    </row>
    <row r="143" customHeight="1" spans="1:3">
      <c r="A143" s="44"/>
      <c r="B143" s="45"/>
      <c r="C143" s="46"/>
    </row>
    <row r="144" customHeight="1" spans="1:3">
      <c r="A144" s="44"/>
      <c r="B144" s="45"/>
      <c r="C144" s="46"/>
    </row>
    <row r="145" customHeight="1" spans="1:3">
      <c r="A145" s="44"/>
      <c r="B145" s="45"/>
      <c r="C145" s="46"/>
    </row>
    <row r="146" customHeight="1" spans="1:3">
      <c r="A146" s="44"/>
      <c r="B146" s="45"/>
      <c r="C146" s="46"/>
    </row>
    <row r="147" customHeight="1" spans="1:3">
      <c r="A147" s="44"/>
      <c r="B147" s="45"/>
      <c r="C147" s="46"/>
    </row>
    <row r="148" customHeight="1" spans="1:3">
      <c r="A148" s="44"/>
      <c r="B148" s="45"/>
      <c r="C148" s="46"/>
    </row>
    <row r="149" customHeight="1" spans="1:3">
      <c r="A149" s="44"/>
      <c r="B149" s="45"/>
      <c r="C149" s="46"/>
    </row>
    <row r="150" customHeight="1" spans="1:3">
      <c r="A150" s="44"/>
      <c r="B150" s="45"/>
      <c r="C150" s="46"/>
    </row>
    <row r="151" customHeight="1" spans="1:3">
      <c r="A151" s="44"/>
      <c r="B151" s="45"/>
      <c r="C151" s="46"/>
    </row>
    <row r="152" customHeight="1" spans="1:3">
      <c r="A152" s="44"/>
      <c r="B152" s="45"/>
      <c r="C152" s="46"/>
    </row>
    <row r="153" customHeight="1" spans="1:3">
      <c r="A153" s="44"/>
      <c r="B153" s="45"/>
      <c r="C153" s="46"/>
    </row>
    <row r="154" customHeight="1" spans="1:3">
      <c r="A154" s="44"/>
      <c r="B154" s="45"/>
      <c r="C154" s="46"/>
    </row>
    <row r="155" customHeight="1" spans="1:3">
      <c r="A155" s="44"/>
      <c r="B155" s="45"/>
      <c r="C155" s="46"/>
    </row>
    <row r="156" customHeight="1" spans="1:3">
      <c r="A156" s="44"/>
      <c r="B156" s="45"/>
      <c r="C156" s="46"/>
    </row>
    <row r="157" customHeight="1" spans="1:3">
      <c r="A157" s="44"/>
      <c r="B157" s="45"/>
      <c r="C157" s="46"/>
    </row>
    <row r="158" customHeight="1" spans="1:3">
      <c r="A158" s="44"/>
      <c r="B158" s="45"/>
      <c r="C158" s="46"/>
    </row>
    <row r="159" customHeight="1" spans="1:3">
      <c r="A159" s="44"/>
      <c r="B159" s="45"/>
      <c r="C159" s="46"/>
    </row>
    <row r="160" customHeight="1" spans="1:3">
      <c r="A160" s="44"/>
      <c r="B160" s="45"/>
      <c r="C160" s="46"/>
    </row>
    <row r="161" customHeight="1" spans="1:3">
      <c r="A161" s="44"/>
      <c r="B161" s="45"/>
      <c r="C161" s="46"/>
    </row>
    <row r="162" customHeight="1" spans="1:3">
      <c r="A162" s="44"/>
      <c r="B162" s="45"/>
      <c r="C162" s="46"/>
    </row>
    <row r="163" customHeight="1" spans="1:3">
      <c r="A163" s="44"/>
      <c r="B163" s="45"/>
      <c r="C163" s="46"/>
    </row>
    <row r="164" customHeight="1" spans="1:3">
      <c r="A164" s="44"/>
      <c r="B164" s="45"/>
      <c r="C164" s="46"/>
    </row>
    <row r="165" customHeight="1" spans="1:3">
      <c r="A165" s="44"/>
      <c r="B165" s="45"/>
      <c r="C165" s="46"/>
    </row>
    <row r="166" customHeight="1" spans="1:3">
      <c r="A166" s="44"/>
      <c r="B166" s="45"/>
      <c r="C166" s="46"/>
    </row>
    <row r="167" customHeight="1" spans="1:3">
      <c r="A167" s="44"/>
      <c r="B167" s="45"/>
      <c r="C167" s="46"/>
    </row>
    <row r="168" customHeight="1" spans="1:3">
      <c r="A168" s="44"/>
      <c r="B168" s="45"/>
      <c r="C168" s="46"/>
    </row>
    <row r="169" customHeight="1" spans="1:3">
      <c r="A169" s="44"/>
      <c r="B169" s="45"/>
      <c r="C169" s="46"/>
    </row>
    <row r="170" customHeight="1" spans="1:3">
      <c r="A170" s="44"/>
      <c r="B170" s="45"/>
      <c r="C170" s="46"/>
    </row>
    <row r="171" customHeight="1" spans="1:3">
      <c r="A171" s="44"/>
      <c r="B171" s="45"/>
      <c r="C171" s="46"/>
    </row>
    <row r="172" customHeight="1" spans="1:3">
      <c r="A172" s="44"/>
      <c r="B172" s="45"/>
      <c r="C172" s="46"/>
    </row>
    <row r="173" customHeight="1" spans="1:3">
      <c r="A173" s="44"/>
      <c r="B173" s="45"/>
      <c r="C173" s="46"/>
    </row>
    <row r="174" customHeight="1" spans="1:3">
      <c r="A174" s="44"/>
      <c r="B174" s="45"/>
      <c r="C174" s="46"/>
    </row>
    <row r="175" customHeight="1" spans="1:3">
      <c r="A175" s="44"/>
      <c r="B175" s="45"/>
      <c r="C175" s="46"/>
    </row>
    <row r="176" customHeight="1" spans="1:3">
      <c r="A176" s="44"/>
      <c r="B176" s="45"/>
      <c r="C176" s="46"/>
    </row>
    <row r="177" customHeight="1" spans="1:3">
      <c r="A177" s="44"/>
      <c r="B177" s="45"/>
      <c r="C177" s="46"/>
    </row>
    <row r="178" customHeight="1" spans="1:3">
      <c r="A178" s="44"/>
      <c r="B178" s="45"/>
      <c r="C178" s="46"/>
    </row>
    <row r="179" customHeight="1" spans="1:3">
      <c r="A179" s="44"/>
      <c r="B179" s="45"/>
      <c r="C179" s="46"/>
    </row>
    <row r="180" customHeight="1" spans="1:3">
      <c r="A180" s="44"/>
      <c r="B180" s="45"/>
      <c r="C180" s="46"/>
    </row>
    <row r="181" customHeight="1" spans="1:3">
      <c r="A181" s="44"/>
      <c r="B181" s="45"/>
      <c r="C181" s="46"/>
    </row>
    <row r="182" customHeight="1" spans="1:3">
      <c r="A182" s="44"/>
      <c r="B182" s="45"/>
      <c r="C182" s="46"/>
    </row>
    <row r="183" customHeight="1" spans="1:3">
      <c r="A183" s="44"/>
      <c r="B183" s="45"/>
      <c r="C183" s="46"/>
    </row>
    <row r="184" customHeight="1" spans="1:3">
      <c r="A184" s="44"/>
      <c r="B184" s="45"/>
      <c r="C184" s="46"/>
    </row>
    <row r="185" customHeight="1" spans="1:3">
      <c r="A185" s="44"/>
      <c r="B185" s="45"/>
      <c r="C185" s="46"/>
    </row>
    <row r="186" customHeight="1" spans="1:3">
      <c r="A186" s="44"/>
      <c r="B186" s="45"/>
      <c r="C186" s="46"/>
    </row>
    <row r="187" customHeight="1" spans="1:3">
      <c r="A187" s="44"/>
      <c r="B187" s="45"/>
      <c r="C187" s="46"/>
    </row>
    <row r="188" customHeight="1" spans="1:3">
      <c r="A188" s="44"/>
      <c r="B188" s="45"/>
      <c r="C188" s="46"/>
    </row>
    <row r="189" customHeight="1" spans="1:3">
      <c r="A189" s="44"/>
      <c r="B189" s="45"/>
      <c r="C189" s="46"/>
    </row>
    <row r="190" customHeight="1" spans="1:3">
      <c r="A190" s="44"/>
      <c r="B190" s="45"/>
      <c r="C190" s="46"/>
    </row>
    <row r="191" customHeight="1" spans="1:3">
      <c r="A191" s="44"/>
      <c r="B191" s="45"/>
      <c r="C191" s="46"/>
    </row>
    <row r="192" customHeight="1" spans="1:3">
      <c r="A192" s="44"/>
      <c r="B192" s="45"/>
      <c r="C192" s="46"/>
    </row>
    <row r="193" customHeight="1" spans="1:3">
      <c r="A193" s="44"/>
      <c r="B193" s="45"/>
      <c r="C193" s="46"/>
    </row>
    <row r="194" customHeight="1" spans="1:3">
      <c r="A194" s="44"/>
      <c r="B194" s="45"/>
      <c r="C194" s="46"/>
    </row>
    <row r="195" customHeight="1" spans="1:3">
      <c r="A195" s="44"/>
      <c r="B195" s="45"/>
      <c r="C195" s="46"/>
    </row>
    <row r="196" customHeight="1" spans="1:3">
      <c r="A196" s="44"/>
      <c r="B196" s="45"/>
      <c r="C196" s="46"/>
    </row>
    <row r="197" customHeight="1" spans="1:3">
      <c r="A197" s="44"/>
      <c r="B197" s="45"/>
      <c r="C197" s="46"/>
    </row>
    <row r="198" customHeight="1" spans="1:3">
      <c r="A198" s="44"/>
      <c r="B198" s="45"/>
      <c r="C198" s="46"/>
    </row>
    <row r="199" customHeight="1" spans="1:3">
      <c r="A199" s="44"/>
      <c r="B199" s="45"/>
      <c r="C199" s="46"/>
    </row>
    <row r="200" customHeight="1" spans="1:3">
      <c r="A200" s="44"/>
      <c r="B200" s="45"/>
      <c r="C200" s="46"/>
    </row>
    <row r="201" customHeight="1" spans="1:3">
      <c r="A201" s="44"/>
      <c r="B201" s="45"/>
      <c r="C201" s="46"/>
    </row>
    <row r="202" customHeight="1" spans="1:3">
      <c r="A202" s="44"/>
      <c r="B202" s="45"/>
      <c r="C202" s="46"/>
    </row>
    <row r="203" customHeight="1" spans="1:3">
      <c r="A203" s="44"/>
      <c r="B203" s="45"/>
      <c r="C203" s="46"/>
    </row>
    <row r="204" customHeight="1" spans="1:3">
      <c r="A204" s="44"/>
      <c r="B204" s="45"/>
      <c r="C204" s="46"/>
    </row>
    <row r="205" customHeight="1" spans="1:3">
      <c r="A205" s="44"/>
      <c r="B205" s="45"/>
      <c r="C205" s="46"/>
    </row>
    <row r="206" customHeight="1" spans="1:3">
      <c r="A206" s="44"/>
      <c r="B206" s="45"/>
      <c r="C206" s="46"/>
    </row>
    <row r="207" customHeight="1" spans="1:3">
      <c r="A207" s="44"/>
      <c r="B207" s="45"/>
      <c r="C207" s="46"/>
    </row>
    <row r="208" customHeight="1" spans="1:3">
      <c r="A208" s="44"/>
      <c r="B208" s="45"/>
      <c r="C208" s="46"/>
    </row>
    <row r="209" customHeight="1" spans="1:3">
      <c r="A209" s="44"/>
      <c r="B209" s="45"/>
      <c r="C209" s="46"/>
    </row>
    <row r="210" customHeight="1" spans="1:3">
      <c r="A210" s="44"/>
      <c r="B210" s="45"/>
      <c r="C210" s="46"/>
    </row>
    <row r="211" customHeight="1" spans="1:3">
      <c r="A211" s="44"/>
      <c r="B211" s="45"/>
      <c r="C211" s="46"/>
    </row>
    <row r="212" customHeight="1" spans="1:3">
      <c r="A212" s="44"/>
      <c r="B212" s="45"/>
      <c r="C212" s="46"/>
    </row>
    <row r="213" customHeight="1" spans="1:3">
      <c r="A213" s="44"/>
      <c r="B213" s="45"/>
      <c r="C213" s="46"/>
    </row>
    <row r="214" customHeight="1" spans="1:3">
      <c r="A214" s="44"/>
      <c r="B214" s="45"/>
      <c r="C214" s="46"/>
    </row>
    <row r="215" customHeight="1" spans="1:3">
      <c r="A215" s="44"/>
      <c r="B215" s="45"/>
      <c r="C215" s="46"/>
    </row>
    <row r="216" customHeight="1" spans="1:3">
      <c r="A216" s="44"/>
      <c r="B216" s="45"/>
      <c r="C216" s="46"/>
    </row>
    <row r="217" customHeight="1" spans="1:3">
      <c r="A217" s="44"/>
      <c r="B217" s="45"/>
      <c r="C217" s="46"/>
    </row>
    <row r="218" customHeight="1" spans="1:3">
      <c r="A218" s="44"/>
      <c r="B218" s="45"/>
      <c r="C218" s="46"/>
    </row>
    <row r="219" customHeight="1" spans="1:3">
      <c r="A219" s="44"/>
      <c r="B219" s="45"/>
      <c r="C219" s="46"/>
    </row>
    <row r="220" customHeight="1" spans="1:3">
      <c r="A220" s="44"/>
      <c r="B220" s="45"/>
      <c r="C220" s="46"/>
    </row>
    <row r="221" customHeight="1" spans="1:3">
      <c r="A221" s="44"/>
      <c r="B221" s="45"/>
      <c r="C221" s="46"/>
    </row>
    <row r="222" customHeight="1" spans="1:3">
      <c r="A222" s="44"/>
      <c r="B222" s="45"/>
      <c r="C222" s="46"/>
    </row>
    <row r="223" customHeight="1" spans="1:3">
      <c r="A223" s="44"/>
      <c r="B223" s="45"/>
      <c r="C223" s="46"/>
    </row>
    <row r="224" customHeight="1" spans="1:3">
      <c r="A224" s="44"/>
      <c r="B224" s="45"/>
      <c r="C224" s="46"/>
    </row>
    <row r="225" customHeight="1" spans="1:3">
      <c r="A225" s="44"/>
      <c r="B225" s="45"/>
      <c r="C225" s="46"/>
    </row>
    <row r="226" customHeight="1" spans="1:3">
      <c r="A226" s="44"/>
      <c r="B226" s="45"/>
      <c r="C226" s="46"/>
    </row>
    <row r="227" customHeight="1" spans="1:3">
      <c r="A227" s="44"/>
      <c r="B227" s="45"/>
      <c r="C227" s="46"/>
    </row>
    <row r="228" customHeight="1" spans="1:3">
      <c r="A228" s="44"/>
      <c r="B228" s="45"/>
      <c r="C228" s="46"/>
    </row>
    <row r="229" customHeight="1" spans="1:3">
      <c r="A229" s="44"/>
      <c r="B229" s="45"/>
      <c r="C229" s="46"/>
    </row>
    <row r="230" customHeight="1" spans="1:3">
      <c r="A230" s="44"/>
      <c r="B230" s="45"/>
      <c r="C230" s="46"/>
    </row>
    <row r="231" customHeight="1" spans="1:3">
      <c r="A231" s="44"/>
      <c r="B231" s="45"/>
      <c r="C231" s="46"/>
    </row>
    <row r="232" customHeight="1" spans="1:3">
      <c r="A232" s="44"/>
      <c r="B232" s="45"/>
      <c r="C232" s="46"/>
    </row>
    <row r="233" customHeight="1" spans="1:3">
      <c r="A233" s="44"/>
      <c r="B233" s="45"/>
      <c r="C233" s="46"/>
    </row>
    <row r="234" customHeight="1" spans="1:3">
      <c r="A234" s="44"/>
      <c r="B234" s="45"/>
      <c r="C234" s="46"/>
    </row>
    <row r="235" customHeight="1" spans="1:3">
      <c r="A235" s="44"/>
      <c r="B235" s="45"/>
      <c r="C235" s="46"/>
    </row>
    <row r="236" customHeight="1" spans="1:3">
      <c r="A236" s="44"/>
      <c r="B236" s="45"/>
      <c r="C236" s="46"/>
    </row>
    <row r="237" customHeight="1" spans="1:3">
      <c r="A237" s="44"/>
      <c r="B237" s="45"/>
      <c r="C237" s="46"/>
    </row>
    <row r="238" customHeight="1" spans="1:3">
      <c r="A238" s="44"/>
      <c r="B238" s="45"/>
      <c r="C238" s="46"/>
    </row>
    <row r="239" customHeight="1" spans="1:3">
      <c r="A239" s="44"/>
      <c r="B239" s="45"/>
      <c r="C239" s="46"/>
    </row>
    <row r="240" customHeight="1" spans="1:3">
      <c r="A240" s="44"/>
      <c r="B240" s="45"/>
      <c r="C240" s="46"/>
    </row>
    <row r="241" customHeight="1" spans="1:3">
      <c r="A241" s="44"/>
      <c r="B241" s="45"/>
      <c r="C241" s="46"/>
    </row>
    <row r="242" customHeight="1" spans="1:3">
      <c r="A242" s="44"/>
      <c r="B242" s="45"/>
      <c r="C242" s="46"/>
    </row>
    <row r="243" customHeight="1" spans="1:3">
      <c r="A243" s="44"/>
      <c r="B243" s="45"/>
      <c r="C243" s="46"/>
    </row>
    <row r="244" customHeight="1" spans="1:3">
      <c r="A244" s="44"/>
      <c r="B244" s="45"/>
      <c r="C244" s="46"/>
    </row>
    <row r="245" customHeight="1" spans="1:3">
      <c r="A245" s="44"/>
      <c r="B245" s="45"/>
      <c r="C245" s="46"/>
    </row>
    <row r="246" customHeight="1" spans="1:3">
      <c r="A246" s="44"/>
      <c r="B246" s="45"/>
      <c r="C246" s="46"/>
    </row>
    <row r="247" customHeight="1" spans="1:3">
      <c r="A247" s="44"/>
      <c r="B247" s="45"/>
      <c r="C247" s="46"/>
    </row>
    <row r="248" customHeight="1" spans="1:3">
      <c r="A248" s="44"/>
      <c r="B248" s="45"/>
      <c r="C248" s="46"/>
    </row>
    <row r="249" customHeight="1" spans="1:3">
      <c r="A249" s="44"/>
      <c r="B249" s="45"/>
      <c r="C249" s="46"/>
    </row>
    <row r="250" customHeight="1" spans="1:3">
      <c r="A250" s="44"/>
      <c r="B250" s="45"/>
      <c r="C250" s="46"/>
    </row>
    <row r="251" customHeight="1" spans="1:3">
      <c r="A251" s="44"/>
      <c r="B251" s="45"/>
      <c r="C251" s="46"/>
    </row>
    <row r="252" customHeight="1" spans="1:3">
      <c r="A252" s="44"/>
      <c r="B252" s="45"/>
      <c r="C252" s="46"/>
    </row>
    <row r="253" customHeight="1" spans="1:3">
      <c r="A253" s="44"/>
      <c r="B253" s="45"/>
      <c r="C253" s="46"/>
    </row>
    <row r="254" customHeight="1" spans="1:3">
      <c r="A254" s="44"/>
      <c r="B254" s="45"/>
      <c r="C254" s="46"/>
    </row>
    <row r="255" customHeight="1" spans="1:3">
      <c r="A255" s="44"/>
      <c r="B255" s="45"/>
      <c r="C255" s="46"/>
    </row>
    <row r="256" customHeight="1" spans="1:3">
      <c r="A256" s="44"/>
      <c r="B256" s="45"/>
      <c r="C256" s="46"/>
    </row>
    <row r="257" customHeight="1" spans="1:3">
      <c r="A257" s="44"/>
      <c r="B257" s="45"/>
      <c r="C257" s="46"/>
    </row>
    <row r="258" customHeight="1" spans="1:3">
      <c r="A258" s="44"/>
      <c r="B258" s="45"/>
      <c r="C258" s="46"/>
    </row>
    <row r="259" customHeight="1" spans="1:3">
      <c r="A259" s="44"/>
      <c r="B259" s="45"/>
      <c r="C259" s="46"/>
    </row>
    <row r="260" customHeight="1" spans="1:3">
      <c r="A260" s="44"/>
      <c r="B260" s="45"/>
      <c r="C260" s="46"/>
    </row>
    <row r="261" customHeight="1" spans="1:3">
      <c r="A261" s="44"/>
      <c r="B261" s="45"/>
      <c r="C261" s="46"/>
    </row>
    <row r="262" customHeight="1" spans="1:3">
      <c r="A262" s="44"/>
      <c r="B262" s="45"/>
      <c r="C262" s="46"/>
    </row>
    <row r="263" customHeight="1" spans="1:3">
      <c r="A263" s="44"/>
      <c r="B263" s="45"/>
      <c r="C263" s="46"/>
    </row>
    <row r="264" customHeight="1" spans="1:3">
      <c r="A264" s="44"/>
      <c r="B264" s="45"/>
      <c r="C264" s="46"/>
    </row>
    <row r="265" customHeight="1" spans="1:3">
      <c r="A265" s="44"/>
      <c r="B265" s="45"/>
      <c r="C265" s="46"/>
    </row>
    <row r="266" customHeight="1" spans="1:3">
      <c r="A266" s="44"/>
      <c r="B266" s="45"/>
      <c r="C266" s="46"/>
    </row>
    <row r="267" customHeight="1" spans="1:3">
      <c r="A267" s="44"/>
      <c r="B267" s="45"/>
      <c r="C267" s="46"/>
    </row>
    <row r="268" customHeight="1" spans="1:3">
      <c r="A268" s="44"/>
      <c r="B268" s="45"/>
      <c r="C268" s="46"/>
    </row>
    <row r="269" customHeight="1" spans="1:3">
      <c r="A269" s="44"/>
      <c r="B269" s="45"/>
      <c r="C269" s="46"/>
    </row>
    <row r="270" customHeight="1" spans="1:3">
      <c r="A270" s="44"/>
      <c r="B270" s="45"/>
      <c r="C270" s="46"/>
    </row>
    <row r="271" customHeight="1" spans="1:3">
      <c r="A271" s="44"/>
      <c r="B271" s="45"/>
      <c r="C271" s="46"/>
    </row>
    <row r="272" customHeight="1" spans="1:3">
      <c r="A272" s="44"/>
      <c r="B272" s="45"/>
      <c r="C272" s="46"/>
    </row>
    <row r="273" customHeight="1" spans="1:3">
      <c r="A273" s="44"/>
      <c r="B273" s="45"/>
      <c r="C273" s="46"/>
    </row>
    <row r="274" customHeight="1" spans="1:3">
      <c r="A274" s="44"/>
      <c r="B274" s="45"/>
      <c r="C274" s="46"/>
    </row>
    <row r="275" customHeight="1" spans="1:3">
      <c r="A275" s="44"/>
      <c r="B275" s="45"/>
      <c r="C275" s="46"/>
    </row>
    <row r="276" customHeight="1" spans="1:3">
      <c r="A276" s="44"/>
      <c r="B276" s="45"/>
      <c r="C276" s="46"/>
    </row>
    <row r="277" customHeight="1" spans="1:3">
      <c r="A277" s="44"/>
      <c r="B277" s="45"/>
      <c r="C277" s="46"/>
    </row>
    <row r="278" customHeight="1" spans="1:3">
      <c r="A278" s="44"/>
      <c r="B278" s="45"/>
      <c r="C278" s="46"/>
    </row>
    <row r="279" customHeight="1" spans="1:3">
      <c r="A279" s="44"/>
      <c r="B279" s="45"/>
      <c r="C279" s="46"/>
    </row>
    <row r="280" customHeight="1" spans="1:3">
      <c r="A280" s="44"/>
      <c r="B280" s="45"/>
      <c r="C280" s="46"/>
    </row>
    <row r="281" customHeight="1" spans="1:3">
      <c r="A281" s="44"/>
      <c r="B281" s="45"/>
      <c r="C281" s="46"/>
    </row>
    <row r="282" customHeight="1" spans="1:3">
      <c r="A282" s="44"/>
      <c r="B282" s="45"/>
      <c r="C282" s="46"/>
    </row>
    <row r="283" customHeight="1" spans="1:3">
      <c r="A283" s="44"/>
      <c r="B283" s="45"/>
      <c r="C283" s="46"/>
    </row>
    <row r="284" customHeight="1" spans="1:3">
      <c r="A284" s="44"/>
      <c r="B284" s="45"/>
      <c r="C284" s="46"/>
    </row>
    <row r="285" customHeight="1" spans="1:3">
      <c r="A285" s="44"/>
      <c r="B285" s="45"/>
      <c r="C285" s="46"/>
    </row>
    <row r="286" customHeight="1" spans="1:3">
      <c r="A286" s="44"/>
      <c r="B286" s="45"/>
      <c r="C286" s="46"/>
    </row>
    <row r="287" customHeight="1" spans="1:3">
      <c r="A287" s="44"/>
      <c r="B287" s="45"/>
      <c r="C287" s="46"/>
    </row>
    <row r="288" customHeight="1" spans="1:3">
      <c r="A288" s="44"/>
      <c r="B288" s="45"/>
      <c r="C288" s="46"/>
    </row>
    <row r="289" customHeight="1" spans="1:3">
      <c r="A289" s="44"/>
      <c r="B289" s="45"/>
      <c r="C289" s="46"/>
    </row>
    <row r="290" customHeight="1" spans="1:3">
      <c r="A290" s="44"/>
      <c r="B290" s="45"/>
      <c r="C290" s="46"/>
    </row>
    <row r="291" customHeight="1" spans="1:3">
      <c r="A291" s="44"/>
      <c r="B291" s="45"/>
      <c r="C291" s="46"/>
    </row>
    <row r="292" customHeight="1" spans="1:3">
      <c r="A292" s="44"/>
      <c r="B292" s="45"/>
      <c r="C292" s="46"/>
    </row>
    <row r="293" customHeight="1" spans="1:3">
      <c r="A293" s="44"/>
      <c r="B293" s="45"/>
      <c r="C293" s="46"/>
    </row>
    <row r="294" customHeight="1" spans="1:3">
      <c r="A294" s="44"/>
      <c r="B294" s="45"/>
      <c r="C294" s="46"/>
    </row>
    <row r="295" customHeight="1" spans="1:3">
      <c r="A295" s="44"/>
      <c r="B295" s="45"/>
      <c r="C295" s="46"/>
    </row>
    <row r="296" customHeight="1" spans="1:3">
      <c r="A296" s="44"/>
      <c r="B296" s="45"/>
      <c r="C296" s="46"/>
    </row>
    <row r="297" customHeight="1" spans="1:3">
      <c r="A297" s="44"/>
      <c r="B297" s="45"/>
      <c r="C297" s="46"/>
    </row>
    <row r="298" customHeight="1" spans="1:3">
      <c r="A298" s="44"/>
      <c r="B298" s="45"/>
      <c r="C298" s="46"/>
    </row>
    <row r="299" customHeight="1" spans="1:3">
      <c r="A299" s="44"/>
      <c r="B299" s="45"/>
      <c r="C299" s="46"/>
    </row>
    <row r="300" customHeight="1" spans="1:3">
      <c r="A300" s="44"/>
      <c r="B300" s="45"/>
      <c r="C300" s="46"/>
    </row>
    <row r="301" customHeight="1" spans="1:3">
      <c r="A301" s="44"/>
      <c r="B301" s="45"/>
      <c r="C301" s="46"/>
    </row>
    <row r="302" customHeight="1" spans="1:3">
      <c r="A302" s="44"/>
      <c r="B302" s="45"/>
      <c r="C302" s="46"/>
    </row>
    <row r="303" customHeight="1" spans="1:3">
      <c r="A303" s="44"/>
      <c r="B303" s="45"/>
      <c r="C303" s="46"/>
    </row>
    <row r="304" customHeight="1" spans="1:3">
      <c r="A304" s="44"/>
      <c r="B304" s="45"/>
      <c r="C304" s="46"/>
    </row>
    <row r="305" customHeight="1" spans="1:3">
      <c r="A305" s="44"/>
      <c r="B305" s="45"/>
      <c r="C305" s="46"/>
    </row>
    <row r="306" customHeight="1" spans="1:3">
      <c r="A306" s="44"/>
      <c r="B306" s="45"/>
      <c r="C306" s="46"/>
    </row>
    <row r="307" customHeight="1" spans="1:3">
      <c r="A307" s="44"/>
      <c r="B307" s="45"/>
      <c r="C307" s="46"/>
    </row>
    <row r="308" customHeight="1" spans="1:3">
      <c r="A308" s="44"/>
      <c r="B308" s="45"/>
      <c r="C308" s="46"/>
    </row>
    <row r="309" customHeight="1" spans="1:3">
      <c r="A309" s="44"/>
      <c r="B309" s="45"/>
      <c r="C309" s="46"/>
    </row>
    <row r="310" customHeight="1" spans="1:3">
      <c r="A310" s="44"/>
      <c r="B310" s="45"/>
      <c r="C310" s="46"/>
    </row>
    <row r="311" customHeight="1" spans="1:3">
      <c r="A311" s="44"/>
      <c r="B311" s="45"/>
      <c r="C311" s="46"/>
    </row>
    <row r="312" customHeight="1" spans="1:3">
      <c r="A312" s="44"/>
      <c r="B312" s="45"/>
      <c r="C312" s="46"/>
    </row>
    <row r="313" customHeight="1" spans="1:3">
      <c r="A313" s="44"/>
      <c r="B313" s="45"/>
      <c r="C313" s="46"/>
    </row>
    <row r="314" customHeight="1" spans="1:3">
      <c r="A314" s="44"/>
      <c r="B314" s="45"/>
      <c r="C314" s="46"/>
    </row>
    <row r="315" customHeight="1" spans="1:3">
      <c r="A315" s="44"/>
      <c r="B315" s="45"/>
      <c r="C315" s="46"/>
    </row>
    <row r="316" customHeight="1" spans="1:3">
      <c r="A316" s="44"/>
      <c r="B316" s="45"/>
      <c r="C316" s="46"/>
    </row>
    <row r="317" customHeight="1" spans="1:3">
      <c r="A317" s="44"/>
      <c r="B317" s="45"/>
      <c r="C317" s="46"/>
    </row>
    <row r="318" customHeight="1" spans="1:3">
      <c r="A318" s="44"/>
      <c r="B318" s="45"/>
      <c r="C318" s="46"/>
    </row>
    <row r="319" customHeight="1" spans="1:3">
      <c r="A319" s="44"/>
      <c r="B319" s="45"/>
      <c r="C319" s="46"/>
    </row>
    <row r="320" customHeight="1" spans="1:3">
      <c r="A320" s="44"/>
      <c r="B320" s="45"/>
      <c r="C320" s="46"/>
    </row>
    <row r="321" customHeight="1" spans="1:3">
      <c r="A321" s="44"/>
      <c r="B321" s="45"/>
      <c r="C321" s="46"/>
    </row>
    <row r="322" customHeight="1" spans="1:3">
      <c r="A322" s="44"/>
      <c r="B322" s="45"/>
      <c r="C322" s="46"/>
    </row>
    <row r="323" customHeight="1" spans="1:3">
      <c r="A323" s="44"/>
      <c r="B323" s="45"/>
      <c r="C323" s="46"/>
    </row>
    <row r="324" customHeight="1" spans="1:3">
      <c r="A324" s="44"/>
      <c r="B324" s="45"/>
      <c r="C324" s="46"/>
    </row>
    <row r="325" customHeight="1" spans="1:3">
      <c r="A325" s="44"/>
      <c r="B325" s="45"/>
      <c r="C325" s="46"/>
    </row>
    <row r="326" customHeight="1" spans="1:3">
      <c r="A326" s="44"/>
      <c r="B326" s="45"/>
      <c r="C326" s="46"/>
    </row>
    <row r="327" customHeight="1" spans="1:3">
      <c r="A327" s="44"/>
      <c r="B327" s="45"/>
      <c r="C327" s="46"/>
    </row>
    <row r="328" customHeight="1" spans="1:3">
      <c r="A328" s="44"/>
      <c r="B328" s="45"/>
      <c r="C328" s="46"/>
    </row>
    <row r="329" customHeight="1" spans="1:3">
      <c r="A329" s="44"/>
      <c r="B329" s="45"/>
      <c r="C329" s="46"/>
    </row>
    <row r="330" customHeight="1" spans="1:3">
      <c r="A330" s="44"/>
      <c r="B330" s="45"/>
      <c r="C330" s="46"/>
    </row>
    <row r="331" customHeight="1" spans="1:3">
      <c r="A331" s="44"/>
      <c r="B331" s="45"/>
      <c r="C331" s="46"/>
    </row>
    <row r="332" customHeight="1" spans="1:3">
      <c r="A332" s="44"/>
      <c r="B332" s="45"/>
      <c r="C332" s="46"/>
    </row>
    <row r="333" customHeight="1" spans="1:3">
      <c r="A333" s="44"/>
      <c r="B333" s="45"/>
      <c r="C333" s="46"/>
    </row>
    <row r="334" customHeight="1" spans="1:3">
      <c r="A334" s="44"/>
      <c r="B334" s="45"/>
      <c r="C334" s="46"/>
    </row>
    <row r="335" customHeight="1" spans="1:3">
      <c r="A335" s="44"/>
      <c r="B335" s="45"/>
      <c r="C335" s="46"/>
    </row>
    <row r="336" customHeight="1" spans="1:3">
      <c r="A336" s="44"/>
      <c r="B336" s="45"/>
      <c r="C336" s="46"/>
    </row>
    <row r="337" customHeight="1" spans="1:3">
      <c r="A337" s="44"/>
      <c r="B337" s="45"/>
      <c r="C337" s="46"/>
    </row>
    <row r="338" customHeight="1" spans="1:3">
      <c r="A338" s="44"/>
      <c r="B338" s="45"/>
      <c r="C338" s="46"/>
    </row>
    <row r="339" customHeight="1" spans="1:3">
      <c r="A339" s="44"/>
      <c r="B339" s="45"/>
      <c r="C339" s="46"/>
    </row>
    <row r="340" customHeight="1" spans="1:3">
      <c r="A340" s="44"/>
      <c r="B340" s="45"/>
      <c r="C340" s="46"/>
    </row>
    <row r="341" customHeight="1" spans="1:3">
      <c r="A341" s="44"/>
      <c r="B341" s="45"/>
      <c r="C341" s="46"/>
    </row>
    <row r="342" customHeight="1" spans="1:3">
      <c r="A342" s="44"/>
      <c r="B342" s="45"/>
      <c r="C342" s="46"/>
    </row>
    <row r="343" customHeight="1" spans="1:3">
      <c r="A343" s="44"/>
      <c r="B343" s="45"/>
      <c r="C343" s="46"/>
    </row>
    <row r="344" customHeight="1" spans="1:3">
      <c r="A344" s="44"/>
      <c r="B344" s="45"/>
      <c r="C344" s="46"/>
    </row>
    <row r="345" customHeight="1" spans="1:3">
      <c r="A345" s="44"/>
      <c r="B345" s="45"/>
      <c r="C345" s="46"/>
    </row>
    <row r="346" customHeight="1" spans="1:3">
      <c r="A346" s="44"/>
      <c r="B346" s="45"/>
      <c r="C346" s="46"/>
    </row>
    <row r="347" customHeight="1" spans="1:3">
      <c r="A347" s="44"/>
      <c r="B347" s="45"/>
      <c r="C347" s="46"/>
    </row>
    <row r="348" customHeight="1" spans="1:3">
      <c r="A348" s="44"/>
      <c r="B348" s="45"/>
      <c r="C348" s="46"/>
    </row>
    <row r="349" customHeight="1" spans="1:3">
      <c r="A349" s="44"/>
      <c r="B349" s="45"/>
      <c r="C349" s="46"/>
    </row>
    <row r="350" customHeight="1" spans="1:3">
      <c r="A350" s="44"/>
      <c r="B350" s="45"/>
      <c r="C350" s="46"/>
    </row>
    <row r="351" customHeight="1" spans="1:3">
      <c r="A351" s="44"/>
      <c r="B351" s="45"/>
      <c r="C351" s="46"/>
    </row>
    <row r="352" customHeight="1" spans="1:3">
      <c r="A352" s="44"/>
      <c r="B352" s="45"/>
      <c r="C352" s="46"/>
    </row>
    <row r="353" customHeight="1" spans="1:3">
      <c r="A353" s="44"/>
      <c r="B353" s="45"/>
      <c r="C353" s="46"/>
    </row>
    <row r="354" customHeight="1" spans="1:3">
      <c r="A354" s="44"/>
      <c r="B354" s="45"/>
      <c r="C354" s="46"/>
    </row>
    <row r="355" customHeight="1" spans="1:3">
      <c r="A355" s="44"/>
      <c r="B355" s="45"/>
      <c r="C355" s="46"/>
    </row>
    <row r="356" customHeight="1" spans="1:3">
      <c r="A356" s="44"/>
      <c r="B356" s="45"/>
      <c r="C356" s="46"/>
    </row>
    <row r="357" customHeight="1" spans="1:3">
      <c r="A357" s="44"/>
      <c r="B357" s="45"/>
      <c r="C357" s="46"/>
    </row>
    <row r="358" customHeight="1" spans="1:3">
      <c r="A358" s="44"/>
      <c r="B358" s="45"/>
      <c r="C358" s="46"/>
    </row>
    <row r="359" customHeight="1" spans="1:3">
      <c r="A359" s="44"/>
      <c r="B359" s="45"/>
      <c r="C359" s="46"/>
    </row>
    <row r="360" customHeight="1" spans="1:3">
      <c r="A360" s="44"/>
      <c r="B360" s="45"/>
      <c r="C360" s="46"/>
    </row>
    <row r="361" customHeight="1" spans="1:3">
      <c r="A361" s="44"/>
      <c r="B361" s="45"/>
      <c r="C361" s="46"/>
    </row>
    <row r="362" customHeight="1" spans="1:3">
      <c r="A362" s="44"/>
      <c r="B362" s="45"/>
      <c r="C362" s="46"/>
    </row>
    <row r="363" customHeight="1" spans="1:3">
      <c r="A363" s="44"/>
      <c r="B363" s="45"/>
      <c r="C363" s="46"/>
    </row>
    <row r="364" customHeight="1" spans="1:3">
      <c r="A364" s="44"/>
      <c r="B364" s="45"/>
      <c r="C364" s="46"/>
    </row>
    <row r="365" customHeight="1" spans="1:3">
      <c r="A365" s="44"/>
      <c r="B365" s="45"/>
      <c r="C365" s="46"/>
    </row>
    <row r="366" customHeight="1" spans="1:3">
      <c r="A366" s="44"/>
      <c r="B366" s="45"/>
      <c r="C366" s="46"/>
    </row>
    <row r="367" customHeight="1" spans="1:3">
      <c r="A367" s="44"/>
      <c r="B367" s="45"/>
      <c r="C367" s="46"/>
    </row>
    <row r="368" customHeight="1" spans="1:3">
      <c r="A368" s="44"/>
      <c r="B368" s="45"/>
      <c r="C368" s="46"/>
    </row>
    <row r="369" customHeight="1" spans="1:3">
      <c r="A369" s="44"/>
      <c r="B369" s="45"/>
      <c r="C369" s="46"/>
    </row>
    <row r="370" customHeight="1" spans="1:3">
      <c r="A370" s="44"/>
      <c r="B370" s="45"/>
      <c r="C370" s="46"/>
    </row>
    <row r="371" customHeight="1" spans="1:3">
      <c r="A371" s="44"/>
      <c r="B371" s="45"/>
      <c r="C371" s="46"/>
    </row>
    <row r="372" customHeight="1" spans="1:3">
      <c r="A372" s="44"/>
      <c r="B372" s="45"/>
      <c r="C372" s="46"/>
    </row>
    <row r="373" customHeight="1" spans="1:3">
      <c r="A373" s="44"/>
      <c r="B373" s="45"/>
      <c r="C373" s="46"/>
    </row>
    <row r="374" customHeight="1" spans="1:3">
      <c r="A374" s="44"/>
      <c r="B374" s="45"/>
      <c r="C374" s="46"/>
    </row>
    <row r="375" customHeight="1" spans="1:3">
      <c r="A375" s="44"/>
      <c r="B375" s="45"/>
      <c r="C375" s="46"/>
    </row>
    <row r="376" customHeight="1" spans="1:3">
      <c r="A376" s="44"/>
      <c r="B376" s="45"/>
      <c r="C376" s="46"/>
    </row>
    <row r="377" customHeight="1" spans="1:3">
      <c r="A377" s="44"/>
      <c r="B377" s="45"/>
      <c r="C377" s="46"/>
    </row>
    <row r="378" customHeight="1" spans="1:3">
      <c r="A378" s="44"/>
      <c r="B378" s="45"/>
      <c r="C378" s="46"/>
    </row>
    <row r="379" customHeight="1" spans="1:3">
      <c r="A379" s="44"/>
      <c r="B379" s="45"/>
      <c r="C379" s="46"/>
    </row>
    <row r="380" customHeight="1" spans="1:3">
      <c r="A380" s="44"/>
      <c r="B380" s="45"/>
      <c r="C380" s="46"/>
    </row>
    <row r="381" customHeight="1" spans="1:3">
      <c r="A381" s="44"/>
      <c r="B381" s="45"/>
      <c r="C381" s="46"/>
    </row>
    <row r="382" customHeight="1" spans="1:3">
      <c r="A382" s="44"/>
      <c r="B382" s="45"/>
      <c r="C382" s="46"/>
    </row>
    <row r="383" customHeight="1" spans="1:3">
      <c r="A383" s="44"/>
      <c r="B383" s="45"/>
      <c r="C383" s="46"/>
    </row>
    <row r="384" customHeight="1" spans="1:3">
      <c r="A384" s="44"/>
      <c r="B384" s="45"/>
      <c r="C384" s="46"/>
    </row>
    <row r="385" customHeight="1" spans="1:3">
      <c r="A385" s="44"/>
      <c r="B385" s="45"/>
      <c r="C385" s="46"/>
    </row>
    <row r="386" customHeight="1" spans="1:3">
      <c r="A386" s="44"/>
      <c r="B386" s="45"/>
      <c r="C386" s="46"/>
    </row>
    <row r="387" customHeight="1" spans="1:3">
      <c r="A387" s="44"/>
      <c r="B387" s="45"/>
      <c r="C387" s="46"/>
    </row>
    <row r="388" customHeight="1" spans="1:3">
      <c r="A388" s="44"/>
      <c r="B388" s="45"/>
      <c r="C388" s="46"/>
    </row>
    <row r="389" customHeight="1" spans="1:3">
      <c r="A389" s="44"/>
      <c r="B389" s="45"/>
      <c r="C389" s="46"/>
    </row>
    <row r="390" customHeight="1" spans="1:3">
      <c r="A390" s="44"/>
      <c r="B390" s="45"/>
      <c r="C390" s="46"/>
    </row>
    <row r="391" customHeight="1" spans="1:3">
      <c r="A391" s="44"/>
      <c r="B391" s="45"/>
      <c r="C391" s="46"/>
    </row>
    <row r="392" customHeight="1" spans="1:3">
      <c r="A392" s="44"/>
      <c r="B392" s="45"/>
      <c r="C392" s="46"/>
    </row>
    <row r="393" customHeight="1" spans="1:3">
      <c r="A393" s="44"/>
      <c r="B393" s="45"/>
      <c r="C393" s="46"/>
    </row>
    <row r="394" customHeight="1" spans="1:3">
      <c r="A394" s="44"/>
      <c r="B394" s="45"/>
      <c r="C394" s="46"/>
    </row>
    <row r="395" customHeight="1" spans="1:3">
      <c r="A395" s="44"/>
      <c r="B395" s="45"/>
      <c r="C395" s="46"/>
    </row>
    <row r="396" customHeight="1" spans="1:3">
      <c r="A396" s="44"/>
      <c r="B396" s="45"/>
      <c r="C396" s="46"/>
    </row>
    <row r="397" customHeight="1" spans="1:3">
      <c r="A397" s="44"/>
      <c r="B397" s="45"/>
      <c r="C397" s="46"/>
    </row>
    <row r="398" customHeight="1" spans="1:3">
      <c r="A398" s="44"/>
      <c r="B398" s="45"/>
      <c r="C398" s="46"/>
    </row>
    <row r="399" customHeight="1" spans="1:3">
      <c r="A399" s="44"/>
      <c r="B399" s="45"/>
      <c r="C399" s="46"/>
    </row>
    <row r="400" customHeight="1" spans="1:3">
      <c r="A400" s="44"/>
      <c r="B400" s="45"/>
      <c r="C400" s="46"/>
    </row>
    <row r="401" customHeight="1" spans="1:3">
      <c r="A401" s="44"/>
      <c r="B401" s="45"/>
      <c r="C401" s="46"/>
    </row>
    <row r="402" customHeight="1" spans="1:3">
      <c r="A402" s="44"/>
      <c r="B402" s="45"/>
      <c r="C402" s="46"/>
    </row>
    <row r="403" customHeight="1" spans="1:3">
      <c r="A403" s="44"/>
      <c r="B403" s="45"/>
      <c r="C403" s="46"/>
    </row>
    <row r="404" customHeight="1" spans="1:3">
      <c r="A404" s="44"/>
      <c r="B404" s="45"/>
      <c r="C404" s="46"/>
    </row>
    <row r="405" customHeight="1" spans="1:3">
      <c r="A405" s="44"/>
      <c r="B405" s="45"/>
      <c r="C405" s="46"/>
    </row>
    <row r="406" customHeight="1" spans="1:3">
      <c r="A406" s="44"/>
      <c r="B406" s="45"/>
      <c r="C406" s="46"/>
    </row>
    <row r="407" customHeight="1" spans="1:3">
      <c r="A407" s="44"/>
      <c r="B407" s="45"/>
      <c r="C407" s="46"/>
    </row>
    <row r="408" customHeight="1" spans="1:3">
      <c r="A408" s="44"/>
      <c r="B408" s="45"/>
      <c r="C408" s="46"/>
    </row>
    <row r="409" customHeight="1" spans="1:3">
      <c r="A409" s="44"/>
      <c r="B409" s="45"/>
      <c r="C409" s="46"/>
    </row>
    <row r="410" customHeight="1" spans="1:3">
      <c r="A410" s="44"/>
      <c r="B410" s="45"/>
      <c r="C410" s="46"/>
    </row>
    <row r="411" customHeight="1" spans="1:3">
      <c r="A411" s="44"/>
      <c r="B411" s="45"/>
      <c r="C411" s="46"/>
    </row>
    <row r="412" customHeight="1" spans="1:3">
      <c r="A412" s="44"/>
      <c r="B412" s="45"/>
      <c r="C412" s="46"/>
    </row>
    <row r="413" customHeight="1" spans="1:3">
      <c r="A413" s="44"/>
      <c r="B413" s="45"/>
      <c r="C413" s="46"/>
    </row>
    <row r="414" customHeight="1" spans="1:3">
      <c r="A414" s="44"/>
      <c r="B414" s="45"/>
      <c r="C414" s="46"/>
    </row>
    <row r="415" customHeight="1" spans="1:3">
      <c r="A415" s="44"/>
      <c r="B415" s="45"/>
      <c r="C415" s="46"/>
    </row>
    <row r="416" customHeight="1" spans="1:3">
      <c r="A416" s="44"/>
      <c r="B416" s="45"/>
      <c r="C416" s="46"/>
    </row>
    <row r="417" customHeight="1" spans="1:3">
      <c r="A417" s="44"/>
      <c r="B417" s="45"/>
      <c r="C417" s="46"/>
    </row>
    <row r="418" customHeight="1" spans="1:3">
      <c r="A418" s="44"/>
      <c r="B418" s="45"/>
      <c r="C418" s="46"/>
    </row>
    <row r="419" customHeight="1" spans="1:3">
      <c r="A419" s="44"/>
      <c r="B419" s="45"/>
      <c r="C419" s="46"/>
    </row>
    <row r="420" customHeight="1" spans="1:3">
      <c r="A420" s="44"/>
      <c r="B420" s="45"/>
      <c r="C420" s="46"/>
    </row>
    <row r="421" customHeight="1" spans="1:3">
      <c r="A421" s="44"/>
      <c r="B421" s="45"/>
      <c r="C421" s="46"/>
    </row>
    <row r="422" customHeight="1" spans="1:3">
      <c r="A422" s="44"/>
      <c r="B422" s="45"/>
      <c r="C422" s="46"/>
    </row>
    <row r="423" customHeight="1" spans="1:3">
      <c r="A423" s="44"/>
      <c r="B423" s="45"/>
      <c r="C423" s="46"/>
    </row>
    <row r="424" customHeight="1" spans="1:3">
      <c r="A424" s="44"/>
      <c r="B424" s="45"/>
      <c r="C424" s="46"/>
    </row>
    <row r="425" customHeight="1" spans="1:3">
      <c r="A425" s="44"/>
      <c r="B425" s="45"/>
      <c r="C425" s="46"/>
    </row>
    <row r="426" customHeight="1" spans="1:3">
      <c r="A426" s="44"/>
      <c r="B426" s="45"/>
      <c r="C426" s="46"/>
    </row>
    <row r="427" customHeight="1" spans="1:3">
      <c r="A427" s="44"/>
      <c r="B427" s="45"/>
      <c r="C427" s="46"/>
    </row>
    <row r="428" customHeight="1" spans="1:3">
      <c r="A428" s="44"/>
      <c r="B428" s="45"/>
      <c r="C428" s="46"/>
    </row>
    <row r="429" customHeight="1" spans="1:3">
      <c r="A429" s="44"/>
      <c r="B429" s="45"/>
      <c r="C429" s="46"/>
    </row>
    <row r="430" customHeight="1" spans="1:3">
      <c r="A430" s="44"/>
      <c r="B430" s="45"/>
      <c r="C430" s="46"/>
    </row>
    <row r="431" customHeight="1" spans="1:3">
      <c r="A431" s="44"/>
      <c r="B431" s="45"/>
      <c r="C431" s="46"/>
    </row>
    <row r="432" customHeight="1" spans="1:3">
      <c r="A432" s="44"/>
      <c r="B432" s="45"/>
      <c r="C432" s="46"/>
    </row>
    <row r="433" customHeight="1" spans="1:3">
      <c r="A433" s="44"/>
      <c r="B433" s="45"/>
      <c r="C433" s="46"/>
    </row>
    <row r="434" customHeight="1" spans="1:3">
      <c r="A434" s="44"/>
      <c r="B434" s="45"/>
      <c r="C434" s="46"/>
    </row>
    <row r="435" customHeight="1" spans="1:3">
      <c r="A435" s="44"/>
      <c r="B435" s="45"/>
      <c r="C435" s="46"/>
    </row>
    <row r="436" customHeight="1" spans="1:3">
      <c r="A436" s="44"/>
      <c r="B436" s="45"/>
      <c r="C436" s="46"/>
    </row>
    <row r="437" customHeight="1" spans="1:3">
      <c r="A437" s="44"/>
      <c r="B437" s="45"/>
      <c r="C437" s="46"/>
    </row>
    <row r="438" customHeight="1" spans="1:3">
      <c r="A438" s="44"/>
      <c r="B438" s="45"/>
      <c r="C438" s="46"/>
    </row>
    <row r="439" customHeight="1" spans="1:3">
      <c r="A439" s="44"/>
      <c r="B439" s="45"/>
      <c r="C439" s="46"/>
    </row>
    <row r="440" customHeight="1" spans="1:3">
      <c r="A440" s="44"/>
      <c r="B440" s="45"/>
      <c r="C440" s="46"/>
    </row>
    <row r="441" customHeight="1" spans="1:3">
      <c r="A441" s="44"/>
      <c r="B441" s="45"/>
      <c r="C441" s="46"/>
    </row>
    <row r="442" customHeight="1" spans="1:3">
      <c r="A442" s="44"/>
      <c r="B442" s="45"/>
      <c r="C442" s="46"/>
    </row>
    <row r="443" customHeight="1" spans="1:3">
      <c r="A443" s="44"/>
      <c r="B443" s="45"/>
      <c r="C443" s="46"/>
    </row>
    <row r="444" customHeight="1" spans="1:3">
      <c r="A444" s="44"/>
      <c r="B444" s="45"/>
      <c r="C444" s="46"/>
    </row>
    <row r="445" customHeight="1" spans="1:3">
      <c r="A445" s="44"/>
      <c r="B445" s="45"/>
      <c r="C445" s="46"/>
    </row>
    <row r="446" customHeight="1" spans="1:3">
      <c r="A446" s="44"/>
      <c r="B446" s="45"/>
      <c r="C446" s="46"/>
    </row>
    <row r="447" customHeight="1" spans="1:3">
      <c r="A447" s="44"/>
      <c r="B447" s="45"/>
      <c r="C447" s="46"/>
    </row>
    <row r="448" customHeight="1" spans="1:3">
      <c r="A448" s="44"/>
      <c r="B448" s="45"/>
      <c r="C448" s="46"/>
    </row>
    <row r="449" customHeight="1" spans="1:3">
      <c r="A449" s="44"/>
      <c r="B449" s="45"/>
      <c r="C449" s="46"/>
    </row>
    <row r="450" customHeight="1" spans="1:3">
      <c r="A450" s="44"/>
      <c r="B450" s="45"/>
      <c r="C450" s="46"/>
    </row>
    <row r="451" customHeight="1" spans="1:3">
      <c r="A451" s="44"/>
      <c r="B451" s="45"/>
      <c r="C451" s="46"/>
    </row>
    <row r="452" customHeight="1" spans="1:3">
      <c r="A452" s="44"/>
      <c r="B452" s="45"/>
      <c r="C452" s="46"/>
    </row>
    <row r="453" customHeight="1" spans="1:3">
      <c r="A453" s="44"/>
      <c r="B453" s="45"/>
      <c r="C453" s="46"/>
    </row>
    <row r="454" customHeight="1" spans="1:3">
      <c r="A454" s="44"/>
      <c r="B454" s="45"/>
      <c r="C454" s="46"/>
    </row>
    <row r="455" customHeight="1" spans="1:3">
      <c r="A455" s="44"/>
      <c r="B455" s="45"/>
      <c r="C455" s="46"/>
    </row>
    <row r="456" customHeight="1" spans="1:3">
      <c r="A456" s="44"/>
      <c r="B456" s="45"/>
      <c r="C456" s="46"/>
    </row>
    <row r="457" customHeight="1" spans="1:3">
      <c r="A457" s="44"/>
      <c r="B457" s="45"/>
      <c r="C457" s="46"/>
    </row>
    <row r="458" customHeight="1" spans="1:3">
      <c r="A458" s="44"/>
      <c r="B458" s="45"/>
      <c r="C458" s="46"/>
    </row>
    <row r="459" customHeight="1" spans="1:3">
      <c r="A459" s="44"/>
      <c r="B459" s="45"/>
      <c r="C459" s="46"/>
    </row>
    <row r="460" customHeight="1" spans="1:3">
      <c r="A460" s="44"/>
      <c r="B460" s="45"/>
      <c r="C460" s="46"/>
    </row>
    <row r="461" customHeight="1" spans="1:3">
      <c r="A461" s="44"/>
      <c r="B461" s="45"/>
      <c r="C461" s="46"/>
    </row>
    <row r="462" customHeight="1" spans="1:3">
      <c r="A462" s="44"/>
      <c r="B462" s="45"/>
      <c r="C462" s="46"/>
    </row>
    <row r="463" customHeight="1" spans="1:3">
      <c r="A463" s="44"/>
      <c r="B463" s="45"/>
      <c r="C463" s="46"/>
    </row>
    <row r="464" customHeight="1" spans="1:3">
      <c r="A464" s="44"/>
      <c r="B464" s="45"/>
      <c r="C464" s="46"/>
    </row>
    <row r="465" customHeight="1" spans="1:3">
      <c r="A465" s="44"/>
      <c r="B465" s="45"/>
      <c r="C465" s="46"/>
    </row>
    <row r="466" customHeight="1" spans="1:3">
      <c r="A466" s="44"/>
      <c r="B466" s="45"/>
      <c r="C466" s="46"/>
    </row>
    <row r="467" customHeight="1" spans="1:3">
      <c r="A467" s="44"/>
      <c r="B467" s="45"/>
      <c r="C467" s="46"/>
    </row>
    <row r="468" customHeight="1" spans="1:3">
      <c r="A468" s="44"/>
      <c r="B468" s="45"/>
      <c r="C468" s="46"/>
    </row>
    <row r="469" customHeight="1" spans="1:3">
      <c r="A469" s="44"/>
      <c r="B469" s="45"/>
      <c r="C469" s="46"/>
    </row>
    <row r="470" customHeight="1" spans="1:3">
      <c r="A470" s="44"/>
      <c r="B470" s="45"/>
      <c r="C470" s="46"/>
    </row>
    <row r="471" customHeight="1" spans="1:3">
      <c r="A471" s="44"/>
      <c r="B471" s="45"/>
      <c r="C471" s="46"/>
    </row>
    <row r="472" customHeight="1" spans="1:3">
      <c r="A472" s="44"/>
      <c r="B472" s="45"/>
      <c r="C472" s="46"/>
    </row>
    <row r="473" customHeight="1" spans="1:3">
      <c r="A473" s="44"/>
      <c r="B473" s="45"/>
      <c r="C473" s="46"/>
    </row>
    <row r="474" customHeight="1" spans="1:3">
      <c r="A474" s="44"/>
      <c r="B474" s="45"/>
      <c r="C474" s="46"/>
    </row>
    <row r="475" customHeight="1" spans="1:3">
      <c r="A475" s="44"/>
      <c r="B475" s="45"/>
      <c r="C475" s="46"/>
    </row>
    <row r="476" customHeight="1" spans="1:3">
      <c r="A476" s="44"/>
      <c r="B476" s="45"/>
      <c r="C476" s="46"/>
    </row>
    <row r="477" customHeight="1" spans="1:3">
      <c r="A477" s="44"/>
      <c r="B477" s="45"/>
      <c r="C477" s="46"/>
    </row>
    <row r="478" customHeight="1" spans="1:3">
      <c r="A478" s="44"/>
      <c r="B478" s="45"/>
      <c r="C478" s="46"/>
    </row>
    <row r="479" customHeight="1" spans="1:3">
      <c r="A479" s="44"/>
      <c r="B479" s="45"/>
      <c r="C479" s="46"/>
    </row>
    <row r="480" customHeight="1" spans="1:3">
      <c r="A480" s="44"/>
      <c r="B480" s="45"/>
      <c r="C480" s="46"/>
    </row>
    <row r="481" customHeight="1" spans="1:3">
      <c r="A481" s="44"/>
      <c r="B481" s="45"/>
      <c r="C481" s="46"/>
    </row>
    <row r="482" customHeight="1" spans="1:3">
      <c r="A482" s="44"/>
      <c r="B482" s="45"/>
      <c r="C482" s="46"/>
    </row>
    <row r="483" customHeight="1" spans="1:3">
      <c r="A483" s="44"/>
      <c r="B483" s="45"/>
      <c r="C483" s="46"/>
    </row>
    <row r="484" customHeight="1" spans="1:3">
      <c r="A484" s="44"/>
      <c r="B484" s="45"/>
      <c r="C484" s="46"/>
    </row>
    <row r="485" customHeight="1" spans="1:3">
      <c r="A485" s="44"/>
      <c r="B485" s="45"/>
      <c r="C485" s="46"/>
    </row>
    <row r="486" customHeight="1" spans="1:3">
      <c r="A486" s="44"/>
      <c r="B486" s="45"/>
      <c r="C486" s="46"/>
    </row>
    <row r="487" customHeight="1" spans="1:3">
      <c r="A487" s="44"/>
      <c r="B487" s="45"/>
      <c r="C487" s="46"/>
    </row>
    <row r="488" customHeight="1" spans="1:3">
      <c r="A488" s="44"/>
      <c r="B488" s="45"/>
      <c r="C488" s="46"/>
    </row>
    <row r="489" customHeight="1" spans="1:3">
      <c r="A489" s="44"/>
      <c r="B489" s="45"/>
      <c r="C489" s="46"/>
    </row>
    <row r="490" customHeight="1" spans="1:3">
      <c r="A490" s="44"/>
      <c r="B490" s="45"/>
      <c r="C490" s="46"/>
    </row>
    <row r="491" customHeight="1" spans="1:3">
      <c r="A491" s="44"/>
      <c r="B491" s="45"/>
      <c r="C491" s="46"/>
    </row>
    <row r="492" customHeight="1" spans="1:3">
      <c r="A492" s="44"/>
      <c r="B492" s="45"/>
      <c r="C492" s="46"/>
    </row>
    <row r="493" customHeight="1" spans="1:3">
      <c r="A493" s="44"/>
      <c r="B493" s="45"/>
      <c r="C493" s="46"/>
    </row>
    <row r="494" customHeight="1" spans="1:3">
      <c r="A494" s="44"/>
      <c r="B494" s="45"/>
      <c r="C494" s="46"/>
    </row>
    <row r="495" customHeight="1" spans="1:3">
      <c r="A495" s="44"/>
      <c r="B495" s="45"/>
      <c r="C495" s="46"/>
    </row>
    <row r="496" customHeight="1" spans="1:3">
      <c r="A496" s="44"/>
      <c r="B496" s="45"/>
      <c r="C496" s="46"/>
    </row>
    <row r="497" customHeight="1" spans="1:3">
      <c r="A497" s="44"/>
      <c r="B497" s="45"/>
      <c r="C497" s="46"/>
    </row>
    <row r="498" customHeight="1" spans="1:3">
      <c r="A498" s="44"/>
      <c r="B498" s="45"/>
      <c r="C498" s="46"/>
    </row>
    <row r="499" customHeight="1" spans="1:3">
      <c r="A499" s="44"/>
      <c r="B499" s="45"/>
      <c r="C499" s="46"/>
    </row>
    <row r="500" customHeight="1" spans="1:3">
      <c r="A500" s="44"/>
      <c r="B500" s="45"/>
      <c r="C500" s="46"/>
    </row>
    <row r="501" customHeight="1" spans="1:3">
      <c r="A501" s="44"/>
      <c r="B501" s="45"/>
      <c r="C501" s="46"/>
    </row>
    <row r="502" customHeight="1" spans="1:3">
      <c r="A502" s="44"/>
      <c r="B502" s="45"/>
      <c r="C502" s="46"/>
    </row>
    <row r="503" customHeight="1" spans="1:3">
      <c r="A503" s="44"/>
      <c r="B503" s="45"/>
      <c r="C503" s="46"/>
    </row>
    <row r="504" customHeight="1" spans="1:3">
      <c r="A504" s="44"/>
      <c r="B504" s="45"/>
      <c r="C504" s="46"/>
    </row>
    <row r="505" customHeight="1" spans="1:3">
      <c r="A505" s="44"/>
      <c r="B505" s="45"/>
      <c r="C505" s="46"/>
    </row>
    <row r="506" customHeight="1" spans="1:3">
      <c r="A506" s="44"/>
      <c r="B506" s="45"/>
      <c r="C506" s="46"/>
    </row>
    <row r="507" customHeight="1" spans="1:3">
      <c r="A507" s="44"/>
      <c r="B507" s="45"/>
      <c r="C507" s="46"/>
    </row>
    <row r="508" customHeight="1" spans="1:3">
      <c r="A508" s="44"/>
      <c r="B508" s="45"/>
      <c r="C508" s="46"/>
    </row>
    <row r="509" customHeight="1" spans="1:3">
      <c r="A509" s="44"/>
      <c r="B509" s="45"/>
      <c r="C509" s="46"/>
    </row>
    <row r="510" customHeight="1" spans="1:3">
      <c r="A510" s="44"/>
      <c r="B510" s="45"/>
      <c r="C510" s="46"/>
    </row>
    <row r="511" customHeight="1" spans="1:3">
      <c r="A511" s="44"/>
      <c r="B511" s="45"/>
      <c r="C511" s="46"/>
    </row>
    <row r="512" customHeight="1" spans="1:3">
      <c r="A512" s="44"/>
      <c r="B512" s="45"/>
      <c r="C512" s="46"/>
    </row>
    <row r="513" customHeight="1" spans="1:3">
      <c r="A513" s="44"/>
      <c r="B513" s="45"/>
      <c r="C513" s="46"/>
    </row>
    <row r="514" customHeight="1" spans="1:3">
      <c r="A514" s="44"/>
      <c r="B514" s="45"/>
      <c r="C514" s="46"/>
    </row>
    <row r="515" customHeight="1" spans="1:3">
      <c r="A515" s="44"/>
      <c r="B515" s="45"/>
      <c r="C515" s="46"/>
    </row>
    <row r="516" customHeight="1" spans="1:3">
      <c r="A516" s="44"/>
      <c r="B516" s="45"/>
      <c r="C516" s="46"/>
    </row>
    <row r="517" customHeight="1" spans="1:3">
      <c r="A517" s="44"/>
      <c r="B517" s="45"/>
      <c r="C517" s="46"/>
    </row>
    <row r="518" customHeight="1" spans="1:3">
      <c r="A518" s="44"/>
      <c r="B518" s="45"/>
      <c r="C518" s="46"/>
    </row>
    <row r="519" customHeight="1" spans="1:3">
      <c r="A519" s="44"/>
      <c r="B519" s="45"/>
      <c r="C519" s="46"/>
    </row>
    <row r="520" customHeight="1" spans="1:3">
      <c r="A520" s="44"/>
      <c r="B520" s="45"/>
      <c r="C520" s="46"/>
    </row>
    <row r="521" customHeight="1" spans="1:3">
      <c r="A521" s="44"/>
      <c r="B521" s="45"/>
      <c r="C521" s="46"/>
    </row>
    <row r="522" customHeight="1" spans="1:3">
      <c r="A522" s="44"/>
      <c r="B522" s="45"/>
      <c r="C522" s="46"/>
    </row>
    <row r="523" customHeight="1" spans="1:3">
      <c r="A523" s="44"/>
      <c r="B523" s="45"/>
      <c r="C523" s="46"/>
    </row>
    <row r="524" customHeight="1" spans="1:3">
      <c r="A524" s="44"/>
      <c r="B524" s="45"/>
      <c r="C524" s="46"/>
    </row>
    <row r="525" customHeight="1" spans="1:3">
      <c r="A525" s="44"/>
      <c r="B525" s="45"/>
      <c r="C525" s="46"/>
    </row>
    <row r="526" customHeight="1" spans="1:3">
      <c r="A526" s="44"/>
      <c r="B526" s="45"/>
      <c r="C526" s="46"/>
    </row>
    <row r="527" customHeight="1" spans="1:3">
      <c r="A527" s="44"/>
      <c r="B527" s="45"/>
      <c r="C527" s="46"/>
    </row>
    <row r="528" customHeight="1" spans="1:3">
      <c r="A528" s="44"/>
      <c r="B528" s="45"/>
      <c r="C528" s="46"/>
    </row>
    <row r="529" customHeight="1" spans="1:3">
      <c r="A529" s="44"/>
      <c r="B529" s="45"/>
      <c r="C529" s="46"/>
    </row>
    <row r="530" customHeight="1" spans="1:3">
      <c r="A530" s="44"/>
      <c r="B530" s="45"/>
      <c r="C530" s="46"/>
    </row>
    <row r="531" customHeight="1" spans="1:3">
      <c r="A531" s="44"/>
      <c r="B531" s="45"/>
      <c r="C531" s="46"/>
    </row>
    <row r="532" customHeight="1" spans="1:3">
      <c r="A532" s="44"/>
      <c r="B532" s="45"/>
      <c r="C532" s="46"/>
    </row>
    <row r="533" customHeight="1" spans="1:3">
      <c r="A533" s="44"/>
      <c r="B533" s="45"/>
      <c r="C533" s="46"/>
    </row>
    <row r="534" customHeight="1" spans="1:3">
      <c r="A534" s="44"/>
      <c r="B534" s="45"/>
      <c r="C534" s="46"/>
    </row>
    <row r="535" customHeight="1" spans="1:3">
      <c r="A535" s="44"/>
      <c r="B535" s="45"/>
      <c r="C535" s="46"/>
    </row>
    <row r="536" customHeight="1" spans="1:3">
      <c r="A536" s="44"/>
      <c r="B536" s="45"/>
      <c r="C536" s="46"/>
    </row>
    <row r="537" customHeight="1" spans="1:3">
      <c r="A537" s="44"/>
      <c r="B537" s="45"/>
      <c r="C537" s="46"/>
    </row>
    <row r="538" customHeight="1" spans="1:3">
      <c r="A538" s="44"/>
      <c r="B538" s="45"/>
      <c r="C538" s="46"/>
    </row>
    <row r="539" customHeight="1" spans="1:3">
      <c r="A539" s="44"/>
      <c r="B539" s="45"/>
      <c r="C539" s="46"/>
    </row>
    <row r="540" customHeight="1" spans="1:3">
      <c r="A540" s="44"/>
      <c r="B540" s="45"/>
      <c r="C540" s="46"/>
    </row>
    <row r="541" customHeight="1" spans="1:3">
      <c r="A541" s="44"/>
      <c r="B541" s="45"/>
      <c r="C541" s="46"/>
    </row>
    <row r="542" customHeight="1" spans="1:3">
      <c r="A542" s="44"/>
      <c r="B542" s="45"/>
      <c r="C542" s="46"/>
    </row>
    <row r="543" customHeight="1" spans="1:3">
      <c r="A543" s="44"/>
      <c r="B543" s="45"/>
      <c r="C543" s="46"/>
    </row>
    <row r="544" customHeight="1" spans="1:3">
      <c r="A544" s="44"/>
      <c r="B544" s="45"/>
      <c r="C544" s="46"/>
    </row>
    <row r="545" customHeight="1" spans="1:3">
      <c r="A545" s="44"/>
      <c r="B545" s="45"/>
      <c r="C545" s="46"/>
    </row>
    <row r="546" customHeight="1" spans="1:3">
      <c r="A546" s="44"/>
      <c r="B546" s="45"/>
      <c r="C546" s="46"/>
    </row>
    <row r="547" customHeight="1" spans="1:3">
      <c r="A547" s="44"/>
      <c r="B547" s="45"/>
      <c r="C547" s="46"/>
    </row>
    <row r="548" customHeight="1" spans="1:3">
      <c r="A548" s="44"/>
      <c r="B548" s="45"/>
      <c r="C548" s="46"/>
    </row>
    <row r="549" customHeight="1" spans="1:3">
      <c r="A549" s="44"/>
      <c r="B549" s="45"/>
      <c r="C549" s="46"/>
    </row>
    <row r="550" customHeight="1" spans="1:3">
      <c r="A550" s="44"/>
      <c r="B550" s="45"/>
      <c r="C550" s="46"/>
    </row>
    <row r="551" customHeight="1" spans="1:3">
      <c r="A551" s="44"/>
      <c r="B551" s="45"/>
      <c r="C551" s="46"/>
    </row>
    <row r="552" customHeight="1" spans="1:3">
      <c r="A552" s="44"/>
      <c r="B552" s="45"/>
      <c r="C552" s="46"/>
    </row>
    <row r="553" customHeight="1" spans="1:3">
      <c r="A553" s="44"/>
      <c r="B553" s="45"/>
      <c r="C553" s="46"/>
    </row>
    <row r="554" customHeight="1" spans="1:3">
      <c r="A554" s="44"/>
      <c r="B554" s="45"/>
      <c r="C554" s="46"/>
    </row>
    <row r="555" customHeight="1" spans="1:3">
      <c r="A555" s="44"/>
      <c r="B555" s="45"/>
      <c r="C555" s="46"/>
    </row>
    <row r="556" customHeight="1" spans="1:3">
      <c r="A556" s="44"/>
      <c r="B556" s="45"/>
      <c r="C556" s="46"/>
    </row>
    <row r="557" customHeight="1" spans="1:3">
      <c r="A557" s="44"/>
      <c r="B557" s="45"/>
      <c r="C557" s="46"/>
    </row>
    <row r="558" customHeight="1" spans="1:3">
      <c r="A558" s="44"/>
      <c r="B558" s="45"/>
      <c r="C558" s="46"/>
    </row>
    <row r="559" customHeight="1" spans="1:3">
      <c r="A559" s="44"/>
      <c r="B559" s="45"/>
      <c r="C559" s="46"/>
    </row>
    <row r="560" customHeight="1" spans="1:3">
      <c r="A560" s="44"/>
      <c r="B560" s="45"/>
      <c r="C560" s="46"/>
    </row>
    <row r="561" customHeight="1" spans="1:3">
      <c r="A561" s="44"/>
      <c r="B561" s="45"/>
      <c r="C561" s="46"/>
    </row>
    <row r="562" customHeight="1" spans="1:3">
      <c r="A562" s="44"/>
      <c r="B562" s="45"/>
      <c r="C562" s="46"/>
    </row>
    <row r="563" customHeight="1" spans="1:3">
      <c r="A563" s="44"/>
      <c r="B563" s="45"/>
      <c r="C563" s="46"/>
    </row>
    <row r="564" customHeight="1" spans="1:3">
      <c r="A564" s="44"/>
      <c r="B564" s="45"/>
      <c r="C564" s="46"/>
    </row>
    <row r="565" customHeight="1" spans="1:3">
      <c r="A565" s="44"/>
      <c r="B565" s="45"/>
      <c r="C565" s="46"/>
    </row>
    <row r="566" customHeight="1" spans="1:3">
      <c r="A566" s="44"/>
      <c r="B566" s="45"/>
      <c r="C566" s="46"/>
    </row>
    <row r="567" customHeight="1" spans="1:3">
      <c r="A567" s="44"/>
      <c r="B567" s="45"/>
      <c r="C567" s="46"/>
    </row>
    <row r="568" customHeight="1" spans="1:3">
      <c r="A568" s="44"/>
      <c r="B568" s="45"/>
      <c r="C568" s="46"/>
    </row>
    <row r="569" customHeight="1" spans="1:3">
      <c r="A569" s="44"/>
      <c r="B569" s="45"/>
      <c r="C569" s="46"/>
    </row>
    <row r="570" customHeight="1" spans="1:3">
      <c r="A570" s="44"/>
      <c r="B570" s="45"/>
      <c r="C570" s="46"/>
    </row>
    <row r="571" customHeight="1" spans="1:3">
      <c r="A571" s="44"/>
      <c r="B571" s="45"/>
      <c r="C571" s="46"/>
    </row>
    <row r="572" customHeight="1" spans="1:3">
      <c r="A572" s="44"/>
      <c r="B572" s="45"/>
      <c r="C572" s="46"/>
    </row>
    <row r="573" customHeight="1" spans="1:3">
      <c r="A573" s="44"/>
      <c r="B573" s="45"/>
      <c r="C573" s="46"/>
    </row>
    <row r="574" customHeight="1" spans="1:3">
      <c r="A574" s="44"/>
      <c r="B574" s="45"/>
      <c r="C574" s="46"/>
    </row>
    <row r="575" customHeight="1" spans="1:3">
      <c r="A575" s="44"/>
      <c r="B575" s="45"/>
      <c r="C575" s="46"/>
    </row>
    <row r="576" customHeight="1" spans="1:3">
      <c r="A576" s="44"/>
      <c r="B576" s="45"/>
      <c r="C576" s="46"/>
    </row>
    <row r="577" customHeight="1" spans="1:3">
      <c r="A577" s="44"/>
      <c r="B577" s="45"/>
      <c r="C577" s="46"/>
    </row>
    <row r="578" customHeight="1" spans="1:3">
      <c r="A578" s="44"/>
      <c r="B578" s="45"/>
      <c r="C578" s="46"/>
    </row>
    <row r="579" customHeight="1" spans="1:3">
      <c r="A579" s="44"/>
      <c r="B579" s="45"/>
      <c r="C579" s="46"/>
    </row>
    <row r="580" customHeight="1" spans="1:3">
      <c r="A580" s="44"/>
      <c r="B580" s="45"/>
      <c r="C580" s="46"/>
    </row>
    <row r="581" customHeight="1" spans="1:3">
      <c r="A581" s="44"/>
      <c r="B581" s="45"/>
      <c r="C581" s="46"/>
    </row>
    <row r="582" customHeight="1" spans="1:3">
      <c r="A582" s="44"/>
      <c r="B582" s="45"/>
      <c r="C582" s="46"/>
    </row>
    <row r="583" customHeight="1" spans="1:3">
      <c r="A583" s="44"/>
      <c r="B583" s="45"/>
      <c r="C583" s="46"/>
    </row>
    <row r="584" customHeight="1" spans="1:3">
      <c r="A584" s="44"/>
      <c r="B584" s="45"/>
      <c r="C584" s="46"/>
    </row>
    <row r="585" customHeight="1" spans="1:3">
      <c r="A585" s="44"/>
      <c r="B585" s="45"/>
      <c r="C585" s="46"/>
    </row>
    <row r="586" customHeight="1" spans="1:3">
      <c r="A586" s="44"/>
      <c r="B586" s="45"/>
      <c r="C586" s="46"/>
    </row>
    <row r="587" customHeight="1" spans="1:3">
      <c r="A587" s="44"/>
      <c r="B587" s="45"/>
      <c r="C587" s="46"/>
    </row>
    <row r="588" customHeight="1" spans="1:3">
      <c r="A588" s="44"/>
      <c r="B588" s="45"/>
      <c r="C588" s="46"/>
    </row>
    <row r="589" customHeight="1" spans="1:3">
      <c r="A589" s="44"/>
      <c r="B589" s="45"/>
      <c r="C589" s="46"/>
    </row>
    <row r="590" customHeight="1" spans="1:3">
      <c r="A590" s="44"/>
      <c r="B590" s="45"/>
      <c r="C590" s="46"/>
    </row>
    <row r="591" customHeight="1" spans="1:3">
      <c r="A591" s="44"/>
      <c r="B591" s="45"/>
      <c r="C591" s="46"/>
    </row>
    <row r="592" customHeight="1" spans="1:3">
      <c r="A592" s="44"/>
      <c r="B592" s="45"/>
      <c r="C592" s="46"/>
    </row>
    <row r="593" customHeight="1" spans="1:3">
      <c r="A593" s="44"/>
      <c r="B593" s="45"/>
      <c r="C593" s="46"/>
    </row>
    <row r="594" customHeight="1" spans="1:3">
      <c r="A594" s="44"/>
      <c r="B594" s="45"/>
      <c r="C594" s="46"/>
    </row>
    <row r="595" customHeight="1" spans="1:3">
      <c r="A595" s="44"/>
      <c r="B595" s="45"/>
      <c r="C595" s="46"/>
    </row>
    <row r="596" customHeight="1" spans="1:3">
      <c r="A596" s="44"/>
      <c r="B596" s="45"/>
      <c r="C596" s="46"/>
    </row>
    <row r="597" customHeight="1" spans="1:3">
      <c r="A597" s="44"/>
      <c r="B597" s="45"/>
      <c r="C597" s="46"/>
    </row>
    <row r="598" customHeight="1" spans="1:3">
      <c r="A598" s="44"/>
      <c r="B598" s="45"/>
      <c r="C598" s="46"/>
    </row>
    <row r="599" customHeight="1" spans="1:3">
      <c r="A599" s="44"/>
      <c r="B599" s="45"/>
      <c r="C599" s="46"/>
    </row>
    <row r="600" customHeight="1" spans="1:3">
      <c r="A600" s="44"/>
      <c r="B600" s="45"/>
      <c r="C600" s="46"/>
    </row>
    <row r="601" customHeight="1" spans="1:3">
      <c r="A601" s="44"/>
      <c r="B601" s="45"/>
      <c r="C601" s="46"/>
    </row>
    <row r="602" customHeight="1" spans="1:3">
      <c r="A602" s="44"/>
      <c r="B602" s="45"/>
      <c r="C602" s="46"/>
    </row>
    <row r="603" customHeight="1" spans="1:3">
      <c r="A603" s="44"/>
      <c r="B603" s="45"/>
      <c r="C603" s="46"/>
    </row>
    <row r="604" customHeight="1" spans="1:3">
      <c r="A604" s="44"/>
      <c r="B604" s="45"/>
      <c r="C604" s="46"/>
    </row>
    <row r="605" customHeight="1" spans="1:3">
      <c r="A605" s="44"/>
      <c r="B605" s="45"/>
      <c r="C605" s="46"/>
    </row>
    <row r="606" customHeight="1" spans="1:3">
      <c r="A606" s="44"/>
      <c r="B606" s="45"/>
      <c r="C606" s="46"/>
    </row>
    <row r="607" customHeight="1" spans="1:3">
      <c r="A607" s="44"/>
      <c r="B607" s="45"/>
      <c r="C607" s="46"/>
    </row>
    <row r="608" customHeight="1" spans="1:3">
      <c r="A608" s="44"/>
      <c r="B608" s="45"/>
      <c r="C608" s="46"/>
    </row>
    <row r="609" customHeight="1" spans="1:3">
      <c r="A609" s="44"/>
      <c r="B609" s="45"/>
      <c r="C609" s="46"/>
    </row>
    <row r="610" customHeight="1" spans="1:3">
      <c r="A610" s="44"/>
      <c r="B610" s="45"/>
      <c r="C610" s="46"/>
    </row>
    <row r="611" customHeight="1" spans="1:3">
      <c r="A611" s="44"/>
      <c r="B611" s="45"/>
      <c r="C611" s="46"/>
    </row>
    <row r="612" customHeight="1" spans="1:3">
      <c r="A612" s="44"/>
      <c r="B612" s="45"/>
      <c r="C612" s="46"/>
    </row>
    <row r="613" customHeight="1" spans="1:3">
      <c r="A613" s="44"/>
      <c r="B613" s="45"/>
      <c r="C613" s="46"/>
    </row>
    <row r="614" customHeight="1" spans="1:3">
      <c r="A614" s="44"/>
      <c r="B614" s="45"/>
      <c r="C614" s="46"/>
    </row>
    <row r="615" customHeight="1" spans="1:3">
      <c r="A615" s="44"/>
      <c r="B615" s="45"/>
      <c r="C615" s="46"/>
    </row>
    <row r="616" customHeight="1" spans="1:3">
      <c r="A616" s="44"/>
      <c r="B616" s="45"/>
      <c r="C616" s="46"/>
    </row>
    <row r="617" customHeight="1" spans="1:3">
      <c r="A617" s="44"/>
      <c r="B617" s="45"/>
      <c r="C617" s="46"/>
    </row>
    <row r="618" customHeight="1" spans="1:3">
      <c r="A618" s="44"/>
      <c r="B618" s="45"/>
      <c r="C618" s="46"/>
    </row>
    <row r="619" customHeight="1" spans="1:3">
      <c r="A619" s="44"/>
      <c r="B619" s="45"/>
      <c r="C619" s="46"/>
    </row>
    <row r="620" customHeight="1" spans="1:3">
      <c r="A620" s="44"/>
      <c r="B620" s="45"/>
      <c r="C620" s="46"/>
    </row>
    <row r="621" customHeight="1" spans="1:3">
      <c r="A621" s="44"/>
      <c r="B621" s="45"/>
      <c r="C621" s="46"/>
    </row>
    <row r="622" customHeight="1" spans="1:3">
      <c r="A622" s="44"/>
      <c r="B622" s="45"/>
      <c r="C622" s="46"/>
    </row>
    <row r="623" customHeight="1" spans="1:3">
      <c r="A623" s="44"/>
      <c r="B623" s="45"/>
      <c r="C623" s="46"/>
    </row>
    <row r="624" customHeight="1" spans="1:3">
      <c r="A624" s="44"/>
      <c r="B624" s="45"/>
      <c r="C624" s="46"/>
    </row>
    <row r="625" customHeight="1" spans="1:3">
      <c r="A625" s="44"/>
      <c r="B625" s="45"/>
      <c r="C625" s="46"/>
    </row>
    <row r="626" customHeight="1" spans="1:3">
      <c r="A626" s="44"/>
      <c r="B626" s="45"/>
      <c r="C626" s="46"/>
    </row>
    <row r="627" customHeight="1" spans="1:3">
      <c r="A627" s="44"/>
      <c r="B627" s="45"/>
      <c r="C627" s="46"/>
    </row>
    <row r="628" customHeight="1" spans="1:3">
      <c r="A628" s="44"/>
      <c r="B628" s="45"/>
      <c r="C628" s="46"/>
    </row>
    <row r="629" customHeight="1" spans="1:3">
      <c r="A629" s="44"/>
      <c r="B629" s="45"/>
      <c r="C629" s="46"/>
    </row>
    <row r="630" customHeight="1" spans="1:3">
      <c r="A630" s="44"/>
      <c r="B630" s="45"/>
      <c r="C630" s="46"/>
    </row>
    <row r="631" customHeight="1" spans="1:3">
      <c r="A631" s="44"/>
      <c r="B631" s="45"/>
      <c r="C631" s="46"/>
    </row>
    <row r="632" customHeight="1" spans="1:3">
      <c r="A632" s="44"/>
      <c r="B632" s="45"/>
      <c r="C632" s="46"/>
    </row>
    <row r="633" customHeight="1" spans="1:3">
      <c r="A633" s="44"/>
      <c r="B633" s="45"/>
      <c r="C633" s="46"/>
    </row>
    <row r="634" customHeight="1" spans="1:3">
      <c r="A634" s="44"/>
      <c r="B634" s="45"/>
      <c r="C634" s="46"/>
    </row>
    <row r="635" customHeight="1" spans="1:3">
      <c r="A635" s="44"/>
      <c r="B635" s="45"/>
      <c r="C635" s="46"/>
    </row>
    <row r="636" customHeight="1" spans="1:3">
      <c r="A636" s="44"/>
      <c r="B636" s="45"/>
      <c r="C636" s="46"/>
    </row>
    <row r="637" customHeight="1" spans="1:3">
      <c r="A637" s="44"/>
      <c r="B637" s="45"/>
      <c r="C637" s="46"/>
    </row>
    <row r="638" customHeight="1" spans="1:3">
      <c r="A638" s="44"/>
      <c r="B638" s="45"/>
      <c r="C638" s="46"/>
    </row>
    <row r="639" customHeight="1" spans="1:3">
      <c r="A639" s="44"/>
      <c r="B639" s="45"/>
      <c r="C639" s="46"/>
    </row>
    <row r="640" customHeight="1" spans="1:3">
      <c r="A640" s="44"/>
      <c r="B640" s="45"/>
      <c r="C640" s="46"/>
    </row>
    <row r="641" customHeight="1" spans="1:3">
      <c r="A641" s="44"/>
      <c r="B641" s="45"/>
      <c r="C641" s="46"/>
    </row>
    <row r="642" customHeight="1" spans="1:3">
      <c r="A642" s="44"/>
      <c r="B642" s="45"/>
      <c r="C642" s="46"/>
    </row>
    <row r="643" customHeight="1" spans="1:3">
      <c r="A643" s="44"/>
      <c r="B643" s="45"/>
      <c r="C643" s="46"/>
    </row>
    <row r="644" customHeight="1" spans="1:3">
      <c r="A644" s="44"/>
      <c r="B644" s="45"/>
      <c r="C644" s="46"/>
    </row>
    <row r="645" customHeight="1" spans="1:3">
      <c r="A645" s="44"/>
      <c r="B645" s="45"/>
      <c r="C645" s="46"/>
    </row>
    <row r="646" customHeight="1" spans="1:3">
      <c r="A646" s="44"/>
      <c r="B646" s="45"/>
      <c r="C646" s="46"/>
    </row>
    <row r="647" customHeight="1" spans="1:3">
      <c r="A647" s="44"/>
      <c r="B647" s="45"/>
      <c r="C647" s="46"/>
    </row>
    <row r="648" customHeight="1" spans="1:3">
      <c r="A648" s="44"/>
      <c r="B648" s="45"/>
      <c r="C648" s="46"/>
    </row>
    <row r="649" customHeight="1" spans="1:3">
      <c r="A649" s="44"/>
      <c r="B649" s="45"/>
      <c r="C649" s="46"/>
    </row>
    <row r="650" customHeight="1" spans="1:3">
      <c r="A650" s="44"/>
      <c r="B650" s="45"/>
      <c r="C650" s="46"/>
    </row>
    <row r="651" customHeight="1" spans="1:3">
      <c r="A651" s="44"/>
      <c r="B651" s="45"/>
      <c r="C651" s="46"/>
    </row>
    <row r="652" customHeight="1" spans="1:3">
      <c r="A652" s="44"/>
      <c r="B652" s="45"/>
      <c r="C652" s="46"/>
    </row>
    <row r="653" customHeight="1" spans="1:3">
      <c r="A653" s="44"/>
      <c r="B653" s="45"/>
      <c r="C653" s="46"/>
    </row>
    <row r="654" customHeight="1" spans="1:3">
      <c r="A654" s="44"/>
      <c r="B654" s="45"/>
      <c r="C654" s="46"/>
    </row>
    <row r="655" customHeight="1" spans="1:3">
      <c r="A655" s="44"/>
      <c r="B655" s="45"/>
      <c r="C655" s="46"/>
    </row>
    <row r="656" customHeight="1" spans="1:3">
      <c r="A656" s="44"/>
      <c r="B656" s="45"/>
      <c r="C656" s="46"/>
    </row>
    <row r="657" customHeight="1" spans="1:3">
      <c r="A657" s="44"/>
      <c r="B657" s="45"/>
      <c r="C657" s="46"/>
    </row>
    <row r="658" customHeight="1" spans="1:3">
      <c r="A658" s="44"/>
      <c r="B658" s="45"/>
      <c r="C658" s="46"/>
    </row>
    <row r="659" customHeight="1" spans="1:3">
      <c r="A659" s="44"/>
      <c r="B659" s="45"/>
      <c r="C659" s="46"/>
    </row>
    <row r="660" customHeight="1" spans="1:3">
      <c r="A660" s="44"/>
      <c r="B660" s="45"/>
      <c r="C660" s="46"/>
    </row>
    <row r="661" customHeight="1" spans="1:3">
      <c r="A661" s="44"/>
      <c r="B661" s="45"/>
      <c r="C661" s="46"/>
    </row>
    <row r="662" customHeight="1" spans="1:3">
      <c r="A662" s="44"/>
      <c r="B662" s="45"/>
      <c r="C662" s="46"/>
    </row>
    <row r="663" customHeight="1" spans="1:3">
      <c r="A663" s="44"/>
      <c r="B663" s="45"/>
      <c r="C663" s="46"/>
    </row>
    <row r="664" customHeight="1" spans="1:3">
      <c r="A664" s="44"/>
      <c r="B664" s="45"/>
      <c r="C664" s="46"/>
    </row>
    <row r="665" customHeight="1" spans="1:3">
      <c r="A665" s="44"/>
      <c r="B665" s="45"/>
      <c r="C665" s="46"/>
    </row>
    <row r="666" customHeight="1" spans="1:3">
      <c r="A666" s="44"/>
      <c r="B666" s="45"/>
      <c r="C666" s="46"/>
    </row>
    <row r="667" customHeight="1" spans="1:3">
      <c r="A667" s="44"/>
      <c r="B667" s="45"/>
      <c r="C667" s="46"/>
    </row>
    <row r="668" customHeight="1" spans="1:3">
      <c r="A668" s="44"/>
      <c r="B668" s="45"/>
      <c r="C668" s="46"/>
    </row>
    <row r="669" customHeight="1" spans="1:3">
      <c r="A669" s="44"/>
      <c r="B669" s="45"/>
      <c r="C669" s="46"/>
    </row>
    <row r="670" customHeight="1" spans="1:3">
      <c r="A670" s="44"/>
      <c r="B670" s="45"/>
      <c r="C670" s="46"/>
    </row>
    <row r="671" customHeight="1" spans="1:3">
      <c r="A671" s="44"/>
      <c r="B671" s="45"/>
      <c r="C671" s="46"/>
    </row>
    <row r="672" customHeight="1" spans="1:3">
      <c r="A672" s="44"/>
      <c r="B672" s="45"/>
      <c r="C672" s="46"/>
    </row>
    <row r="673" customHeight="1" spans="1:3">
      <c r="A673" s="44"/>
      <c r="B673" s="45"/>
      <c r="C673" s="46"/>
    </row>
    <row r="674" customHeight="1" spans="1:3">
      <c r="A674" s="44"/>
      <c r="B674" s="45"/>
      <c r="C674" s="46"/>
    </row>
    <row r="675" customHeight="1" spans="1:3">
      <c r="A675" s="44"/>
      <c r="B675" s="45"/>
      <c r="C675" s="46"/>
    </row>
    <row r="676" customHeight="1" spans="1:3">
      <c r="A676" s="44"/>
      <c r="B676" s="45"/>
      <c r="C676" s="46"/>
    </row>
    <row r="677" customHeight="1" spans="1:3">
      <c r="A677" s="44"/>
      <c r="B677" s="45"/>
      <c r="C677" s="46"/>
    </row>
    <row r="678" customHeight="1" spans="1:3">
      <c r="A678" s="44"/>
      <c r="B678" s="45"/>
      <c r="C678" s="46"/>
    </row>
    <row r="679" customHeight="1" spans="1:3">
      <c r="A679" s="44"/>
      <c r="B679" s="45"/>
      <c r="C679" s="46"/>
    </row>
    <row r="680" customHeight="1" spans="1:3">
      <c r="A680" s="44"/>
      <c r="B680" s="45"/>
      <c r="C680" s="46"/>
    </row>
    <row r="681" customHeight="1" spans="1:3">
      <c r="A681" s="44"/>
      <c r="B681" s="45"/>
      <c r="C681" s="46"/>
    </row>
    <row r="682" customHeight="1" spans="1:3">
      <c r="A682" s="44"/>
      <c r="B682" s="45"/>
      <c r="C682" s="46"/>
    </row>
    <row r="683" customHeight="1" spans="1:3">
      <c r="A683" s="44"/>
      <c r="B683" s="45"/>
      <c r="C683" s="46"/>
    </row>
    <row r="684" customHeight="1" spans="1:3">
      <c r="A684" s="44"/>
      <c r="B684" s="45"/>
      <c r="C684" s="46"/>
    </row>
    <row r="685" customHeight="1" spans="1:3">
      <c r="A685" s="44"/>
      <c r="B685" s="45"/>
      <c r="C685" s="46"/>
    </row>
    <row r="686" customHeight="1" spans="1:3">
      <c r="A686" s="44"/>
      <c r="B686" s="45"/>
      <c r="C686" s="46"/>
    </row>
    <row r="687" customHeight="1" spans="1:3">
      <c r="A687" s="44"/>
      <c r="B687" s="45"/>
      <c r="C687" s="46"/>
    </row>
    <row r="688" customHeight="1" spans="1:3">
      <c r="A688" s="44"/>
      <c r="B688" s="45"/>
      <c r="C688" s="46"/>
    </row>
    <row r="689" customHeight="1" spans="1:3">
      <c r="A689" s="44"/>
      <c r="B689" s="45"/>
      <c r="C689" s="46"/>
    </row>
    <row r="690" customHeight="1" spans="1:3">
      <c r="A690" s="44"/>
      <c r="B690" s="45"/>
      <c r="C690" s="46"/>
    </row>
    <row r="691" customHeight="1" spans="1:3">
      <c r="A691" s="44"/>
      <c r="B691" s="45"/>
      <c r="C691" s="46"/>
    </row>
    <row r="692" customHeight="1" spans="1:3">
      <c r="A692" s="44"/>
      <c r="B692" s="45"/>
      <c r="C692" s="46"/>
    </row>
    <row r="693" customHeight="1" spans="1:3">
      <c r="A693" s="44"/>
      <c r="B693" s="45"/>
      <c r="C693" s="46"/>
    </row>
    <row r="694" customHeight="1" spans="1:3">
      <c r="A694" s="44"/>
      <c r="B694" s="45"/>
      <c r="C694" s="46"/>
    </row>
    <row r="695" customHeight="1" spans="1:3">
      <c r="A695" s="44"/>
      <c r="B695" s="45"/>
      <c r="C695" s="46"/>
    </row>
    <row r="696" customHeight="1" spans="1:3">
      <c r="A696" s="44"/>
      <c r="B696" s="45"/>
      <c r="C696" s="46"/>
    </row>
    <row r="697" customHeight="1" spans="1:3">
      <c r="A697" s="44"/>
      <c r="B697" s="45"/>
      <c r="C697" s="46"/>
    </row>
    <row r="698" customHeight="1" spans="1:3">
      <c r="A698" s="44"/>
      <c r="B698" s="45"/>
      <c r="C698" s="46"/>
    </row>
    <row r="699" customHeight="1" spans="1:3">
      <c r="A699" s="44"/>
      <c r="B699" s="45"/>
      <c r="C699" s="46"/>
    </row>
    <row r="700" customHeight="1" spans="1:3">
      <c r="A700" s="44"/>
      <c r="B700" s="45"/>
      <c r="C700" s="46"/>
    </row>
    <row r="701" customHeight="1" spans="1:3">
      <c r="A701" s="44"/>
      <c r="B701" s="45"/>
      <c r="C701" s="46"/>
    </row>
    <row r="702" customHeight="1" spans="1:3">
      <c r="A702" s="44"/>
      <c r="B702" s="45"/>
      <c r="C702" s="46"/>
    </row>
    <row r="703" customHeight="1" spans="1:3">
      <c r="A703" s="44"/>
      <c r="B703" s="45"/>
      <c r="C703" s="46"/>
    </row>
    <row r="704" customHeight="1" spans="1:3">
      <c r="A704" s="44"/>
      <c r="B704" s="45"/>
      <c r="C704" s="46"/>
    </row>
    <row r="705" customHeight="1" spans="1:3">
      <c r="A705" s="44"/>
      <c r="B705" s="45"/>
      <c r="C705" s="46"/>
    </row>
    <row r="706" customHeight="1" spans="1:3">
      <c r="A706" s="44"/>
      <c r="B706" s="45"/>
      <c r="C706" s="46"/>
    </row>
    <row r="707" customHeight="1" spans="1:3">
      <c r="A707" s="44"/>
      <c r="B707" s="45"/>
      <c r="C707" s="46"/>
    </row>
    <row r="708" customHeight="1" spans="1:3">
      <c r="A708" s="44"/>
      <c r="B708" s="45"/>
      <c r="C708" s="46"/>
    </row>
    <row r="709" customHeight="1" spans="1:3">
      <c r="A709" s="44"/>
      <c r="B709" s="45"/>
      <c r="C709" s="46"/>
    </row>
    <row r="710" customHeight="1" spans="1:3">
      <c r="A710" s="44"/>
      <c r="B710" s="45"/>
      <c r="C710" s="46"/>
    </row>
    <row r="711" customHeight="1" spans="1:3">
      <c r="A711" s="44"/>
      <c r="B711" s="45"/>
      <c r="C711" s="46"/>
    </row>
    <row r="712" customHeight="1" spans="1:3">
      <c r="A712" s="44"/>
      <c r="B712" s="45"/>
      <c r="C712" s="46"/>
    </row>
    <row r="713" customHeight="1" spans="1:3">
      <c r="A713" s="44"/>
      <c r="B713" s="45"/>
      <c r="C713" s="46"/>
    </row>
    <row r="714" customHeight="1" spans="1:3">
      <c r="A714" s="44"/>
      <c r="B714" s="45"/>
      <c r="C714" s="46"/>
    </row>
    <row r="715" customHeight="1" spans="1:3">
      <c r="A715" s="44"/>
      <c r="B715" s="45"/>
      <c r="C715" s="46"/>
    </row>
    <row r="716" customHeight="1" spans="1:3">
      <c r="A716" s="44"/>
      <c r="B716" s="45"/>
      <c r="C716" s="46"/>
    </row>
    <row r="717" customHeight="1" spans="1:3">
      <c r="A717" s="44"/>
      <c r="B717" s="45"/>
      <c r="C717" s="46"/>
    </row>
    <row r="718" customHeight="1" spans="1:3">
      <c r="A718" s="44"/>
      <c r="B718" s="45"/>
      <c r="C718" s="46"/>
    </row>
    <row r="719" customHeight="1" spans="1:3">
      <c r="A719" s="44"/>
      <c r="B719" s="45"/>
      <c r="C719" s="46"/>
    </row>
    <row r="720" customHeight="1" spans="1:3">
      <c r="A720" s="44"/>
      <c r="B720" s="45"/>
      <c r="C720" s="46"/>
    </row>
    <row r="721" customHeight="1" spans="1:3">
      <c r="A721" s="44"/>
      <c r="B721" s="45"/>
      <c r="C721" s="46"/>
    </row>
    <row r="722" customHeight="1" spans="1:3">
      <c r="A722" s="44"/>
      <c r="B722" s="45"/>
      <c r="C722" s="46"/>
    </row>
    <row r="723" customHeight="1" spans="1:3">
      <c r="A723" s="44"/>
      <c r="B723" s="45"/>
      <c r="C723" s="46"/>
    </row>
    <row r="724" customHeight="1" spans="1:3">
      <c r="A724" s="44"/>
      <c r="B724" s="45"/>
      <c r="C724" s="46"/>
    </row>
    <row r="725" customHeight="1" spans="1:3">
      <c r="A725" s="44"/>
      <c r="B725" s="45"/>
      <c r="C725" s="46"/>
    </row>
    <row r="726" customHeight="1" spans="1:3">
      <c r="A726" s="44"/>
      <c r="B726" s="45"/>
      <c r="C726" s="46"/>
    </row>
    <row r="727" customHeight="1" spans="1:3">
      <c r="A727" s="44"/>
      <c r="B727" s="45"/>
      <c r="C727" s="46"/>
    </row>
    <row r="728" customHeight="1" spans="1:3">
      <c r="A728" s="44"/>
      <c r="B728" s="45"/>
      <c r="C728" s="46"/>
    </row>
    <row r="729" customHeight="1" spans="1:3">
      <c r="A729" s="44"/>
      <c r="B729" s="45"/>
      <c r="C729" s="46"/>
    </row>
    <row r="730" customHeight="1" spans="1:3">
      <c r="A730" s="44"/>
      <c r="B730" s="45"/>
      <c r="C730" s="46"/>
    </row>
    <row r="731" customHeight="1" spans="1:3">
      <c r="A731" s="44"/>
      <c r="B731" s="45"/>
      <c r="C731" s="46"/>
    </row>
    <row r="732" customHeight="1" spans="1:3">
      <c r="A732" s="44"/>
      <c r="B732" s="45"/>
      <c r="C732" s="46"/>
    </row>
    <row r="733" customHeight="1" spans="1:3">
      <c r="A733" s="44"/>
      <c r="B733" s="45"/>
      <c r="C733" s="46"/>
    </row>
    <row r="734" customHeight="1" spans="1:3">
      <c r="A734" s="44"/>
      <c r="B734" s="45"/>
      <c r="C734" s="46"/>
    </row>
    <row r="735" customHeight="1" spans="1:3">
      <c r="A735" s="44"/>
      <c r="B735" s="45"/>
      <c r="C735" s="46"/>
    </row>
    <row r="736" customHeight="1" spans="1:3">
      <c r="A736" s="44"/>
      <c r="B736" s="45"/>
      <c r="C736" s="46"/>
    </row>
    <row r="737" customHeight="1" spans="1:3">
      <c r="A737" s="44"/>
      <c r="B737" s="45"/>
      <c r="C737" s="46"/>
    </row>
    <row r="738" customHeight="1" spans="1:3">
      <c r="A738" s="44"/>
      <c r="B738" s="45"/>
      <c r="C738" s="46"/>
    </row>
    <row r="739" customHeight="1" spans="1:3">
      <c r="A739" s="44"/>
      <c r="B739" s="45"/>
      <c r="C739" s="46"/>
    </row>
    <row r="740" customHeight="1" spans="1:3">
      <c r="A740" s="44"/>
      <c r="B740" s="45"/>
      <c r="C740" s="46"/>
    </row>
    <row r="741" customHeight="1" spans="1:3">
      <c r="A741" s="44"/>
      <c r="B741" s="45"/>
      <c r="C741" s="46"/>
    </row>
    <row r="742" customHeight="1" spans="1:3">
      <c r="A742" s="44"/>
      <c r="B742" s="45"/>
      <c r="C742" s="46"/>
    </row>
    <row r="743" customHeight="1" spans="1:3">
      <c r="A743" s="44"/>
      <c r="B743" s="45"/>
      <c r="C743" s="46"/>
    </row>
    <row r="744" customHeight="1" spans="1:3">
      <c r="A744" s="44"/>
      <c r="B744" s="45"/>
      <c r="C744" s="46"/>
    </row>
    <row r="745" customHeight="1" spans="1:3">
      <c r="A745" s="44"/>
      <c r="B745" s="45"/>
      <c r="C745" s="46"/>
    </row>
    <row r="746" customHeight="1" spans="1:3">
      <c r="A746" s="44"/>
      <c r="B746" s="45"/>
      <c r="C746" s="46"/>
    </row>
    <row r="747" customHeight="1" spans="1:3">
      <c r="A747" s="44"/>
      <c r="B747" s="45"/>
      <c r="C747" s="46"/>
    </row>
    <row r="748" customHeight="1" spans="1:3">
      <c r="A748" s="44"/>
      <c r="B748" s="45"/>
      <c r="C748" s="46"/>
    </row>
    <row r="749" customHeight="1" spans="1:3">
      <c r="A749" s="44"/>
      <c r="B749" s="45"/>
      <c r="C749" s="46"/>
    </row>
    <row r="750" customHeight="1" spans="1:3">
      <c r="A750" s="44"/>
      <c r="B750" s="45"/>
      <c r="C750" s="46"/>
    </row>
    <row r="751" customHeight="1" spans="1:3">
      <c r="A751" s="44"/>
      <c r="B751" s="45"/>
      <c r="C751" s="46"/>
    </row>
    <row r="752" customHeight="1" spans="1:3">
      <c r="A752" s="44"/>
      <c r="B752" s="45"/>
      <c r="C752" s="46"/>
    </row>
    <row r="753" customHeight="1" spans="1:3">
      <c r="A753" s="44"/>
      <c r="B753" s="45"/>
      <c r="C753" s="46"/>
    </row>
    <row r="754" customHeight="1" spans="1:3">
      <c r="A754" s="44"/>
      <c r="B754" s="45"/>
      <c r="C754" s="46"/>
    </row>
    <row r="755" customHeight="1" spans="1:3">
      <c r="A755" s="44"/>
      <c r="B755" s="45"/>
      <c r="C755" s="46"/>
    </row>
    <row r="756" customHeight="1" spans="1:3">
      <c r="A756" s="44"/>
      <c r="B756" s="45"/>
      <c r="C756" s="46"/>
    </row>
    <row r="757" customHeight="1" spans="1:3">
      <c r="A757" s="44"/>
      <c r="B757" s="45"/>
      <c r="C757" s="46"/>
    </row>
    <row r="758" customHeight="1" spans="1:3">
      <c r="A758" s="44"/>
      <c r="B758" s="45"/>
      <c r="C758" s="46"/>
    </row>
    <row r="759" customHeight="1" spans="1:3">
      <c r="A759" s="44"/>
      <c r="B759" s="45"/>
      <c r="C759" s="46"/>
    </row>
    <row r="760" customHeight="1" spans="1:3">
      <c r="A760" s="44"/>
      <c r="B760" s="45"/>
      <c r="C760" s="46"/>
    </row>
    <row r="761" customHeight="1" spans="1:3">
      <c r="A761" s="44"/>
      <c r="B761" s="45"/>
      <c r="C761" s="46"/>
    </row>
    <row r="762" customHeight="1" spans="1:3">
      <c r="A762" s="44"/>
      <c r="B762" s="45"/>
      <c r="C762" s="46"/>
    </row>
    <row r="763" customHeight="1" spans="1:3">
      <c r="A763" s="44"/>
      <c r="B763" s="45"/>
      <c r="C763" s="46"/>
    </row>
    <row r="764" customHeight="1" spans="1:3">
      <c r="A764" s="44"/>
      <c r="B764" s="45"/>
      <c r="C764" s="46"/>
    </row>
    <row r="765" customHeight="1" spans="1:3">
      <c r="A765" s="44"/>
      <c r="B765" s="45"/>
      <c r="C765" s="46"/>
    </row>
    <row r="766" customHeight="1" spans="1:3">
      <c r="A766" s="44"/>
      <c r="B766" s="45"/>
      <c r="C766" s="46"/>
    </row>
    <row r="767" customHeight="1" spans="1:3">
      <c r="A767" s="44"/>
      <c r="B767" s="45"/>
      <c r="C767" s="46"/>
    </row>
    <row r="768" customHeight="1" spans="1:3">
      <c r="A768" s="44"/>
      <c r="B768" s="45"/>
      <c r="C768" s="46"/>
    </row>
    <row r="769" customHeight="1" spans="1:3">
      <c r="A769" s="44"/>
      <c r="B769" s="45"/>
      <c r="C769" s="46"/>
    </row>
    <row r="770" customHeight="1" spans="1:3">
      <c r="A770" s="44"/>
      <c r="B770" s="45"/>
      <c r="C770" s="46"/>
    </row>
    <row r="771" customHeight="1" spans="1:3">
      <c r="A771" s="44"/>
      <c r="B771" s="45"/>
      <c r="C771" s="46"/>
    </row>
    <row r="772" customHeight="1" spans="1:3">
      <c r="A772" s="44"/>
      <c r="B772" s="45"/>
      <c r="C772" s="46"/>
    </row>
    <row r="773" customHeight="1" spans="1:3">
      <c r="A773" s="44"/>
      <c r="B773" s="45"/>
      <c r="C773" s="46"/>
    </row>
    <row r="774" customHeight="1" spans="1:3">
      <c r="A774" s="44"/>
      <c r="B774" s="45"/>
      <c r="C774" s="46"/>
    </row>
    <row r="775" customHeight="1" spans="1:3">
      <c r="A775" s="44"/>
      <c r="B775" s="45"/>
      <c r="C775" s="46"/>
    </row>
    <row r="776" customHeight="1" spans="1:3">
      <c r="A776" s="44"/>
      <c r="B776" s="45"/>
      <c r="C776" s="46"/>
    </row>
    <row r="777" customHeight="1" spans="1:3">
      <c r="A777" s="44"/>
      <c r="B777" s="45"/>
      <c r="C777" s="46"/>
    </row>
    <row r="778" customHeight="1" spans="1:3">
      <c r="A778" s="44"/>
      <c r="B778" s="45"/>
      <c r="C778" s="46"/>
    </row>
    <row r="779" customHeight="1" spans="1:3">
      <c r="A779" s="44"/>
      <c r="B779" s="45"/>
      <c r="C779" s="46"/>
    </row>
    <row r="780" customHeight="1" spans="1:3">
      <c r="A780" s="44"/>
      <c r="B780" s="45"/>
      <c r="C780" s="46"/>
    </row>
    <row r="781" customHeight="1" spans="1:3">
      <c r="A781" s="44"/>
      <c r="B781" s="45"/>
      <c r="C781" s="46"/>
    </row>
    <row r="782" customHeight="1" spans="1:3">
      <c r="A782" s="44"/>
      <c r="B782" s="45"/>
      <c r="C782" s="46"/>
    </row>
    <row r="783" customHeight="1" spans="1:3">
      <c r="A783" s="44"/>
      <c r="B783" s="45"/>
      <c r="C783" s="46"/>
    </row>
    <row r="784" customHeight="1" spans="1:3">
      <c r="A784" s="44"/>
      <c r="B784" s="45"/>
      <c r="C784" s="46"/>
    </row>
    <row r="785" customHeight="1" spans="1:3">
      <c r="A785" s="44"/>
      <c r="B785" s="45"/>
      <c r="C785" s="46"/>
    </row>
    <row r="786" customHeight="1" spans="1:3">
      <c r="A786" s="44"/>
      <c r="B786" s="45"/>
      <c r="C786" s="46"/>
    </row>
    <row r="787" customHeight="1" spans="1:3">
      <c r="A787" s="44"/>
      <c r="B787" s="45"/>
      <c r="C787" s="46"/>
    </row>
    <row r="788" customHeight="1" spans="1:3">
      <c r="A788" s="44"/>
      <c r="B788" s="45"/>
      <c r="C788" s="46"/>
    </row>
    <row r="789" customHeight="1" spans="1:3">
      <c r="A789" s="44"/>
      <c r="B789" s="45"/>
      <c r="C789" s="46"/>
    </row>
    <row r="790" customHeight="1" spans="1:3">
      <c r="A790" s="44"/>
      <c r="B790" s="45"/>
      <c r="C790" s="46"/>
    </row>
    <row r="791" customHeight="1" spans="1:3">
      <c r="A791" s="44"/>
      <c r="B791" s="45"/>
      <c r="C791" s="46"/>
    </row>
    <row r="792" customHeight="1" spans="1:3">
      <c r="A792" s="44"/>
      <c r="B792" s="45"/>
      <c r="C792" s="46"/>
    </row>
    <row r="793" customHeight="1" spans="1:3">
      <c r="A793" s="44"/>
      <c r="B793" s="45"/>
      <c r="C793" s="46"/>
    </row>
    <row r="794" customHeight="1" spans="1:3">
      <c r="A794" s="44"/>
      <c r="B794" s="45"/>
      <c r="C794" s="46"/>
    </row>
    <row r="795" customHeight="1" spans="1:3">
      <c r="A795" s="44"/>
      <c r="B795" s="45"/>
      <c r="C795" s="46"/>
    </row>
    <row r="796" customHeight="1" spans="1:3">
      <c r="A796" s="44"/>
      <c r="B796" s="45"/>
      <c r="C796" s="46"/>
    </row>
    <row r="797" customHeight="1" spans="1:3">
      <c r="A797" s="44"/>
      <c r="B797" s="45"/>
      <c r="C797" s="46"/>
    </row>
    <row r="798" customHeight="1" spans="1:3">
      <c r="A798" s="44"/>
      <c r="B798" s="45"/>
      <c r="C798" s="46"/>
    </row>
    <row r="799" customHeight="1" spans="1:3">
      <c r="A799" s="44"/>
      <c r="B799" s="45"/>
      <c r="C799" s="46"/>
    </row>
    <row r="800" customHeight="1" spans="1:3">
      <c r="A800" s="44"/>
      <c r="B800" s="45"/>
      <c r="C800" s="46"/>
    </row>
    <row r="801" customHeight="1" spans="1:3">
      <c r="A801" s="44"/>
      <c r="B801" s="45"/>
      <c r="C801" s="46"/>
    </row>
    <row r="802" customHeight="1" spans="1:3">
      <c r="A802" s="44"/>
      <c r="B802" s="45"/>
      <c r="C802" s="46"/>
    </row>
    <row r="803" customHeight="1" spans="1:3">
      <c r="A803" s="44"/>
      <c r="B803" s="45"/>
      <c r="C803" s="46"/>
    </row>
    <row r="804" customHeight="1" spans="1:3">
      <c r="A804" s="44"/>
      <c r="B804" s="45"/>
      <c r="C804" s="46"/>
    </row>
    <row r="805" customHeight="1" spans="1:3">
      <c r="A805" s="44"/>
      <c r="B805" s="45"/>
      <c r="C805" s="46"/>
    </row>
    <row r="806" customHeight="1" spans="1:3">
      <c r="A806" s="44"/>
      <c r="B806" s="45"/>
      <c r="C806" s="46"/>
    </row>
    <row r="807" customHeight="1" spans="1:3">
      <c r="A807" s="44"/>
      <c r="B807" s="45"/>
      <c r="C807" s="46"/>
    </row>
    <row r="808" customHeight="1" spans="1:3">
      <c r="A808" s="44"/>
      <c r="B808" s="45"/>
      <c r="C808" s="46"/>
    </row>
    <row r="809" customHeight="1" spans="1:3">
      <c r="A809" s="44"/>
      <c r="B809" s="45"/>
      <c r="C809" s="46"/>
    </row>
    <row r="810" customHeight="1" spans="1:3">
      <c r="A810" s="44"/>
      <c r="B810" s="45"/>
      <c r="C810" s="46"/>
    </row>
    <row r="811" customHeight="1" spans="1:3">
      <c r="A811" s="44"/>
      <c r="B811" s="45"/>
      <c r="C811" s="46"/>
    </row>
    <row r="812" customHeight="1" spans="1:3">
      <c r="A812" s="44"/>
      <c r="B812" s="45"/>
      <c r="C812" s="46"/>
    </row>
    <row r="813" customHeight="1" spans="1:3">
      <c r="A813" s="44"/>
      <c r="B813" s="45"/>
      <c r="C813" s="46"/>
    </row>
    <row r="814" customHeight="1" spans="1:3">
      <c r="A814" s="44"/>
      <c r="B814" s="45"/>
      <c r="C814" s="46"/>
    </row>
    <row r="815" customHeight="1" spans="1:3">
      <c r="A815" s="44"/>
      <c r="B815" s="45"/>
      <c r="C815" s="46"/>
    </row>
    <row r="816" customHeight="1" spans="1:3">
      <c r="A816" s="44"/>
      <c r="B816" s="45"/>
      <c r="C816" s="46"/>
    </row>
    <row r="817" customHeight="1" spans="1:3">
      <c r="A817" s="44"/>
      <c r="B817" s="45"/>
      <c r="C817" s="46"/>
    </row>
    <row r="818" customHeight="1" spans="1:3">
      <c r="A818" s="44"/>
      <c r="B818" s="45"/>
      <c r="C818" s="46"/>
    </row>
    <row r="819" customHeight="1" spans="1:3">
      <c r="A819" s="44"/>
      <c r="B819" s="45"/>
      <c r="C819" s="46"/>
    </row>
    <row r="820" customHeight="1" spans="1:3">
      <c r="A820" s="44"/>
      <c r="B820" s="45"/>
      <c r="C820" s="46"/>
    </row>
    <row r="821" customHeight="1" spans="1:3">
      <c r="A821" s="44"/>
      <c r="B821" s="45"/>
      <c r="C821" s="46"/>
    </row>
    <row r="822" customHeight="1" spans="1:3">
      <c r="A822" s="44"/>
      <c r="B822" s="45"/>
      <c r="C822" s="46"/>
    </row>
    <row r="823" customHeight="1" spans="1:3">
      <c r="A823" s="44"/>
      <c r="B823" s="45"/>
      <c r="C823" s="46"/>
    </row>
    <row r="824" customHeight="1" spans="1:3">
      <c r="A824" s="44"/>
      <c r="B824" s="45"/>
      <c r="C824" s="46"/>
    </row>
    <row r="825" customHeight="1" spans="1:3">
      <c r="A825" s="44"/>
      <c r="B825" s="45"/>
      <c r="C825" s="46"/>
    </row>
    <row r="826" customHeight="1" spans="1:3">
      <c r="A826" s="44"/>
      <c r="B826" s="45"/>
      <c r="C826" s="46"/>
    </row>
    <row r="827" customHeight="1" spans="1:3">
      <c r="A827" s="44"/>
      <c r="B827" s="45"/>
      <c r="C827" s="46"/>
    </row>
    <row r="828" customHeight="1" spans="1:3">
      <c r="A828" s="44"/>
      <c r="B828" s="45"/>
      <c r="C828" s="46"/>
    </row>
    <row r="829" customHeight="1" spans="1:3">
      <c r="A829" s="44"/>
      <c r="B829" s="45"/>
      <c r="C829" s="46"/>
    </row>
    <row r="830" customHeight="1" spans="1:3">
      <c r="A830" s="44"/>
      <c r="B830" s="45"/>
      <c r="C830" s="46"/>
    </row>
    <row r="831" customHeight="1" spans="1:3">
      <c r="A831" s="44"/>
      <c r="B831" s="45"/>
      <c r="C831" s="46"/>
    </row>
    <row r="832" customHeight="1" spans="1:3">
      <c r="A832" s="44"/>
      <c r="B832" s="45"/>
      <c r="C832" s="46"/>
    </row>
    <row r="833" customHeight="1" spans="1:3">
      <c r="A833" s="44"/>
      <c r="B833" s="45"/>
      <c r="C833" s="46"/>
    </row>
    <row r="834" customHeight="1" spans="1:3">
      <c r="A834" s="44"/>
      <c r="B834" s="45"/>
      <c r="C834" s="46"/>
    </row>
    <row r="835" customHeight="1" spans="1:3">
      <c r="A835" s="44"/>
      <c r="B835" s="45"/>
      <c r="C835" s="46"/>
    </row>
    <row r="836" customHeight="1" spans="1:3">
      <c r="A836" s="44"/>
      <c r="B836" s="45"/>
      <c r="C836" s="46"/>
    </row>
    <row r="837" customHeight="1" spans="1:3">
      <c r="A837" s="44"/>
      <c r="B837" s="45"/>
      <c r="C837" s="46"/>
    </row>
    <row r="838" customHeight="1" spans="1:3">
      <c r="A838" s="44"/>
      <c r="B838" s="45"/>
      <c r="C838" s="46"/>
    </row>
    <row r="839" customHeight="1" spans="1:3">
      <c r="A839" s="44"/>
      <c r="B839" s="45"/>
      <c r="C839" s="46"/>
    </row>
    <row r="840" customHeight="1" spans="1:3">
      <c r="A840" s="44"/>
      <c r="B840" s="45"/>
      <c r="C840" s="46"/>
    </row>
    <row r="841" customHeight="1" spans="1:3">
      <c r="A841" s="44"/>
      <c r="B841" s="45"/>
      <c r="C841" s="46"/>
    </row>
    <row r="842" customHeight="1" spans="1:3">
      <c r="A842" s="44"/>
      <c r="B842" s="45"/>
      <c r="C842" s="46"/>
    </row>
    <row r="843" customHeight="1" spans="1:3">
      <c r="A843" s="44"/>
      <c r="B843" s="45"/>
      <c r="C843" s="46"/>
    </row>
    <row r="844" customHeight="1" spans="1:3">
      <c r="A844" s="44"/>
      <c r="B844" s="45"/>
      <c r="C844" s="46"/>
    </row>
    <row r="845" customHeight="1" spans="1:3">
      <c r="A845" s="44"/>
      <c r="B845" s="45"/>
      <c r="C845" s="46"/>
    </row>
    <row r="846" customHeight="1" spans="1:3">
      <c r="A846" s="44"/>
      <c r="B846" s="45"/>
      <c r="C846" s="46"/>
    </row>
    <row r="847" customHeight="1" spans="1:3">
      <c r="A847" s="44"/>
      <c r="B847" s="45"/>
      <c r="C847" s="46"/>
    </row>
    <row r="848" customHeight="1" spans="1:3">
      <c r="A848" s="44"/>
      <c r="B848" s="45"/>
      <c r="C848" s="46"/>
    </row>
    <row r="849" customHeight="1" spans="1:3">
      <c r="A849" s="44"/>
      <c r="B849" s="45"/>
      <c r="C849" s="46"/>
    </row>
    <row r="850" customHeight="1" spans="1:3">
      <c r="A850" s="44"/>
      <c r="B850" s="45"/>
      <c r="C850" s="46"/>
    </row>
    <row r="851" customHeight="1" spans="1:3">
      <c r="A851" s="44"/>
      <c r="B851" s="45"/>
      <c r="C851" s="46"/>
    </row>
    <row r="852" customHeight="1" spans="1:3">
      <c r="A852" s="44"/>
      <c r="B852" s="45"/>
      <c r="C852" s="46"/>
    </row>
    <row r="853" customHeight="1" spans="1:3">
      <c r="A853" s="44"/>
      <c r="B853" s="45"/>
      <c r="C853" s="46"/>
    </row>
    <row r="854" customHeight="1" spans="1:3">
      <c r="A854" s="44"/>
      <c r="B854" s="45"/>
      <c r="C854" s="46"/>
    </row>
    <row r="855" customHeight="1" spans="1:3">
      <c r="A855" s="44"/>
      <c r="B855" s="45"/>
      <c r="C855" s="46"/>
    </row>
    <row r="856" customHeight="1" spans="1:3">
      <c r="A856" s="44"/>
      <c r="B856" s="45"/>
      <c r="C856" s="46"/>
    </row>
    <row r="857" customHeight="1" spans="1:3">
      <c r="A857" s="44"/>
      <c r="B857" s="45"/>
      <c r="C857" s="46"/>
    </row>
    <row r="858" customHeight="1" spans="1:3">
      <c r="A858" s="44"/>
      <c r="B858" s="45"/>
      <c r="C858" s="46"/>
    </row>
    <row r="859" customHeight="1" spans="1:3">
      <c r="A859" s="44"/>
      <c r="B859" s="45"/>
      <c r="C859" s="46"/>
    </row>
    <row r="860" customHeight="1" spans="1:3">
      <c r="A860" s="44"/>
      <c r="B860" s="45"/>
      <c r="C860" s="46"/>
    </row>
    <row r="861" customHeight="1" spans="1:3">
      <c r="A861" s="44"/>
      <c r="B861" s="45"/>
      <c r="C861" s="46"/>
    </row>
    <row r="862" customHeight="1" spans="1:3">
      <c r="A862" s="44"/>
      <c r="B862" s="45"/>
      <c r="C862" s="46"/>
    </row>
    <row r="863" customHeight="1" spans="1:3">
      <c r="A863" s="44"/>
      <c r="B863" s="45"/>
      <c r="C863" s="46"/>
    </row>
    <row r="864" customHeight="1" spans="1:3">
      <c r="A864" s="44"/>
      <c r="B864" s="45"/>
      <c r="C864" s="46"/>
    </row>
    <row r="865" customHeight="1" spans="1:3">
      <c r="A865" s="44"/>
      <c r="B865" s="45"/>
      <c r="C865" s="46"/>
    </row>
    <row r="866" customHeight="1" spans="1:3">
      <c r="A866" s="44"/>
      <c r="B866" s="45"/>
      <c r="C866" s="46"/>
    </row>
    <row r="867" customHeight="1" spans="1:3">
      <c r="A867" s="44"/>
      <c r="B867" s="45"/>
      <c r="C867" s="46"/>
    </row>
    <row r="868" customHeight="1" spans="1:3">
      <c r="A868" s="44"/>
      <c r="B868" s="45"/>
      <c r="C868" s="46"/>
    </row>
    <row r="869" customHeight="1" spans="1:3">
      <c r="A869" s="44"/>
      <c r="B869" s="45"/>
      <c r="C869" s="46"/>
    </row>
    <row r="870" customHeight="1" spans="1:3">
      <c r="A870" s="44"/>
      <c r="B870" s="45"/>
      <c r="C870" s="46"/>
    </row>
    <row r="871" customHeight="1" spans="1:3">
      <c r="A871" s="44"/>
      <c r="B871" s="45"/>
      <c r="C871" s="46"/>
    </row>
    <row r="872" customHeight="1" spans="1:3">
      <c r="A872" s="44"/>
      <c r="B872" s="45"/>
      <c r="C872" s="46"/>
    </row>
    <row r="873" customHeight="1" spans="1:3">
      <c r="A873" s="44"/>
      <c r="B873" s="45"/>
      <c r="C873" s="46"/>
    </row>
    <row r="874" customHeight="1" spans="1:3">
      <c r="A874" s="44"/>
      <c r="B874" s="45"/>
      <c r="C874" s="46"/>
    </row>
    <row r="875" customHeight="1" spans="1:3">
      <c r="A875" s="44"/>
      <c r="B875" s="45"/>
      <c r="C875" s="46"/>
    </row>
    <row r="876" customHeight="1" spans="1:3">
      <c r="A876" s="44"/>
      <c r="B876" s="45"/>
      <c r="C876" s="46"/>
    </row>
    <row r="877" customHeight="1" spans="1:3">
      <c r="A877" s="44"/>
      <c r="B877" s="45"/>
      <c r="C877" s="46"/>
    </row>
    <row r="878" customHeight="1" spans="1:3">
      <c r="A878" s="44"/>
      <c r="B878" s="45"/>
      <c r="C878" s="46"/>
    </row>
    <row r="879" customHeight="1" spans="1:3">
      <c r="A879" s="44"/>
      <c r="B879" s="45"/>
      <c r="C879" s="46"/>
    </row>
    <row r="880" customHeight="1" spans="1:3">
      <c r="A880" s="44"/>
      <c r="B880" s="45"/>
      <c r="C880" s="46"/>
    </row>
    <row r="881" customHeight="1" spans="1:3">
      <c r="A881" s="44"/>
      <c r="B881" s="45"/>
      <c r="C881" s="46"/>
    </row>
    <row r="882" customHeight="1" spans="1:3">
      <c r="A882" s="44"/>
      <c r="B882" s="45"/>
      <c r="C882" s="46"/>
    </row>
    <row r="883" customHeight="1" spans="1:3">
      <c r="A883" s="44"/>
      <c r="B883" s="45"/>
      <c r="C883" s="46"/>
    </row>
    <row r="884" customHeight="1" spans="1:3">
      <c r="A884" s="44"/>
      <c r="B884" s="45"/>
      <c r="C884" s="46"/>
    </row>
    <row r="885" customHeight="1" spans="1:3">
      <c r="A885" s="44"/>
      <c r="B885" s="45"/>
      <c r="C885" s="46"/>
    </row>
    <row r="886" customHeight="1" spans="1:3">
      <c r="A886" s="44"/>
      <c r="B886" s="45"/>
      <c r="C886" s="46"/>
    </row>
    <row r="887" customHeight="1" spans="1:3">
      <c r="A887" s="44"/>
      <c r="B887" s="45"/>
      <c r="C887" s="46"/>
    </row>
    <row r="888" customHeight="1" spans="1:3">
      <c r="A888" s="44"/>
      <c r="B888" s="45"/>
      <c r="C888" s="46"/>
    </row>
    <row r="889" customHeight="1" spans="1:3">
      <c r="A889" s="44"/>
      <c r="B889" s="45"/>
      <c r="C889" s="46"/>
    </row>
    <row r="890" customHeight="1" spans="1:3">
      <c r="A890" s="44"/>
      <c r="B890" s="45"/>
      <c r="C890" s="46"/>
    </row>
    <row r="891" customHeight="1" spans="1:3">
      <c r="A891" s="44"/>
      <c r="B891" s="45"/>
      <c r="C891" s="46"/>
    </row>
    <row r="892" customHeight="1" spans="1:3">
      <c r="A892" s="44"/>
      <c r="B892" s="45"/>
      <c r="C892" s="46"/>
    </row>
    <row r="893" customHeight="1" spans="1:3">
      <c r="A893" s="44"/>
      <c r="B893" s="45"/>
      <c r="C893" s="46"/>
    </row>
    <row r="894" customHeight="1" spans="1:3">
      <c r="A894" s="44"/>
      <c r="B894" s="45"/>
      <c r="C894" s="46"/>
    </row>
    <row r="895" customHeight="1" spans="1:3">
      <c r="A895" s="44"/>
      <c r="B895" s="45"/>
      <c r="C895" s="46"/>
    </row>
    <row r="896" customHeight="1" spans="1:3">
      <c r="A896" s="44"/>
      <c r="B896" s="45"/>
      <c r="C896" s="46"/>
    </row>
    <row r="897" customHeight="1" spans="1:3">
      <c r="A897" s="44"/>
      <c r="B897" s="45"/>
      <c r="C897" s="46"/>
    </row>
    <row r="898" customHeight="1" spans="1:3">
      <c r="A898" s="44"/>
      <c r="B898" s="45"/>
      <c r="C898" s="46"/>
    </row>
    <row r="899" customHeight="1" spans="1:3">
      <c r="A899" s="44"/>
      <c r="B899" s="45"/>
      <c r="C899" s="46"/>
    </row>
    <row r="900" customHeight="1" spans="1:3">
      <c r="A900" s="44"/>
      <c r="B900" s="45"/>
      <c r="C900" s="46"/>
    </row>
    <row r="901" customHeight="1" spans="1:3">
      <c r="A901" s="44"/>
      <c r="B901" s="45"/>
      <c r="C901" s="46"/>
    </row>
    <row r="902" customHeight="1" spans="1:3">
      <c r="A902" s="44"/>
      <c r="B902" s="45"/>
      <c r="C902" s="46"/>
    </row>
    <row r="903" customHeight="1" spans="1:3">
      <c r="A903" s="44"/>
      <c r="B903" s="45"/>
      <c r="C903" s="46"/>
    </row>
    <row r="904" customHeight="1" spans="1:3">
      <c r="A904" s="44"/>
      <c r="B904" s="45"/>
      <c r="C904" s="46"/>
    </row>
    <row r="905" customHeight="1" spans="1:3">
      <c r="A905" s="44"/>
      <c r="B905" s="45"/>
      <c r="C905" s="46"/>
    </row>
    <row r="906" customHeight="1" spans="1:3">
      <c r="A906" s="44"/>
      <c r="B906" s="45"/>
      <c r="C906" s="46"/>
    </row>
    <row r="907" customHeight="1" spans="1:3">
      <c r="A907" s="44"/>
      <c r="B907" s="45"/>
      <c r="C907" s="46"/>
    </row>
    <row r="908" customHeight="1" spans="1:3">
      <c r="A908" s="44"/>
      <c r="B908" s="45"/>
      <c r="C908" s="46"/>
    </row>
    <row r="909" customHeight="1" spans="1:3">
      <c r="A909" s="44"/>
      <c r="B909" s="45"/>
      <c r="C909" s="46"/>
    </row>
    <row r="910" customHeight="1" spans="1:3">
      <c r="A910" s="44"/>
      <c r="B910" s="45"/>
      <c r="C910" s="46"/>
    </row>
    <row r="911" customHeight="1" spans="1:3">
      <c r="A911" s="44"/>
      <c r="B911" s="45"/>
      <c r="C911" s="46"/>
    </row>
    <row r="912" customHeight="1" spans="1:3">
      <c r="A912" s="44"/>
      <c r="B912" s="45"/>
      <c r="C912" s="46"/>
    </row>
    <row r="913" customHeight="1" spans="1:3">
      <c r="A913" s="44"/>
      <c r="B913" s="45"/>
      <c r="C913" s="46"/>
    </row>
    <row r="914" customHeight="1" spans="1:3">
      <c r="A914" s="44"/>
      <c r="B914" s="45"/>
      <c r="C914" s="46"/>
    </row>
    <row r="915" customHeight="1" spans="1:3">
      <c r="A915" s="44"/>
      <c r="B915" s="45"/>
      <c r="C915" s="46"/>
    </row>
    <row r="916" customHeight="1" spans="1:3">
      <c r="A916" s="44"/>
      <c r="B916" s="45"/>
      <c r="C916" s="46"/>
    </row>
    <row r="917" customHeight="1" spans="1:3">
      <c r="A917" s="44"/>
      <c r="B917" s="45"/>
      <c r="C917" s="46"/>
    </row>
    <row r="918" customHeight="1" spans="1:3">
      <c r="A918" s="44"/>
      <c r="B918" s="45"/>
      <c r="C918" s="46"/>
    </row>
    <row r="919" customHeight="1" spans="1:3">
      <c r="A919" s="44"/>
      <c r="B919" s="45"/>
      <c r="C919" s="46"/>
    </row>
    <row r="920" customHeight="1" spans="1:3">
      <c r="A920" s="44"/>
      <c r="B920" s="45"/>
      <c r="C920" s="46"/>
    </row>
    <row r="921" customHeight="1" spans="1:3">
      <c r="A921" s="44"/>
      <c r="B921" s="45"/>
      <c r="C921" s="46"/>
    </row>
    <row r="922" customHeight="1" spans="1:3">
      <c r="A922" s="44"/>
      <c r="B922" s="45"/>
      <c r="C922" s="46"/>
    </row>
    <row r="923" customHeight="1" spans="1:3">
      <c r="A923" s="44"/>
      <c r="B923" s="45"/>
      <c r="C923" s="46"/>
    </row>
    <row r="924" customHeight="1" spans="1:3">
      <c r="A924" s="44"/>
      <c r="B924" s="45"/>
      <c r="C924" s="46"/>
    </row>
    <row r="925" customHeight="1" spans="1:3">
      <c r="A925" s="44"/>
      <c r="B925" s="45"/>
      <c r="C925" s="46"/>
    </row>
    <row r="926" customHeight="1" spans="1:3">
      <c r="A926" s="44"/>
      <c r="B926" s="45"/>
      <c r="C926" s="46"/>
    </row>
    <row r="927" customHeight="1" spans="1:3">
      <c r="A927" s="44"/>
      <c r="B927" s="45"/>
      <c r="C927" s="46"/>
    </row>
    <row r="928" customHeight="1" spans="1:3">
      <c r="A928" s="44"/>
      <c r="B928" s="45"/>
      <c r="C928" s="46"/>
    </row>
    <row r="929" customHeight="1" spans="1:3">
      <c r="A929" s="44"/>
      <c r="B929" s="45"/>
      <c r="C929" s="46"/>
    </row>
    <row r="930" customHeight="1" spans="1:3">
      <c r="A930" s="44"/>
      <c r="B930" s="45"/>
      <c r="C930" s="46"/>
    </row>
    <row r="931" customHeight="1" spans="1:3">
      <c r="A931" s="44"/>
      <c r="B931" s="45"/>
      <c r="C931" s="46"/>
    </row>
    <row r="932" customHeight="1" spans="1:3">
      <c r="A932" s="44"/>
      <c r="B932" s="45"/>
      <c r="C932" s="46"/>
    </row>
    <row r="933" customHeight="1" spans="1:3">
      <c r="A933" s="44"/>
      <c r="B933" s="45"/>
      <c r="C933" s="46"/>
    </row>
    <row r="934" customHeight="1" spans="1:3">
      <c r="A934" s="44"/>
      <c r="B934" s="45"/>
      <c r="C934" s="46"/>
    </row>
    <row r="935" customHeight="1" spans="1:3">
      <c r="A935" s="44"/>
      <c r="B935" s="45"/>
      <c r="C935" s="46"/>
    </row>
    <row r="936" customHeight="1" spans="1:3">
      <c r="A936" s="44"/>
      <c r="B936" s="45"/>
      <c r="C936" s="46"/>
    </row>
    <row r="937" customHeight="1" spans="1:3">
      <c r="A937" s="44"/>
      <c r="B937" s="45"/>
      <c r="C937" s="46"/>
    </row>
    <row r="938" customHeight="1" spans="1:3">
      <c r="A938" s="44"/>
      <c r="B938" s="45"/>
      <c r="C938" s="46"/>
    </row>
    <row r="939" customHeight="1" spans="1:3">
      <c r="A939" s="44"/>
      <c r="B939" s="45"/>
      <c r="C939" s="46"/>
    </row>
    <row r="940" customHeight="1" spans="1:3">
      <c r="A940" s="44"/>
      <c r="B940" s="45"/>
      <c r="C940" s="46"/>
    </row>
    <row r="941" customHeight="1" spans="1:3">
      <c r="A941" s="44"/>
      <c r="B941" s="45"/>
      <c r="C941" s="46"/>
    </row>
    <row r="942" customHeight="1" spans="1:3">
      <c r="A942" s="44"/>
      <c r="B942" s="45"/>
      <c r="C942" s="46"/>
    </row>
    <row r="943" customHeight="1" spans="1:3">
      <c r="A943" s="44"/>
      <c r="B943" s="45"/>
      <c r="C943" s="46"/>
    </row>
    <row r="944" customHeight="1" spans="1:3">
      <c r="A944" s="44"/>
      <c r="B944" s="45"/>
      <c r="C944" s="46"/>
    </row>
    <row r="945" customHeight="1" spans="1:3">
      <c r="A945" s="44"/>
      <c r="B945" s="45"/>
      <c r="C945" s="46"/>
    </row>
    <row r="946" customHeight="1" spans="1:3">
      <c r="A946" s="44"/>
      <c r="B946" s="45"/>
      <c r="C946" s="46"/>
    </row>
    <row r="947" customHeight="1" spans="1:3">
      <c r="A947" s="44"/>
      <c r="B947" s="45"/>
      <c r="C947" s="46"/>
    </row>
    <row r="948" customHeight="1" spans="1:3">
      <c r="A948" s="44"/>
      <c r="B948" s="45"/>
      <c r="C948" s="46"/>
    </row>
    <row r="949" customHeight="1" spans="1:3">
      <c r="A949" s="44"/>
      <c r="B949" s="45"/>
      <c r="C949" s="46"/>
    </row>
    <row r="950" customHeight="1" spans="1:3">
      <c r="A950" s="44"/>
      <c r="B950" s="45"/>
      <c r="C950" s="46"/>
    </row>
    <row r="951" customHeight="1" spans="1:3">
      <c r="A951" s="44"/>
      <c r="B951" s="45"/>
      <c r="C951" s="46"/>
    </row>
    <row r="952" customHeight="1" spans="1:3">
      <c r="A952" s="44"/>
      <c r="B952" s="45"/>
      <c r="C952" s="46"/>
    </row>
    <row r="953" customHeight="1" spans="1:3">
      <c r="A953" s="44"/>
      <c r="B953" s="45"/>
      <c r="C953" s="46"/>
    </row>
    <row r="954" customHeight="1" spans="1:3">
      <c r="A954" s="44"/>
      <c r="B954" s="45"/>
      <c r="C954" s="46"/>
    </row>
    <row r="955" customHeight="1" spans="1:3">
      <c r="A955" s="44"/>
      <c r="B955" s="45"/>
      <c r="C955" s="46"/>
    </row>
    <row r="956" customHeight="1" spans="1:3">
      <c r="A956" s="44"/>
      <c r="B956" s="45"/>
      <c r="C956" s="46"/>
    </row>
    <row r="957" customHeight="1" spans="1:3">
      <c r="A957" s="44"/>
      <c r="B957" s="45"/>
      <c r="C957" s="46"/>
    </row>
    <row r="958" customHeight="1" spans="1:3">
      <c r="A958" s="44"/>
      <c r="B958" s="45"/>
      <c r="C958" s="46"/>
    </row>
    <row r="959" customHeight="1" spans="1:3">
      <c r="A959" s="44"/>
      <c r="B959" s="45"/>
      <c r="C959" s="46"/>
    </row>
    <row r="960" customHeight="1" spans="1:3">
      <c r="A960" s="44"/>
      <c r="B960" s="45"/>
      <c r="C960" s="46"/>
    </row>
    <row r="961" customHeight="1" spans="1:3">
      <c r="A961" s="44"/>
      <c r="B961" s="45"/>
      <c r="C961" s="46"/>
    </row>
    <row r="962" customHeight="1" spans="1:3">
      <c r="A962" s="44"/>
      <c r="B962" s="45"/>
      <c r="C962" s="46"/>
    </row>
    <row r="963" customHeight="1" spans="1:3">
      <c r="A963" s="44"/>
      <c r="B963" s="45"/>
      <c r="C963" s="46"/>
    </row>
    <row r="964" customHeight="1" spans="1:3">
      <c r="A964" s="44"/>
      <c r="B964" s="45"/>
      <c r="C964" s="46"/>
    </row>
    <row r="965" customHeight="1" spans="1:3">
      <c r="A965" s="44"/>
      <c r="B965" s="45"/>
      <c r="C965" s="46"/>
    </row>
    <row r="966" customHeight="1" spans="1:3">
      <c r="A966" s="44"/>
      <c r="B966" s="45"/>
      <c r="C966" s="46"/>
    </row>
    <row r="967" customHeight="1" spans="1:3">
      <c r="A967" s="44"/>
      <c r="B967" s="45"/>
      <c r="C967" s="46"/>
    </row>
    <row r="968" customHeight="1" spans="1:3">
      <c r="A968" s="44"/>
      <c r="B968" s="45"/>
      <c r="C968" s="46"/>
    </row>
    <row r="969" customHeight="1" spans="1:3">
      <c r="A969" s="44"/>
      <c r="B969" s="45"/>
      <c r="C969" s="46"/>
    </row>
    <row r="970" customHeight="1" spans="1:3">
      <c r="A970" s="44"/>
      <c r="B970" s="45"/>
      <c r="C970" s="46"/>
    </row>
    <row r="971" customHeight="1" spans="1:3">
      <c r="A971" s="44"/>
      <c r="B971" s="45"/>
      <c r="C971" s="46"/>
    </row>
    <row r="972" customHeight="1" spans="1:3">
      <c r="A972" s="44"/>
      <c r="B972" s="45"/>
      <c r="C972" s="46"/>
    </row>
    <row r="973" customHeight="1" spans="1:3">
      <c r="A973" s="44"/>
      <c r="B973" s="45"/>
      <c r="C973" s="46"/>
    </row>
    <row r="974" customHeight="1" spans="1:3">
      <c r="A974" s="44"/>
      <c r="B974" s="45"/>
      <c r="C974" s="46"/>
    </row>
    <row r="975" customHeight="1" spans="1:3">
      <c r="A975" s="44"/>
      <c r="B975" s="45"/>
      <c r="C975" s="46"/>
    </row>
    <row r="976" customHeight="1" spans="1:3">
      <c r="A976" s="44"/>
      <c r="B976" s="45"/>
      <c r="C976" s="46"/>
    </row>
    <row r="977" customHeight="1" spans="1:3">
      <c r="A977" s="44"/>
      <c r="B977" s="45"/>
      <c r="C977" s="46"/>
    </row>
    <row r="978" customHeight="1" spans="1:3">
      <c r="A978" s="44"/>
      <c r="B978" s="45"/>
      <c r="C978" s="46"/>
    </row>
    <row r="979" customHeight="1" spans="1:3">
      <c r="A979" s="44"/>
      <c r="B979" s="45"/>
      <c r="C979" s="46"/>
    </row>
    <row r="980" customHeight="1" spans="1:3">
      <c r="A980" s="44"/>
      <c r="B980" s="45"/>
      <c r="C980" s="46"/>
    </row>
    <row r="981" customHeight="1" spans="1:3">
      <c r="A981" s="44"/>
      <c r="B981" s="45"/>
      <c r="C981" s="46"/>
    </row>
    <row r="982" customHeight="1" spans="1:3">
      <c r="A982" s="44"/>
      <c r="B982" s="45"/>
      <c r="C982" s="46"/>
    </row>
    <row r="983" customHeight="1" spans="1:3">
      <c r="A983" s="44"/>
      <c r="B983" s="45"/>
      <c r="C983" s="46"/>
    </row>
    <row r="984" customHeight="1" spans="1:3">
      <c r="A984" s="44"/>
      <c r="B984" s="45"/>
      <c r="C984" s="46"/>
    </row>
    <row r="985" customHeight="1" spans="1:3">
      <c r="A985" s="44"/>
      <c r="B985" s="45"/>
      <c r="C985" s="46"/>
    </row>
    <row r="986" customHeight="1" spans="1:3">
      <c r="A986" s="44"/>
      <c r="B986" s="45"/>
      <c r="C986" s="46"/>
    </row>
    <row r="987" customHeight="1" spans="1:3">
      <c r="A987" s="44"/>
      <c r="B987" s="45"/>
      <c r="C987" s="46"/>
    </row>
    <row r="988" customHeight="1" spans="1:3">
      <c r="A988" s="44"/>
      <c r="B988" s="45"/>
      <c r="C988" s="46"/>
    </row>
    <row r="989" customHeight="1" spans="1:3">
      <c r="A989" s="44"/>
      <c r="B989" s="45"/>
      <c r="C989" s="46"/>
    </row>
    <row r="990" customHeight="1" spans="1:3">
      <c r="A990" s="44"/>
      <c r="B990" s="45"/>
      <c r="C990" s="46"/>
    </row>
    <row r="991" customHeight="1" spans="1:3">
      <c r="A991" s="44"/>
      <c r="B991" s="45"/>
      <c r="C991" s="46"/>
    </row>
    <row r="992" customHeight="1" spans="1:3">
      <c r="A992" s="44"/>
      <c r="B992" s="45"/>
      <c r="C992" s="46"/>
    </row>
    <row r="993" customHeight="1" spans="1:3">
      <c r="A993" s="44"/>
      <c r="B993" s="45"/>
      <c r="C993" s="46"/>
    </row>
    <row r="994" customHeight="1" spans="1:3">
      <c r="A994" s="44"/>
      <c r="B994" s="45"/>
      <c r="C994" s="46"/>
    </row>
    <row r="995" customHeight="1" spans="1:3">
      <c r="A995" s="44"/>
      <c r="B995" s="45"/>
      <c r="C995" s="46"/>
    </row>
    <row r="996" customHeight="1" spans="1:3">
      <c r="A996" s="44"/>
      <c r="B996" s="45"/>
      <c r="C996" s="46"/>
    </row>
    <row r="997" customHeight="1" spans="1:3">
      <c r="A997" s="44"/>
      <c r="B997" s="45"/>
      <c r="C997" s="46"/>
    </row>
    <row r="998" customHeight="1" spans="1:3">
      <c r="A998" s="44"/>
      <c r="B998" s="45"/>
      <c r="C998" s="46"/>
    </row>
    <row r="999" customHeight="1" spans="1:3">
      <c r="A999" s="44"/>
      <c r="B999" s="45"/>
      <c r="C999" s="46"/>
    </row>
    <row r="1000" customHeight="1" spans="1:3">
      <c r="A1000" s="44"/>
      <c r="B1000" s="45"/>
      <c r="C1000" s="46"/>
    </row>
  </sheetData>
  <mergeCells count="1">
    <mergeCell ref="F1:L1"/>
  </mergeCells>
  <conditionalFormatting sqref="A1:D51">
    <cfRule type="expression" dxfId="38" priority="1">
      <formula>MOD(ROW(),2)=1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99"/>
  <sheetViews>
    <sheetView workbookViewId="0">
      <selection activeCell="J5" sqref="J5"/>
    </sheetView>
  </sheetViews>
  <sheetFormatPr defaultColWidth="12.6285714285714" defaultRowHeight="15.75" customHeight="1"/>
  <cols>
    <col min="1" max="1" width="23.8571428571429" customWidth="1"/>
    <col min="2" max="2" width="16.5714285714286" customWidth="1"/>
    <col min="3" max="3" width="9.28571428571429" customWidth="1"/>
    <col min="4" max="4" width="9.42857142857143" customWidth="1"/>
    <col min="7" max="7" width="16.2857142857143" customWidth="1"/>
    <col min="8" max="8" width="14" customWidth="1"/>
    <col min="9" max="9" width="13.7142857142857" customWidth="1"/>
    <col min="10" max="10" width="14" customWidth="1"/>
    <col min="14" max="14" width="17.2857142857143" customWidth="1"/>
  </cols>
  <sheetData>
    <row r="1" customHeight="1" spans="1:10">
      <c r="A1" s="9" t="s">
        <v>19</v>
      </c>
      <c r="B1" s="9" t="s">
        <v>20</v>
      </c>
      <c r="C1" s="9" t="s">
        <v>23</v>
      </c>
      <c r="D1" s="9" t="s">
        <v>25</v>
      </c>
      <c r="G1" s="38" t="s">
        <v>12</v>
      </c>
    </row>
    <row r="2" customHeight="1" spans="1:10">
      <c r="A2" s="10" t="s">
        <v>28</v>
      </c>
      <c r="B2" s="10" t="s">
        <v>29</v>
      </c>
      <c r="C2" s="10">
        <v>83000</v>
      </c>
      <c r="D2" s="10">
        <v>2</v>
      </c>
    </row>
    <row r="3" customHeight="1" spans="1:10">
      <c r="A3" s="10" t="s">
        <v>33</v>
      </c>
      <c r="B3" s="10" t="s">
        <v>29</v>
      </c>
      <c r="C3" s="10">
        <v>93000</v>
      </c>
      <c r="D3" s="10">
        <v>1.8</v>
      </c>
      <c r="G3" s="39" t="s">
        <v>163</v>
      </c>
      <c r="H3" s="40"/>
      <c r="I3" s="40"/>
      <c r="J3" s="41"/>
    </row>
    <row r="4" customHeight="1" spans="1:10">
      <c r="A4" s="10" t="s">
        <v>35</v>
      </c>
      <c r="B4" s="10" t="s">
        <v>29</v>
      </c>
      <c r="C4" s="10">
        <v>78000</v>
      </c>
      <c r="D4" s="10">
        <v>4</v>
      </c>
      <c r="G4" s="13" t="s">
        <v>164</v>
      </c>
      <c r="H4" s="13" t="s">
        <v>165</v>
      </c>
      <c r="I4" s="13" t="s">
        <v>166</v>
      </c>
      <c r="J4" s="13" t="s">
        <v>167</v>
      </c>
    </row>
    <row r="5" customHeight="1" spans="1:10">
      <c r="A5" s="10" t="s">
        <v>38</v>
      </c>
      <c r="B5" s="10" t="s">
        <v>29</v>
      </c>
      <c r="C5" s="10">
        <v>122000</v>
      </c>
      <c r="D5" s="10">
        <v>4.3</v>
      </c>
      <c r="G5" s="35" t="str">
        <f t="array" ref="G5:G9">_xlfn.UNIQUE(B2:B51)</f>
        <v>Engineering</v>
      </c>
      <c r="H5" s="35">
        <f t="shared" ref="H5:H9" si="0">COUNTIF(B2:B51,G5)</f>
        <v>10</v>
      </c>
      <c r="I5" s="35">
        <f t="shared" ref="I5:I9" si="1">AVERAGEIF(B2:B51,G5,C2:C51)</f>
        <v>99000</v>
      </c>
      <c r="J5" s="35">
        <f t="shared" ref="J5:J9" si="2">AVERAGEIF(B2:B51,G5,D2:D51)</f>
        <v>2.72</v>
      </c>
    </row>
    <row r="6" customHeight="1" spans="1:10">
      <c r="A6" s="10" t="s">
        <v>42</v>
      </c>
      <c r="B6" s="10" t="s">
        <v>29</v>
      </c>
      <c r="C6" s="10">
        <v>79000</v>
      </c>
      <c r="D6" s="10">
        <v>2.7</v>
      </c>
      <c r="G6" s="35" t="str">
        <v>Sales</v>
      </c>
      <c r="H6" s="35">
        <f t="shared" si="0"/>
        <v>10</v>
      </c>
      <c r="I6" s="35">
        <f t="shared" si="1"/>
        <v>71200</v>
      </c>
      <c r="J6" s="35">
        <f t="shared" si="2"/>
        <v>3.56</v>
      </c>
    </row>
    <row r="7" customHeight="1" spans="1:10">
      <c r="A7" s="10" t="s">
        <v>44</v>
      </c>
      <c r="B7" s="10" t="s">
        <v>29</v>
      </c>
      <c r="C7" s="10">
        <v>105000</v>
      </c>
      <c r="D7" s="10">
        <v>1.7</v>
      </c>
      <c r="G7" s="35" t="str">
        <v>Marketing</v>
      </c>
      <c r="H7" s="35">
        <f t="shared" si="0"/>
        <v>10</v>
      </c>
      <c r="I7" s="35">
        <f t="shared" si="1"/>
        <v>64800</v>
      </c>
      <c r="J7" s="35">
        <f t="shared" si="2"/>
        <v>3.18</v>
      </c>
    </row>
    <row r="8" customHeight="1" spans="1:10">
      <c r="A8" s="10" t="s">
        <v>46</v>
      </c>
      <c r="B8" s="10" t="s">
        <v>29</v>
      </c>
      <c r="C8" s="10">
        <v>101000</v>
      </c>
      <c r="D8" s="10">
        <v>3.7</v>
      </c>
      <c r="G8" s="35" t="str">
        <v>Operations</v>
      </c>
      <c r="H8" s="35">
        <f t="shared" si="0"/>
        <v>10</v>
      </c>
      <c r="I8" s="35">
        <f t="shared" si="1"/>
        <v>63200</v>
      </c>
      <c r="J8" s="35">
        <f t="shared" si="2"/>
        <v>3.29</v>
      </c>
    </row>
    <row r="9" customHeight="1" spans="1:10">
      <c r="A9" s="10" t="s">
        <v>49</v>
      </c>
      <c r="B9" s="10" t="s">
        <v>29</v>
      </c>
      <c r="C9" s="10">
        <v>108000</v>
      </c>
      <c r="D9" s="10">
        <v>2.5</v>
      </c>
      <c r="G9" s="35" t="str">
        <v>HR</v>
      </c>
      <c r="H9" s="35">
        <f t="shared" si="0"/>
        <v>10</v>
      </c>
      <c r="I9" s="35">
        <f t="shared" si="1"/>
        <v>60800</v>
      </c>
      <c r="J9" s="35">
        <f t="shared" si="2"/>
        <v>3.28</v>
      </c>
    </row>
    <row r="10" customHeight="1" spans="1:10">
      <c r="A10" s="10" t="s">
        <v>51</v>
      </c>
      <c r="B10" s="10" t="s">
        <v>29</v>
      </c>
      <c r="C10" s="10">
        <v>95000</v>
      </c>
      <c r="D10" s="10">
        <v>2.8</v>
      </c>
    </row>
    <row r="11" customHeight="1" spans="1:10">
      <c r="A11" s="10" t="s">
        <v>53</v>
      </c>
      <c r="B11" s="10" t="s">
        <v>29</v>
      </c>
      <c r="C11" s="10">
        <v>126000</v>
      </c>
      <c r="D11" s="10">
        <v>1.7</v>
      </c>
    </row>
    <row r="12" customHeight="1" spans="1:10">
      <c r="A12" s="10" t="s">
        <v>55</v>
      </c>
      <c r="B12" s="10" t="s">
        <v>56</v>
      </c>
      <c r="C12" s="10">
        <v>75000</v>
      </c>
      <c r="D12" s="10">
        <v>5</v>
      </c>
    </row>
    <row r="13" customHeight="1" spans="1:10">
      <c r="A13" s="10" t="s">
        <v>59</v>
      </c>
      <c r="B13" s="10" t="s">
        <v>56</v>
      </c>
      <c r="C13" s="10">
        <v>66000</v>
      </c>
      <c r="D13" s="10">
        <v>4.2</v>
      </c>
    </row>
    <row r="14" customHeight="1" spans="1:10">
      <c r="A14" s="10" t="s">
        <v>61</v>
      </c>
      <c r="B14" s="10" t="s">
        <v>56</v>
      </c>
      <c r="C14" s="10">
        <v>49000</v>
      </c>
      <c r="D14" s="10">
        <v>4.8</v>
      </c>
    </row>
    <row r="15" customHeight="1" spans="1:10">
      <c r="A15" s="10" t="s">
        <v>64</v>
      </c>
      <c r="B15" s="10" t="s">
        <v>56</v>
      </c>
      <c r="C15" s="10">
        <v>87000</v>
      </c>
      <c r="D15" s="10">
        <v>2.4</v>
      </c>
    </row>
    <row r="16" customHeight="1" spans="1:10">
      <c r="A16" s="10" t="s">
        <v>66</v>
      </c>
      <c r="B16" s="10" t="s">
        <v>56</v>
      </c>
      <c r="C16" s="10">
        <v>83000</v>
      </c>
      <c r="D16" s="10">
        <v>3.5</v>
      </c>
    </row>
    <row r="17" customHeight="1" spans="1:4">
      <c r="A17" s="10" t="s">
        <v>69</v>
      </c>
      <c r="B17" s="10" t="s">
        <v>56</v>
      </c>
      <c r="C17" s="10">
        <v>95000</v>
      </c>
      <c r="D17" s="10">
        <v>1.9</v>
      </c>
    </row>
    <row r="18" customHeight="1" spans="1:4">
      <c r="A18" s="10" t="s">
        <v>71</v>
      </c>
      <c r="B18" s="10" t="s">
        <v>56</v>
      </c>
      <c r="C18" s="10">
        <v>49000</v>
      </c>
      <c r="D18" s="10">
        <v>3.6</v>
      </c>
    </row>
    <row r="19" customHeight="1" spans="1:4">
      <c r="A19" s="10" t="s">
        <v>73</v>
      </c>
      <c r="B19" s="10" t="s">
        <v>56</v>
      </c>
      <c r="C19" s="10">
        <v>92000</v>
      </c>
      <c r="D19" s="10">
        <v>4.6</v>
      </c>
    </row>
    <row r="20" customHeight="1" spans="1:4">
      <c r="A20" s="10" t="s">
        <v>76</v>
      </c>
      <c r="B20" s="10" t="s">
        <v>56</v>
      </c>
      <c r="C20" s="10">
        <v>64000</v>
      </c>
      <c r="D20" s="10">
        <v>3.1</v>
      </c>
    </row>
    <row r="21" customHeight="1" spans="1:4">
      <c r="A21" s="10" t="s">
        <v>78</v>
      </c>
      <c r="B21" s="10" t="s">
        <v>56</v>
      </c>
      <c r="C21" s="10">
        <v>52000</v>
      </c>
      <c r="D21" s="10">
        <v>2.5</v>
      </c>
    </row>
    <row r="22" customHeight="1" spans="1:4">
      <c r="A22" s="10" t="s">
        <v>80</v>
      </c>
      <c r="B22" s="10" t="s">
        <v>81</v>
      </c>
      <c r="C22" s="10">
        <v>53000</v>
      </c>
      <c r="D22" s="10">
        <v>4.2</v>
      </c>
    </row>
    <row r="23" customHeight="1" spans="1:4">
      <c r="A23" s="10" t="s">
        <v>84</v>
      </c>
      <c r="B23" s="10" t="s">
        <v>81</v>
      </c>
      <c r="C23" s="10">
        <v>43000</v>
      </c>
      <c r="D23" s="10">
        <v>2.8</v>
      </c>
    </row>
    <row r="24" customHeight="1" spans="1:4">
      <c r="A24" s="10" t="s">
        <v>86</v>
      </c>
      <c r="B24" s="10" t="s">
        <v>81</v>
      </c>
      <c r="C24" s="10">
        <v>47000</v>
      </c>
      <c r="D24" s="10">
        <v>3.2</v>
      </c>
    </row>
    <row r="25" customHeight="1" spans="1:4">
      <c r="A25" s="10" t="s">
        <v>89</v>
      </c>
      <c r="B25" s="10" t="s">
        <v>81</v>
      </c>
      <c r="C25" s="10">
        <v>85000</v>
      </c>
      <c r="D25" s="10">
        <v>3.4</v>
      </c>
    </row>
    <row r="26" customHeight="1" spans="1:4">
      <c r="A26" s="10" t="s">
        <v>91</v>
      </c>
      <c r="B26" s="10" t="s">
        <v>81</v>
      </c>
      <c r="C26" s="10">
        <v>77000</v>
      </c>
      <c r="D26" s="10">
        <v>3.9</v>
      </c>
    </row>
    <row r="27" customHeight="1" spans="1:4">
      <c r="A27" s="10" t="s">
        <v>94</v>
      </c>
      <c r="B27" s="10" t="s">
        <v>81</v>
      </c>
      <c r="C27" s="10">
        <v>76000</v>
      </c>
      <c r="D27" s="10">
        <v>2.4</v>
      </c>
    </row>
    <row r="28" customHeight="1" spans="1:4">
      <c r="A28" s="10" t="s">
        <v>96</v>
      </c>
      <c r="B28" s="10" t="s">
        <v>81</v>
      </c>
      <c r="C28" s="10">
        <v>56000</v>
      </c>
      <c r="D28" s="10">
        <v>4</v>
      </c>
    </row>
    <row r="29" customHeight="1" spans="1:4">
      <c r="A29" s="10" t="s">
        <v>98</v>
      </c>
      <c r="B29" s="10" t="s">
        <v>81</v>
      </c>
      <c r="C29" s="10">
        <v>47000</v>
      </c>
      <c r="D29" s="10">
        <v>2.5</v>
      </c>
    </row>
    <row r="30" customHeight="1" spans="1:4">
      <c r="A30" s="10" t="s">
        <v>101</v>
      </c>
      <c r="B30" s="10" t="s">
        <v>81</v>
      </c>
      <c r="C30" s="10">
        <v>79000</v>
      </c>
      <c r="D30" s="10">
        <v>2.4</v>
      </c>
    </row>
    <row r="31" customHeight="1" spans="1:4">
      <c r="A31" s="10" t="s">
        <v>103</v>
      </c>
      <c r="B31" s="10" t="s">
        <v>81</v>
      </c>
      <c r="C31" s="10">
        <v>85000</v>
      </c>
      <c r="D31" s="10">
        <v>3</v>
      </c>
    </row>
    <row r="32" customHeight="1" spans="1:4">
      <c r="A32" s="10" t="s">
        <v>105</v>
      </c>
      <c r="B32" s="10" t="s">
        <v>106</v>
      </c>
      <c r="C32" s="10">
        <v>66000</v>
      </c>
      <c r="D32" s="10">
        <v>4.3</v>
      </c>
    </row>
    <row r="33" customHeight="1" spans="1:4">
      <c r="A33" s="10" t="s">
        <v>109</v>
      </c>
      <c r="B33" s="10" t="s">
        <v>106</v>
      </c>
      <c r="C33" s="10">
        <v>69000</v>
      </c>
      <c r="D33" s="10">
        <v>2.1</v>
      </c>
    </row>
    <row r="34" customHeight="1" spans="1:4">
      <c r="A34" s="10" t="s">
        <v>112</v>
      </c>
      <c r="B34" s="10" t="s">
        <v>106</v>
      </c>
      <c r="C34" s="10">
        <v>76000</v>
      </c>
      <c r="D34" s="10">
        <v>3.8</v>
      </c>
    </row>
    <row r="35" customHeight="1" spans="1:4">
      <c r="A35" s="10" t="s">
        <v>115</v>
      </c>
      <c r="B35" s="10" t="s">
        <v>106</v>
      </c>
      <c r="C35" s="10">
        <v>67000</v>
      </c>
      <c r="D35" s="10">
        <v>2.2</v>
      </c>
    </row>
    <row r="36" customHeight="1" spans="1:4">
      <c r="A36" s="10" t="s">
        <v>117</v>
      </c>
      <c r="B36" s="10" t="s">
        <v>106</v>
      </c>
      <c r="C36" s="10">
        <v>66000</v>
      </c>
      <c r="D36" s="10">
        <v>4.2</v>
      </c>
    </row>
    <row r="37" customHeight="1" spans="1:4">
      <c r="A37" s="10" t="s">
        <v>119</v>
      </c>
      <c r="B37" s="10" t="s">
        <v>106</v>
      </c>
      <c r="C37" s="10">
        <v>52000</v>
      </c>
      <c r="D37" s="10">
        <v>4.9</v>
      </c>
    </row>
    <row r="38" customHeight="1" spans="1:4">
      <c r="A38" s="10" t="s">
        <v>121</v>
      </c>
      <c r="B38" s="10" t="s">
        <v>106</v>
      </c>
      <c r="C38" s="10">
        <v>61000</v>
      </c>
      <c r="D38" s="10">
        <v>3.5</v>
      </c>
    </row>
    <row r="39" customHeight="1" spans="1:4">
      <c r="A39" s="10" t="s">
        <v>123</v>
      </c>
      <c r="B39" s="10" t="s">
        <v>106</v>
      </c>
      <c r="C39" s="10">
        <v>45000</v>
      </c>
      <c r="D39" s="10">
        <v>1.7</v>
      </c>
    </row>
    <row r="40" customHeight="1" spans="1:4">
      <c r="A40" s="10" t="s">
        <v>125</v>
      </c>
      <c r="B40" s="10" t="s">
        <v>106</v>
      </c>
      <c r="C40" s="10">
        <v>77000</v>
      </c>
      <c r="D40" s="10">
        <v>3.6</v>
      </c>
    </row>
    <row r="41" customHeight="1" spans="1:4">
      <c r="A41" s="10" t="s">
        <v>127</v>
      </c>
      <c r="B41" s="10" t="s">
        <v>106</v>
      </c>
      <c r="C41" s="10">
        <v>53000</v>
      </c>
      <c r="D41" s="10">
        <v>2.6</v>
      </c>
    </row>
    <row r="42" customHeight="1" spans="1:4">
      <c r="A42" s="10" t="s">
        <v>130</v>
      </c>
      <c r="B42" s="10" t="s">
        <v>131</v>
      </c>
      <c r="C42" s="10">
        <v>59000</v>
      </c>
      <c r="D42" s="10">
        <v>4.8</v>
      </c>
    </row>
    <row r="43" customHeight="1" spans="1:4">
      <c r="A43" s="10" t="s">
        <v>134</v>
      </c>
      <c r="B43" s="10" t="s">
        <v>131</v>
      </c>
      <c r="C43" s="10">
        <v>73000</v>
      </c>
      <c r="D43" s="10">
        <v>2.4</v>
      </c>
    </row>
    <row r="44" customHeight="1" spans="1:4">
      <c r="A44" s="10" t="s">
        <v>137</v>
      </c>
      <c r="B44" s="10" t="s">
        <v>131</v>
      </c>
      <c r="C44" s="10">
        <v>48000</v>
      </c>
      <c r="D44" s="10">
        <v>3.4</v>
      </c>
    </row>
    <row r="45" customHeight="1" spans="1:4">
      <c r="A45" s="10" t="s">
        <v>139</v>
      </c>
      <c r="B45" s="10" t="s">
        <v>131</v>
      </c>
      <c r="C45" s="10">
        <v>74000</v>
      </c>
      <c r="D45" s="10">
        <v>3.8</v>
      </c>
    </row>
    <row r="46" customHeight="1" spans="1:4">
      <c r="A46" s="10" t="s">
        <v>141</v>
      </c>
      <c r="B46" s="10" t="s">
        <v>131</v>
      </c>
      <c r="C46" s="10">
        <v>74000</v>
      </c>
      <c r="D46" s="10">
        <v>2.5</v>
      </c>
    </row>
    <row r="47" customHeight="1" spans="1:4">
      <c r="A47" s="10" t="s">
        <v>143</v>
      </c>
      <c r="B47" s="10" t="s">
        <v>131</v>
      </c>
      <c r="C47" s="10">
        <v>55000</v>
      </c>
      <c r="D47" s="10">
        <v>2.4</v>
      </c>
    </row>
    <row r="48" customHeight="1" spans="1:4">
      <c r="A48" s="10" t="s">
        <v>146</v>
      </c>
      <c r="B48" s="10" t="s">
        <v>131</v>
      </c>
      <c r="C48" s="10">
        <v>56000</v>
      </c>
      <c r="D48" s="10">
        <v>2.7</v>
      </c>
    </row>
    <row r="49" customHeight="1" spans="1:4">
      <c r="A49" s="10" t="s">
        <v>149</v>
      </c>
      <c r="B49" s="10" t="s">
        <v>131</v>
      </c>
      <c r="C49" s="10">
        <v>67000</v>
      </c>
      <c r="D49" s="10">
        <v>3</v>
      </c>
    </row>
    <row r="50" customHeight="1" spans="1:4">
      <c r="A50" s="10" t="s">
        <v>151</v>
      </c>
      <c r="B50" s="10" t="s">
        <v>131</v>
      </c>
      <c r="C50" s="10">
        <v>40000</v>
      </c>
      <c r="D50" s="10">
        <v>3.5</v>
      </c>
    </row>
    <row r="51" customHeight="1" spans="1:4">
      <c r="A51" s="10" t="s">
        <v>153</v>
      </c>
      <c r="B51" s="10" t="s">
        <v>131</v>
      </c>
      <c r="C51" s="10">
        <v>62000</v>
      </c>
      <c r="D51" s="10">
        <v>4.3</v>
      </c>
    </row>
    <row r="52" customHeight="1" spans="1:4">
      <c r="A52" s="42"/>
      <c r="B52" s="42"/>
      <c r="C52" s="42"/>
      <c r="D52" s="42"/>
    </row>
    <row r="53" customHeight="1" spans="1:4">
      <c r="A53" s="42"/>
      <c r="B53" s="42"/>
      <c r="C53" s="42"/>
      <c r="D53" s="42"/>
    </row>
    <row r="54" customHeight="1" spans="1:4">
      <c r="A54" s="42"/>
      <c r="B54" s="42"/>
      <c r="C54" s="42"/>
      <c r="D54" s="42"/>
    </row>
    <row r="55" customHeight="1" spans="1:4">
      <c r="A55" s="42"/>
      <c r="B55" s="42"/>
      <c r="C55" s="42"/>
      <c r="D55" s="42"/>
    </row>
    <row r="56" customHeight="1" spans="1:4">
      <c r="A56" s="42"/>
      <c r="B56" s="42"/>
      <c r="C56" s="42"/>
      <c r="D56" s="42"/>
    </row>
    <row r="57" customHeight="1" spans="1:4">
      <c r="A57" s="42"/>
      <c r="B57" s="42"/>
      <c r="C57" s="42"/>
      <c r="D57" s="42"/>
    </row>
    <row r="58" customHeight="1" spans="1:4">
      <c r="A58" s="42"/>
      <c r="B58" s="42"/>
      <c r="C58" s="42"/>
      <c r="D58" s="42"/>
    </row>
    <row r="59" customHeight="1" spans="1:4">
      <c r="A59" s="42"/>
      <c r="B59" s="42"/>
      <c r="C59" s="42"/>
      <c r="D59" s="42"/>
    </row>
    <row r="60" customHeight="1" spans="1:4">
      <c r="A60" s="42"/>
      <c r="B60" s="42"/>
      <c r="C60" s="42"/>
      <c r="D60" s="42"/>
    </row>
    <row r="61" customHeight="1" spans="1:4">
      <c r="A61" s="42"/>
      <c r="B61" s="42"/>
      <c r="C61" s="42"/>
      <c r="D61" s="42"/>
    </row>
    <row r="62" customHeight="1" spans="1:4">
      <c r="A62" s="42"/>
      <c r="B62" s="42"/>
      <c r="C62" s="42"/>
      <c r="D62" s="42"/>
    </row>
    <row r="63" customHeight="1" spans="1:4">
      <c r="A63" s="42"/>
      <c r="B63" s="42"/>
      <c r="C63" s="42"/>
      <c r="D63" s="42"/>
    </row>
    <row r="64" customHeight="1" spans="1:4">
      <c r="A64" s="42"/>
      <c r="B64" s="42"/>
      <c r="C64" s="42"/>
      <c r="D64" s="42"/>
    </row>
    <row r="65" customHeight="1" spans="1:4">
      <c r="A65" s="42"/>
      <c r="B65" s="42"/>
      <c r="C65" s="42"/>
      <c r="D65" s="42"/>
    </row>
    <row r="66" customHeight="1" spans="1:4">
      <c r="A66" s="42"/>
      <c r="B66" s="42"/>
      <c r="C66" s="42"/>
      <c r="D66" s="42"/>
    </row>
    <row r="67" customHeight="1" spans="1:4">
      <c r="A67" s="42"/>
      <c r="B67" s="42"/>
      <c r="C67" s="42"/>
      <c r="D67" s="42"/>
    </row>
    <row r="68" customHeight="1" spans="1:4">
      <c r="A68" s="42"/>
      <c r="B68" s="42"/>
      <c r="C68" s="42"/>
      <c r="D68" s="42"/>
    </row>
    <row r="69" customHeight="1" spans="1:4">
      <c r="A69" s="42"/>
      <c r="B69" s="42"/>
      <c r="C69" s="42"/>
      <c r="D69" s="42"/>
    </row>
    <row r="70" customHeight="1" spans="1:4">
      <c r="A70" s="42"/>
      <c r="B70" s="42"/>
      <c r="C70" s="42"/>
      <c r="D70" s="42"/>
    </row>
    <row r="71" customHeight="1" spans="1:4">
      <c r="A71" s="42"/>
      <c r="B71" s="42"/>
      <c r="C71" s="42"/>
      <c r="D71" s="42"/>
    </row>
    <row r="72" customHeight="1" spans="1:4">
      <c r="A72" s="42"/>
      <c r="B72" s="42"/>
      <c r="C72" s="42"/>
      <c r="D72" s="42"/>
    </row>
    <row r="73" customHeight="1" spans="1:4">
      <c r="A73" s="42"/>
      <c r="B73" s="42"/>
      <c r="C73" s="42"/>
      <c r="D73" s="42"/>
    </row>
    <row r="74" customHeight="1" spans="1:4">
      <c r="A74" s="42"/>
      <c r="B74" s="42"/>
      <c r="C74" s="42"/>
      <c r="D74" s="42"/>
    </row>
    <row r="75" customHeight="1" spans="1:4">
      <c r="A75" s="42"/>
      <c r="B75" s="42"/>
      <c r="C75" s="42"/>
      <c r="D75" s="42"/>
    </row>
    <row r="76" customHeight="1" spans="1:4">
      <c r="A76" s="42"/>
      <c r="B76" s="42"/>
      <c r="C76" s="42"/>
      <c r="D76" s="42"/>
    </row>
    <row r="77" customHeight="1" spans="1:4">
      <c r="A77" s="42"/>
      <c r="B77" s="42"/>
      <c r="C77" s="42"/>
      <c r="D77" s="42"/>
    </row>
    <row r="78" customHeight="1" spans="1:4">
      <c r="A78" s="42"/>
      <c r="B78" s="42"/>
      <c r="C78" s="42"/>
      <c r="D78" s="42"/>
    </row>
    <row r="79" customHeight="1" spans="1:4">
      <c r="A79" s="42"/>
      <c r="B79" s="42"/>
      <c r="C79" s="42"/>
      <c r="D79" s="42"/>
    </row>
    <row r="80" customHeight="1" spans="1:4">
      <c r="A80" s="42"/>
      <c r="B80" s="42"/>
      <c r="C80" s="42"/>
      <c r="D80" s="42"/>
    </row>
    <row r="81" customHeight="1" spans="1:4">
      <c r="A81" s="42"/>
      <c r="B81" s="42"/>
      <c r="C81" s="42"/>
      <c r="D81" s="42"/>
    </row>
    <row r="82" customHeight="1" spans="1:4">
      <c r="A82" s="42"/>
      <c r="B82" s="42"/>
      <c r="C82" s="42"/>
      <c r="D82" s="42"/>
    </row>
    <row r="83" customHeight="1" spans="1:4">
      <c r="A83" s="42"/>
      <c r="B83" s="42"/>
      <c r="C83" s="42"/>
      <c r="D83" s="42"/>
    </row>
    <row r="84" customHeight="1" spans="1:4">
      <c r="A84" s="42"/>
      <c r="B84" s="42"/>
      <c r="C84" s="42"/>
      <c r="D84" s="42"/>
    </row>
    <row r="85" customHeight="1" spans="1:4">
      <c r="A85" s="42"/>
      <c r="B85" s="42"/>
      <c r="C85" s="42"/>
      <c r="D85" s="42"/>
    </row>
    <row r="86" customHeight="1" spans="1:4">
      <c r="A86" s="42"/>
      <c r="B86" s="42"/>
      <c r="C86" s="42"/>
      <c r="D86" s="42"/>
    </row>
    <row r="87" customHeight="1" spans="1:4">
      <c r="A87" s="42"/>
      <c r="B87" s="42"/>
      <c r="C87" s="42"/>
      <c r="D87" s="42"/>
    </row>
    <row r="88" customHeight="1" spans="1:4">
      <c r="A88" s="42"/>
      <c r="B88" s="42"/>
      <c r="C88" s="42"/>
      <c r="D88" s="42"/>
    </row>
    <row r="89" customHeight="1" spans="1:4">
      <c r="A89" s="42"/>
      <c r="B89" s="42"/>
      <c r="C89" s="42"/>
      <c r="D89" s="42"/>
    </row>
    <row r="90" customHeight="1" spans="1:4">
      <c r="A90" s="42"/>
      <c r="B90" s="42"/>
      <c r="C90" s="42"/>
      <c r="D90" s="42"/>
    </row>
    <row r="91" customHeight="1" spans="1:4">
      <c r="A91" s="42"/>
      <c r="B91" s="42"/>
      <c r="C91" s="42"/>
      <c r="D91" s="42"/>
    </row>
    <row r="92" customHeight="1" spans="1:4">
      <c r="A92" s="42"/>
      <c r="B92" s="42"/>
      <c r="C92" s="42"/>
      <c r="D92" s="42"/>
    </row>
    <row r="93" customHeight="1" spans="1:4">
      <c r="A93" s="42"/>
      <c r="B93" s="42"/>
      <c r="C93" s="42"/>
      <c r="D93" s="42"/>
    </row>
    <row r="94" customHeight="1" spans="1:4">
      <c r="A94" s="42"/>
      <c r="B94" s="42"/>
      <c r="C94" s="42"/>
      <c r="D94" s="42"/>
    </row>
    <row r="95" customHeight="1" spans="1:4">
      <c r="A95" s="42"/>
      <c r="B95" s="42"/>
      <c r="C95" s="42"/>
      <c r="D95" s="42"/>
    </row>
    <row r="96" customHeight="1" spans="1:4">
      <c r="A96" s="42"/>
      <c r="B96" s="42"/>
      <c r="C96" s="42"/>
      <c r="D96" s="42"/>
    </row>
    <row r="97" customHeight="1" spans="1:4">
      <c r="A97" s="42"/>
      <c r="B97" s="42"/>
      <c r="C97" s="42"/>
      <c r="D97" s="42"/>
    </row>
    <row r="98" customHeight="1" spans="1:4">
      <c r="A98" s="42"/>
      <c r="B98" s="42"/>
      <c r="C98" s="42"/>
      <c r="D98" s="42"/>
    </row>
    <row r="99" customHeight="1" spans="1:4">
      <c r="A99" s="42"/>
      <c r="B99" s="42"/>
      <c r="C99" s="42"/>
      <c r="D99" s="42"/>
    </row>
    <row r="100" customHeight="1" spans="1:4">
      <c r="A100" s="42"/>
      <c r="B100" s="42"/>
      <c r="C100" s="42"/>
      <c r="D100" s="42"/>
    </row>
    <row r="101" customHeight="1" spans="1:4">
      <c r="A101" s="42"/>
      <c r="B101" s="42"/>
      <c r="C101" s="42"/>
      <c r="D101" s="42"/>
    </row>
    <row r="102" customHeight="1" spans="1:4">
      <c r="A102" s="42"/>
      <c r="B102" s="42"/>
      <c r="C102" s="42"/>
      <c r="D102" s="42"/>
    </row>
    <row r="103" customHeight="1" spans="1:4">
      <c r="A103" s="42"/>
      <c r="B103" s="42"/>
      <c r="C103" s="42"/>
      <c r="D103" s="42"/>
    </row>
    <row r="104" customHeight="1" spans="1:4">
      <c r="A104" s="42"/>
      <c r="B104" s="42"/>
      <c r="C104" s="42"/>
      <c r="D104" s="42"/>
    </row>
    <row r="105" customHeight="1" spans="1:4">
      <c r="A105" s="42"/>
      <c r="B105" s="42"/>
      <c r="C105" s="42"/>
      <c r="D105" s="42"/>
    </row>
    <row r="106" customHeight="1" spans="1:4">
      <c r="A106" s="42"/>
      <c r="B106" s="42"/>
      <c r="C106" s="42"/>
      <c r="D106" s="42"/>
    </row>
    <row r="107" customHeight="1" spans="1:4">
      <c r="A107" s="42"/>
      <c r="B107" s="42"/>
      <c r="C107" s="42"/>
      <c r="D107" s="42"/>
    </row>
    <row r="108" customHeight="1" spans="1:4">
      <c r="A108" s="42"/>
      <c r="B108" s="42"/>
      <c r="C108" s="42"/>
      <c r="D108" s="42"/>
    </row>
    <row r="109" customHeight="1" spans="1:4">
      <c r="A109" s="42"/>
      <c r="B109" s="42"/>
      <c r="C109" s="42"/>
      <c r="D109" s="42"/>
    </row>
    <row r="110" customHeight="1" spans="1:4">
      <c r="A110" s="42"/>
      <c r="B110" s="42"/>
      <c r="C110" s="42"/>
      <c r="D110" s="42"/>
    </row>
    <row r="111" customHeight="1" spans="1:4">
      <c r="A111" s="42"/>
      <c r="B111" s="42"/>
      <c r="C111" s="42"/>
      <c r="D111" s="42"/>
    </row>
    <row r="112" customHeight="1" spans="1:4">
      <c r="A112" s="42"/>
      <c r="B112" s="42"/>
      <c r="C112" s="42"/>
      <c r="D112" s="42"/>
    </row>
    <row r="113" customHeight="1" spans="1:4">
      <c r="A113" s="42"/>
      <c r="B113" s="42"/>
      <c r="C113" s="42"/>
      <c r="D113" s="42"/>
    </row>
    <row r="114" customHeight="1" spans="1:4">
      <c r="A114" s="42"/>
      <c r="B114" s="42"/>
      <c r="C114" s="42"/>
      <c r="D114" s="42"/>
    </row>
    <row r="115" customHeight="1" spans="1:4">
      <c r="A115" s="42"/>
      <c r="B115" s="42"/>
      <c r="C115" s="42"/>
      <c r="D115" s="42"/>
    </row>
    <row r="116" customHeight="1" spans="1:4">
      <c r="A116" s="42"/>
      <c r="B116" s="42"/>
      <c r="C116" s="42"/>
      <c r="D116" s="42"/>
    </row>
    <row r="117" customHeight="1" spans="1:4">
      <c r="A117" s="42"/>
      <c r="B117" s="42"/>
      <c r="C117" s="42"/>
      <c r="D117" s="42"/>
    </row>
    <row r="118" customHeight="1" spans="1:4">
      <c r="A118" s="42"/>
      <c r="B118" s="42"/>
      <c r="C118" s="42"/>
      <c r="D118" s="42"/>
    </row>
    <row r="119" customHeight="1" spans="1:4">
      <c r="A119" s="42"/>
      <c r="B119" s="42"/>
      <c r="C119" s="42"/>
      <c r="D119" s="42"/>
    </row>
    <row r="120" customHeight="1" spans="1:4">
      <c r="A120" s="42"/>
      <c r="B120" s="42"/>
      <c r="C120" s="42"/>
      <c r="D120" s="42"/>
    </row>
    <row r="121" customHeight="1" spans="1:4">
      <c r="A121" s="42"/>
      <c r="B121" s="42"/>
      <c r="C121" s="42"/>
      <c r="D121" s="42"/>
    </row>
    <row r="122" customHeight="1" spans="1:4">
      <c r="A122" s="42"/>
      <c r="B122" s="42"/>
      <c r="C122" s="42"/>
      <c r="D122" s="42"/>
    </row>
    <row r="123" customHeight="1" spans="1:4">
      <c r="A123" s="42"/>
      <c r="B123" s="42"/>
      <c r="C123" s="42"/>
      <c r="D123" s="42"/>
    </row>
    <row r="124" customHeight="1" spans="1:4">
      <c r="A124" s="42"/>
      <c r="B124" s="42"/>
      <c r="C124" s="42"/>
      <c r="D124" s="42"/>
    </row>
    <row r="125" customHeight="1" spans="1:4">
      <c r="A125" s="42"/>
      <c r="B125" s="42"/>
      <c r="C125" s="42"/>
      <c r="D125" s="42"/>
    </row>
    <row r="126" customHeight="1" spans="1:4">
      <c r="A126" s="42"/>
      <c r="B126" s="42"/>
      <c r="C126" s="42"/>
      <c r="D126" s="42"/>
    </row>
    <row r="127" customHeight="1" spans="1:4">
      <c r="A127" s="42"/>
      <c r="B127" s="42"/>
      <c r="C127" s="42"/>
      <c r="D127" s="42"/>
    </row>
    <row r="128" customHeight="1" spans="1:4">
      <c r="A128" s="42"/>
      <c r="B128" s="42"/>
      <c r="C128" s="42"/>
      <c r="D128" s="42"/>
    </row>
    <row r="129" customHeight="1" spans="1:4">
      <c r="A129" s="42"/>
      <c r="B129" s="42"/>
      <c r="C129" s="42"/>
      <c r="D129" s="42"/>
    </row>
    <row r="130" customHeight="1" spans="1:4">
      <c r="A130" s="42"/>
      <c r="B130" s="42"/>
      <c r="C130" s="42"/>
      <c r="D130" s="42"/>
    </row>
    <row r="131" customHeight="1" spans="1:4">
      <c r="A131" s="42"/>
      <c r="B131" s="42"/>
      <c r="C131" s="42"/>
      <c r="D131" s="42"/>
    </row>
    <row r="132" customHeight="1" spans="1:4">
      <c r="A132" s="42"/>
      <c r="B132" s="42"/>
      <c r="C132" s="42"/>
      <c r="D132" s="42"/>
    </row>
    <row r="133" customHeight="1" spans="1:4">
      <c r="A133" s="42"/>
      <c r="B133" s="42"/>
      <c r="C133" s="42"/>
      <c r="D133" s="42"/>
    </row>
    <row r="134" customHeight="1" spans="1:4">
      <c r="A134" s="42"/>
      <c r="B134" s="42"/>
      <c r="C134" s="42"/>
      <c r="D134" s="42"/>
    </row>
    <row r="135" customHeight="1" spans="1:4">
      <c r="A135" s="42"/>
      <c r="B135" s="42"/>
      <c r="C135" s="42"/>
      <c r="D135" s="42"/>
    </row>
    <row r="136" customHeight="1" spans="1:4">
      <c r="A136" s="42"/>
      <c r="B136" s="42"/>
      <c r="C136" s="42"/>
      <c r="D136" s="42"/>
    </row>
    <row r="137" customHeight="1" spans="1:4">
      <c r="A137" s="42"/>
      <c r="B137" s="42"/>
      <c r="C137" s="42"/>
      <c r="D137" s="42"/>
    </row>
    <row r="138" customHeight="1" spans="1:4">
      <c r="A138" s="42"/>
      <c r="B138" s="42"/>
      <c r="C138" s="42"/>
      <c r="D138" s="42"/>
    </row>
    <row r="139" customHeight="1" spans="1:4">
      <c r="A139" s="42"/>
      <c r="B139" s="42"/>
      <c r="C139" s="42"/>
      <c r="D139" s="42"/>
    </row>
    <row r="140" customHeight="1" spans="1:4">
      <c r="A140" s="42"/>
      <c r="B140" s="42"/>
      <c r="C140" s="42"/>
      <c r="D140" s="42"/>
    </row>
    <row r="141" customHeight="1" spans="1:4">
      <c r="A141" s="42"/>
      <c r="B141" s="42"/>
      <c r="C141" s="42"/>
      <c r="D141" s="42"/>
    </row>
    <row r="142" customHeight="1" spans="1:4">
      <c r="A142" s="42"/>
      <c r="B142" s="42"/>
      <c r="C142" s="42"/>
      <c r="D142" s="42"/>
    </row>
    <row r="143" customHeight="1" spans="1:4">
      <c r="A143" s="42"/>
      <c r="B143" s="42"/>
      <c r="C143" s="42"/>
      <c r="D143" s="42"/>
    </row>
    <row r="144" customHeight="1" spans="1:4">
      <c r="A144" s="42"/>
      <c r="B144" s="42"/>
      <c r="C144" s="42"/>
      <c r="D144" s="42"/>
    </row>
    <row r="145" customHeight="1" spans="1:4">
      <c r="A145" s="42"/>
      <c r="B145" s="42"/>
      <c r="C145" s="42"/>
      <c r="D145" s="42"/>
    </row>
    <row r="146" customHeight="1" spans="1:4">
      <c r="A146" s="42"/>
      <c r="B146" s="42"/>
      <c r="C146" s="42"/>
      <c r="D146" s="42"/>
    </row>
    <row r="147" customHeight="1" spans="1:4">
      <c r="A147" s="42"/>
      <c r="B147" s="42"/>
      <c r="C147" s="42"/>
      <c r="D147" s="42"/>
    </row>
    <row r="148" customHeight="1" spans="1:4">
      <c r="A148" s="42"/>
      <c r="B148" s="42"/>
      <c r="C148" s="42"/>
      <c r="D148" s="42"/>
    </row>
    <row r="149" customHeight="1" spans="1:4">
      <c r="A149" s="42"/>
      <c r="B149" s="42"/>
      <c r="C149" s="42"/>
      <c r="D149" s="42"/>
    </row>
    <row r="150" customHeight="1" spans="1:4">
      <c r="A150" s="42"/>
      <c r="B150" s="42"/>
      <c r="C150" s="42"/>
      <c r="D150" s="42"/>
    </row>
    <row r="151" customHeight="1" spans="1:4">
      <c r="A151" s="42"/>
      <c r="B151" s="42"/>
      <c r="C151" s="42"/>
      <c r="D151" s="42"/>
    </row>
    <row r="152" customHeight="1" spans="1:4">
      <c r="A152" s="42"/>
      <c r="B152" s="42"/>
      <c r="C152" s="42"/>
      <c r="D152" s="42"/>
    </row>
    <row r="153" customHeight="1" spans="1:4">
      <c r="A153" s="42"/>
      <c r="B153" s="42"/>
      <c r="C153" s="42"/>
      <c r="D153" s="42"/>
    </row>
    <row r="154" customHeight="1" spans="1:4">
      <c r="A154" s="42"/>
      <c r="B154" s="42"/>
      <c r="C154" s="42"/>
      <c r="D154" s="42"/>
    </row>
    <row r="155" customHeight="1" spans="1:4">
      <c r="A155" s="42"/>
      <c r="B155" s="42"/>
      <c r="C155" s="42"/>
      <c r="D155" s="42"/>
    </row>
    <row r="156" customHeight="1" spans="1:4">
      <c r="A156" s="42"/>
      <c r="B156" s="42"/>
      <c r="C156" s="42"/>
      <c r="D156" s="42"/>
    </row>
    <row r="157" customHeight="1" spans="1:4">
      <c r="A157" s="42"/>
      <c r="B157" s="42"/>
      <c r="C157" s="42"/>
      <c r="D157" s="42"/>
    </row>
    <row r="158" customHeight="1" spans="1:4">
      <c r="A158" s="42"/>
      <c r="B158" s="42"/>
      <c r="C158" s="42"/>
      <c r="D158" s="42"/>
    </row>
    <row r="159" customHeight="1" spans="1:4">
      <c r="A159" s="42"/>
      <c r="B159" s="42"/>
      <c r="C159" s="42"/>
      <c r="D159" s="42"/>
    </row>
    <row r="160" customHeight="1" spans="1:4">
      <c r="A160" s="42"/>
      <c r="B160" s="42"/>
      <c r="C160" s="42"/>
      <c r="D160" s="42"/>
    </row>
    <row r="161" customHeight="1" spans="1:4">
      <c r="A161" s="42"/>
      <c r="B161" s="42"/>
      <c r="C161" s="42"/>
      <c r="D161" s="42"/>
    </row>
    <row r="162" customHeight="1" spans="1:4">
      <c r="A162" s="42"/>
      <c r="B162" s="42"/>
      <c r="C162" s="42"/>
      <c r="D162" s="42"/>
    </row>
    <row r="163" customHeight="1" spans="1:4">
      <c r="A163" s="42"/>
      <c r="B163" s="42"/>
      <c r="C163" s="42"/>
      <c r="D163" s="42"/>
    </row>
    <row r="164" customHeight="1" spans="1:4">
      <c r="A164" s="42"/>
      <c r="B164" s="42"/>
      <c r="C164" s="42"/>
      <c r="D164" s="42"/>
    </row>
    <row r="165" customHeight="1" spans="1:4">
      <c r="A165" s="42"/>
      <c r="B165" s="42"/>
      <c r="C165" s="42"/>
      <c r="D165" s="42"/>
    </row>
    <row r="166" customHeight="1" spans="1:4">
      <c r="A166" s="42"/>
      <c r="B166" s="42"/>
      <c r="C166" s="42"/>
      <c r="D166" s="42"/>
    </row>
    <row r="167" customHeight="1" spans="1:4">
      <c r="A167" s="42"/>
      <c r="B167" s="42"/>
      <c r="C167" s="42"/>
      <c r="D167" s="42"/>
    </row>
    <row r="168" customHeight="1" spans="1:4">
      <c r="A168" s="42"/>
      <c r="B168" s="42"/>
      <c r="C168" s="42"/>
      <c r="D168" s="42"/>
    </row>
    <row r="169" customHeight="1" spans="1:4">
      <c r="A169" s="42"/>
      <c r="B169" s="42"/>
      <c r="C169" s="42"/>
      <c r="D169" s="42"/>
    </row>
    <row r="170" customHeight="1" spans="1:4">
      <c r="A170" s="42"/>
      <c r="B170" s="42"/>
      <c r="C170" s="42"/>
      <c r="D170" s="42"/>
    </row>
    <row r="171" customHeight="1" spans="1:4">
      <c r="A171" s="42"/>
      <c r="B171" s="42"/>
      <c r="C171" s="42"/>
      <c r="D171" s="42"/>
    </row>
    <row r="172" customHeight="1" spans="1:4">
      <c r="A172" s="42"/>
      <c r="B172" s="42"/>
      <c r="C172" s="42"/>
      <c r="D172" s="42"/>
    </row>
    <row r="173" customHeight="1" spans="1:4">
      <c r="A173" s="42"/>
      <c r="B173" s="42"/>
      <c r="C173" s="42"/>
      <c r="D173" s="42"/>
    </row>
    <row r="174" customHeight="1" spans="1:4">
      <c r="A174" s="42"/>
      <c r="B174" s="42"/>
      <c r="C174" s="42"/>
      <c r="D174" s="42"/>
    </row>
    <row r="175" customHeight="1" spans="1:4">
      <c r="A175" s="42"/>
      <c r="B175" s="42"/>
      <c r="C175" s="42"/>
      <c r="D175" s="42"/>
    </row>
    <row r="176" customHeight="1" spans="1:4">
      <c r="A176" s="42"/>
      <c r="B176" s="42"/>
      <c r="C176" s="42"/>
      <c r="D176" s="42"/>
    </row>
    <row r="177" customHeight="1" spans="1:4">
      <c r="A177" s="42"/>
      <c r="B177" s="42"/>
      <c r="C177" s="42"/>
      <c r="D177" s="42"/>
    </row>
    <row r="178" customHeight="1" spans="1:4">
      <c r="A178" s="42"/>
      <c r="B178" s="42"/>
      <c r="C178" s="42"/>
      <c r="D178" s="42"/>
    </row>
    <row r="179" customHeight="1" spans="1:4">
      <c r="A179" s="42"/>
      <c r="B179" s="42"/>
      <c r="C179" s="42"/>
      <c r="D179" s="42"/>
    </row>
    <row r="180" customHeight="1" spans="1:4">
      <c r="A180" s="42"/>
      <c r="B180" s="42"/>
      <c r="C180" s="42"/>
      <c r="D180" s="42"/>
    </row>
    <row r="181" customHeight="1" spans="1:4">
      <c r="A181" s="42"/>
      <c r="B181" s="42"/>
      <c r="C181" s="42"/>
      <c r="D181" s="42"/>
    </row>
    <row r="182" customHeight="1" spans="1:4">
      <c r="A182" s="42"/>
      <c r="B182" s="42"/>
      <c r="C182" s="42"/>
      <c r="D182" s="42"/>
    </row>
    <row r="183" customHeight="1" spans="1:4">
      <c r="A183" s="42"/>
      <c r="B183" s="42"/>
      <c r="C183" s="42"/>
      <c r="D183" s="42"/>
    </row>
    <row r="184" customHeight="1" spans="1:4">
      <c r="A184" s="42"/>
      <c r="B184" s="42"/>
      <c r="C184" s="42"/>
      <c r="D184" s="42"/>
    </row>
    <row r="185" customHeight="1" spans="1:4">
      <c r="A185" s="42"/>
      <c r="B185" s="42"/>
      <c r="C185" s="42"/>
      <c r="D185" s="42"/>
    </row>
    <row r="186" customHeight="1" spans="1:4">
      <c r="A186" s="42"/>
      <c r="B186" s="42"/>
      <c r="C186" s="42"/>
      <c r="D186" s="42"/>
    </row>
    <row r="187" customHeight="1" spans="1:4">
      <c r="A187" s="42"/>
      <c r="B187" s="42"/>
      <c r="C187" s="42"/>
      <c r="D187" s="42"/>
    </row>
    <row r="188" customHeight="1" spans="1:4">
      <c r="A188" s="42"/>
      <c r="B188" s="42"/>
      <c r="C188" s="42"/>
      <c r="D188" s="42"/>
    </row>
    <row r="189" customHeight="1" spans="1:4">
      <c r="A189" s="42"/>
      <c r="B189" s="42"/>
      <c r="C189" s="42"/>
      <c r="D189" s="42"/>
    </row>
    <row r="190" customHeight="1" spans="1:4">
      <c r="A190" s="42"/>
      <c r="B190" s="42"/>
      <c r="C190" s="42"/>
      <c r="D190" s="42"/>
    </row>
    <row r="191" customHeight="1" spans="1:4">
      <c r="A191" s="42"/>
      <c r="B191" s="42"/>
      <c r="C191" s="42"/>
      <c r="D191" s="42"/>
    </row>
    <row r="192" customHeight="1" spans="1:4">
      <c r="A192" s="42"/>
      <c r="B192" s="42"/>
      <c r="C192" s="42"/>
      <c r="D192" s="42"/>
    </row>
    <row r="193" customHeight="1" spans="1:4">
      <c r="A193" s="42"/>
      <c r="B193" s="42"/>
      <c r="C193" s="42"/>
      <c r="D193" s="42"/>
    </row>
    <row r="194" customHeight="1" spans="1:4">
      <c r="A194" s="42"/>
      <c r="B194" s="42"/>
      <c r="C194" s="42"/>
      <c r="D194" s="42"/>
    </row>
    <row r="195" customHeight="1" spans="1:4">
      <c r="A195" s="42"/>
      <c r="B195" s="42"/>
      <c r="C195" s="42"/>
      <c r="D195" s="42"/>
    </row>
    <row r="196" customHeight="1" spans="1:4">
      <c r="A196" s="42"/>
      <c r="B196" s="42"/>
      <c r="C196" s="42"/>
      <c r="D196" s="42"/>
    </row>
    <row r="197" customHeight="1" spans="1:4">
      <c r="A197" s="42"/>
      <c r="B197" s="42"/>
      <c r="C197" s="42"/>
      <c r="D197" s="42"/>
    </row>
    <row r="198" customHeight="1" spans="1:4">
      <c r="A198" s="42"/>
      <c r="B198" s="42"/>
      <c r="C198" s="42"/>
      <c r="D198" s="42"/>
    </row>
    <row r="199" customHeight="1" spans="1:4">
      <c r="A199" s="42"/>
      <c r="B199" s="42"/>
      <c r="C199" s="42"/>
      <c r="D199" s="42"/>
    </row>
    <row r="200" customHeight="1" spans="1:4">
      <c r="A200" s="42"/>
      <c r="B200" s="42"/>
      <c r="C200" s="42"/>
      <c r="D200" s="42"/>
    </row>
    <row r="201" customHeight="1" spans="1:4">
      <c r="A201" s="42"/>
      <c r="B201" s="42"/>
      <c r="C201" s="42"/>
      <c r="D201" s="42"/>
    </row>
    <row r="202" customHeight="1" spans="1:4">
      <c r="A202" s="42"/>
      <c r="B202" s="42"/>
      <c r="C202" s="42"/>
      <c r="D202" s="42"/>
    </row>
    <row r="203" customHeight="1" spans="1:4">
      <c r="A203" s="42"/>
      <c r="B203" s="42"/>
      <c r="C203" s="42"/>
      <c r="D203" s="42"/>
    </row>
    <row r="204" customHeight="1" spans="1:4">
      <c r="A204" s="42"/>
      <c r="B204" s="42"/>
      <c r="C204" s="42"/>
      <c r="D204" s="42"/>
    </row>
    <row r="205" customHeight="1" spans="1:4">
      <c r="A205" s="42"/>
      <c r="B205" s="42"/>
      <c r="C205" s="42"/>
      <c r="D205" s="42"/>
    </row>
    <row r="206" customHeight="1" spans="1:4">
      <c r="A206" s="42"/>
      <c r="B206" s="42"/>
      <c r="C206" s="42"/>
      <c r="D206" s="42"/>
    </row>
    <row r="207" customHeight="1" spans="1:4">
      <c r="A207" s="42"/>
      <c r="B207" s="42"/>
      <c r="C207" s="42"/>
      <c r="D207" s="42"/>
    </row>
    <row r="208" customHeight="1" spans="1:4">
      <c r="A208" s="42"/>
      <c r="B208" s="42"/>
      <c r="C208" s="42"/>
      <c r="D208" s="42"/>
    </row>
    <row r="209" customHeight="1" spans="1:4">
      <c r="A209" s="42"/>
      <c r="B209" s="42"/>
      <c r="C209" s="42"/>
      <c r="D209" s="42"/>
    </row>
    <row r="210" customHeight="1" spans="1:4">
      <c r="A210" s="42"/>
      <c r="B210" s="42"/>
      <c r="C210" s="42"/>
      <c r="D210" s="42"/>
    </row>
    <row r="211" customHeight="1" spans="1:4">
      <c r="A211" s="42"/>
      <c r="B211" s="42"/>
      <c r="C211" s="42"/>
      <c r="D211" s="42"/>
    </row>
    <row r="212" customHeight="1" spans="1:4">
      <c r="A212" s="42"/>
      <c r="B212" s="42"/>
      <c r="C212" s="42"/>
      <c r="D212" s="42"/>
    </row>
    <row r="213" customHeight="1" spans="1:4">
      <c r="A213" s="42"/>
      <c r="B213" s="42"/>
      <c r="C213" s="42"/>
      <c r="D213" s="42"/>
    </row>
    <row r="214" customHeight="1" spans="1:4">
      <c r="A214" s="42"/>
      <c r="B214" s="42"/>
      <c r="C214" s="42"/>
      <c r="D214" s="42"/>
    </row>
    <row r="215" customHeight="1" spans="1:4">
      <c r="A215" s="42"/>
      <c r="B215" s="42"/>
      <c r="C215" s="42"/>
      <c r="D215" s="42"/>
    </row>
    <row r="216" customHeight="1" spans="1:4">
      <c r="A216" s="42"/>
      <c r="B216" s="42"/>
      <c r="C216" s="42"/>
      <c r="D216" s="42"/>
    </row>
    <row r="217" customHeight="1" spans="1:4">
      <c r="A217" s="42"/>
      <c r="B217" s="42"/>
      <c r="C217" s="42"/>
      <c r="D217" s="42"/>
    </row>
    <row r="218" customHeight="1" spans="1:4">
      <c r="A218" s="42"/>
      <c r="B218" s="42"/>
      <c r="C218" s="42"/>
      <c r="D218" s="42"/>
    </row>
    <row r="219" customHeight="1" spans="1:4">
      <c r="A219" s="42"/>
      <c r="B219" s="42"/>
      <c r="C219" s="42"/>
      <c r="D219" s="42"/>
    </row>
    <row r="220" customHeight="1" spans="1:4">
      <c r="A220" s="42"/>
      <c r="B220" s="42"/>
      <c r="C220" s="42"/>
      <c r="D220" s="42"/>
    </row>
    <row r="221" customHeight="1" spans="1:4">
      <c r="A221" s="42"/>
      <c r="B221" s="42"/>
      <c r="C221" s="42"/>
      <c r="D221" s="42"/>
    </row>
    <row r="222" customHeight="1" spans="1:4">
      <c r="A222" s="42"/>
      <c r="B222" s="42"/>
      <c r="C222" s="42"/>
      <c r="D222" s="42"/>
    </row>
    <row r="223" customHeight="1" spans="1:4">
      <c r="A223" s="42"/>
      <c r="B223" s="42"/>
      <c r="C223" s="42"/>
      <c r="D223" s="42"/>
    </row>
    <row r="224" customHeight="1" spans="1:4">
      <c r="A224" s="42"/>
      <c r="B224" s="42"/>
      <c r="C224" s="42"/>
      <c r="D224" s="42"/>
    </row>
    <row r="225" customHeight="1" spans="1:4">
      <c r="A225" s="42"/>
      <c r="B225" s="42"/>
      <c r="C225" s="42"/>
      <c r="D225" s="42"/>
    </row>
    <row r="226" customHeight="1" spans="1:4">
      <c r="A226" s="42"/>
      <c r="B226" s="42"/>
      <c r="C226" s="42"/>
      <c r="D226" s="42"/>
    </row>
    <row r="227" customHeight="1" spans="1:4">
      <c r="A227" s="42"/>
      <c r="B227" s="42"/>
      <c r="C227" s="42"/>
      <c r="D227" s="42"/>
    </row>
    <row r="228" customHeight="1" spans="1:4">
      <c r="A228" s="42"/>
      <c r="B228" s="42"/>
      <c r="C228" s="42"/>
      <c r="D228" s="42"/>
    </row>
    <row r="229" customHeight="1" spans="1:4">
      <c r="A229" s="42"/>
      <c r="B229" s="42"/>
      <c r="C229" s="42"/>
      <c r="D229" s="42"/>
    </row>
    <row r="230" customHeight="1" spans="1:4">
      <c r="A230" s="42"/>
      <c r="B230" s="42"/>
      <c r="C230" s="42"/>
      <c r="D230" s="42"/>
    </row>
    <row r="231" customHeight="1" spans="1:4">
      <c r="A231" s="42"/>
      <c r="B231" s="42"/>
      <c r="C231" s="42"/>
      <c r="D231" s="42"/>
    </row>
    <row r="232" customHeight="1" spans="1:4">
      <c r="A232" s="42"/>
      <c r="B232" s="42"/>
      <c r="C232" s="42"/>
      <c r="D232" s="42"/>
    </row>
    <row r="233" customHeight="1" spans="1:4">
      <c r="A233" s="42"/>
      <c r="B233" s="42"/>
      <c r="C233" s="42"/>
      <c r="D233" s="42"/>
    </row>
    <row r="234" customHeight="1" spans="1:4">
      <c r="A234" s="42"/>
      <c r="B234" s="42"/>
      <c r="C234" s="42"/>
      <c r="D234" s="42"/>
    </row>
    <row r="235" customHeight="1" spans="1:4">
      <c r="A235" s="42"/>
      <c r="B235" s="42"/>
      <c r="C235" s="42"/>
      <c r="D235" s="42"/>
    </row>
    <row r="236" customHeight="1" spans="1:4">
      <c r="A236" s="42"/>
      <c r="B236" s="42"/>
      <c r="C236" s="42"/>
      <c r="D236" s="42"/>
    </row>
    <row r="237" customHeight="1" spans="1:4">
      <c r="A237" s="42"/>
      <c r="B237" s="42"/>
      <c r="C237" s="42"/>
      <c r="D237" s="42"/>
    </row>
    <row r="238" customHeight="1" spans="1:4">
      <c r="A238" s="42"/>
      <c r="B238" s="42"/>
      <c r="C238" s="42"/>
      <c r="D238" s="42"/>
    </row>
    <row r="239" customHeight="1" spans="1:4">
      <c r="A239" s="42"/>
      <c r="B239" s="42"/>
      <c r="C239" s="42"/>
      <c r="D239" s="42"/>
    </row>
    <row r="240" customHeight="1" spans="1:4">
      <c r="A240" s="42"/>
      <c r="B240" s="42"/>
      <c r="C240" s="42"/>
      <c r="D240" s="42"/>
    </row>
    <row r="241" customHeight="1" spans="1:4">
      <c r="A241" s="42"/>
      <c r="B241" s="42"/>
      <c r="C241" s="42"/>
      <c r="D241" s="42"/>
    </row>
    <row r="242" customHeight="1" spans="1:4">
      <c r="A242" s="42"/>
      <c r="B242" s="42"/>
      <c r="C242" s="42"/>
      <c r="D242" s="42"/>
    </row>
    <row r="243" customHeight="1" spans="1:4">
      <c r="A243" s="42"/>
      <c r="B243" s="42"/>
      <c r="C243" s="42"/>
      <c r="D243" s="42"/>
    </row>
    <row r="244" customHeight="1" spans="1:4">
      <c r="A244" s="42"/>
      <c r="B244" s="42"/>
      <c r="C244" s="42"/>
      <c r="D244" s="42"/>
    </row>
    <row r="245" customHeight="1" spans="1:4">
      <c r="A245" s="42"/>
      <c r="B245" s="42"/>
      <c r="C245" s="42"/>
      <c r="D245" s="42"/>
    </row>
    <row r="246" customHeight="1" spans="1:4">
      <c r="A246" s="42"/>
      <c r="B246" s="42"/>
      <c r="C246" s="42"/>
      <c r="D246" s="42"/>
    </row>
    <row r="247" customHeight="1" spans="1:4">
      <c r="A247" s="42"/>
      <c r="B247" s="42"/>
      <c r="C247" s="42"/>
      <c r="D247" s="42"/>
    </row>
    <row r="248" customHeight="1" spans="1:4">
      <c r="A248" s="42"/>
      <c r="B248" s="42"/>
      <c r="C248" s="42"/>
      <c r="D248" s="42"/>
    </row>
    <row r="249" customHeight="1" spans="1:4">
      <c r="A249" s="42"/>
      <c r="B249" s="42"/>
      <c r="C249" s="42"/>
      <c r="D249" s="42"/>
    </row>
    <row r="250" customHeight="1" spans="1:4">
      <c r="A250" s="42"/>
      <c r="B250" s="42"/>
      <c r="C250" s="42"/>
      <c r="D250" s="42"/>
    </row>
    <row r="251" customHeight="1" spans="1:4">
      <c r="A251" s="42"/>
      <c r="B251" s="42"/>
      <c r="C251" s="42"/>
      <c r="D251" s="42"/>
    </row>
    <row r="252" customHeight="1" spans="1:4">
      <c r="A252" s="42"/>
      <c r="B252" s="42"/>
      <c r="C252" s="42"/>
      <c r="D252" s="42"/>
    </row>
    <row r="253" customHeight="1" spans="1:4">
      <c r="A253" s="42"/>
      <c r="B253" s="42"/>
      <c r="C253" s="42"/>
      <c r="D253" s="42"/>
    </row>
    <row r="254" customHeight="1" spans="1:4">
      <c r="A254" s="42"/>
      <c r="B254" s="42"/>
      <c r="C254" s="42"/>
      <c r="D254" s="42"/>
    </row>
    <row r="255" customHeight="1" spans="1:4">
      <c r="A255" s="42"/>
      <c r="B255" s="42"/>
      <c r="C255" s="42"/>
      <c r="D255" s="42"/>
    </row>
    <row r="256" customHeight="1" spans="1:4">
      <c r="A256" s="42"/>
      <c r="B256" s="42"/>
      <c r="C256" s="42"/>
      <c r="D256" s="42"/>
    </row>
    <row r="257" customHeight="1" spans="1:4">
      <c r="A257" s="42"/>
      <c r="B257" s="42"/>
      <c r="C257" s="42"/>
      <c r="D257" s="42"/>
    </row>
    <row r="258" customHeight="1" spans="1:4">
      <c r="A258" s="42"/>
      <c r="B258" s="42"/>
      <c r="C258" s="42"/>
      <c r="D258" s="42"/>
    </row>
    <row r="259" customHeight="1" spans="1:4">
      <c r="A259" s="42"/>
      <c r="B259" s="42"/>
      <c r="C259" s="42"/>
      <c r="D259" s="42"/>
    </row>
    <row r="260" customHeight="1" spans="1:4">
      <c r="A260" s="42"/>
      <c r="B260" s="42"/>
      <c r="C260" s="42"/>
      <c r="D260" s="42"/>
    </row>
    <row r="261" customHeight="1" spans="1:4">
      <c r="A261" s="42"/>
      <c r="B261" s="42"/>
      <c r="C261" s="42"/>
      <c r="D261" s="42"/>
    </row>
    <row r="262" customHeight="1" spans="1:4">
      <c r="A262" s="42"/>
      <c r="B262" s="42"/>
      <c r="C262" s="42"/>
      <c r="D262" s="42"/>
    </row>
    <row r="263" customHeight="1" spans="1:4">
      <c r="A263" s="42"/>
      <c r="B263" s="42"/>
      <c r="C263" s="42"/>
      <c r="D263" s="42"/>
    </row>
    <row r="264" customHeight="1" spans="1:4">
      <c r="A264" s="42"/>
      <c r="B264" s="42"/>
      <c r="C264" s="42"/>
      <c r="D264" s="42"/>
    </row>
    <row r="265" customHeight="1" spans="1:4">
      <c r="A265" s="42"/>
      <c r="B265" s="42"/>
      <c r="C265" s="42"/>
      <c r="D265" s="42"/>
    </row>
    <row r="266" customHeight="1" spans="1:4">
      <c r="A266" s="42"/>
      <c r="B266" s="42"/>
      <c r="C266" s="42"/>
      <c r="D266" s="42"/>
    </row>
    <row r="267" customHeight="1" spans="1:4">
      <c r="A267" s="42"/>
      <c r="B267" s="42"/>
      <c r="C267" s="42"/>
      <c r="D267" s="42"/>
    </row>
    <row r="268" customHeight="1" spans="1:4">
      <c r="A268" s="42"/>
      <c r="B268" s="42"/>
      <c r="C268" s="42"/>
      <c r="D268" s="42"/>
    </row>
    <row r="269" customHeight="1" spans="1:4">
      <c r="A269" s="42"/>
      <c r="B269" s="42"/>
      <c r="C269" s="42"/>
      <c r="D269" s="42"/>
    </row>
    <row r="270" customHeight="1" spans="1:4">
      <c r="A270" s="42"/>
      <c r="B270" s="42"/>
      <c r="C270" s="42"/>
      <c r="D270" s="42"/>
    </row>
    <row r="271" customHeight="1" spans="1:4">
      <c r="A271" s="42"/>
      <c r="B271" s="42"/>
      <c r="C271" s="42"/>
      <c r="D271" s="42"/>
    </row>
    <row r="272" customHeight="1" spans="1:4">
      <c r="A272" s="42"/>
      <c r="B272" s="42"/>
      <c r="C272" s="42"/>
      <c r="D272" s="42"/>
    </row>
    <row r="273" customHeight="1" spans="1:4">
      <c r="A273" s="42"/>
      <c r="B273" s="42"/>
      <c r="C273" s="42"/>
      <c r="D273" s="42"/>
    </row>
    <row r="274" customHeight="1" spans="1:4">
      <c r="A274" s="42"/>
      <c r="B274" s="42"/>
      <c r="C274" s="42"/>
      <c r="D274" s="42"/>
    </row>
    <row r="275" customHeight="1" spans="1:4">
      <c r="A275" s="42"/>
      <c r="B275" s="42"/>
      <c r="C275" s="42"/>
      <c r="D275" s="42"/>
    </row>
    <row r="276" customHeight="1" spans="1:4">
      <c r="A276" s="42"/>
      <c r="B276" s="42"/>
      <c r="C276" s="42"/>
      <c r="D276" s="42"/>
    </row>
    <row r="277" customHeight="1" spans="1:4">
      <c r="A277" s="42"/>
      <c r="B277" s="42"/>
      <c r="C277" s="42"/>
      <c r="D277" s="42"/>
    </row>
    <row r="278" customHeight="1" spans="1:4">
      <c r="A278" s="42"/>
      <c r="B278" s="42"/>
      <c r="C278" s="42"/>
      <c r="D278" s="42"/>
    </row>
    <row r="279" customHeight="1" spans="1:4">
      <c r="A279" s="42"/>
      <c r="B279" s="42"/>
      <c r="C279" s="42"/>
      <c r="D279" s="42"/>
    </row>
    <row r="280" customHeight="1" spans="1:4">
      <c r="A280" s="42"/>
      <c r="B280" s="42"/>
      <c r="C280" s="42"/>
      <c r="D280" s="42"/>
    </row>
    <row r="281" customHeight="1" spans="1:4">
      <c r="A281" s="42"/>
      <c r="B281" s="42"/>
      <c r="C281" s="42"/>
      <c r="D281" s="42"/>
    </row>
    <row r="282" customHeight="1" spans="1:4">
      <c r="A282" s="42"/>
      <c r="B282" s="42"/>
      <c r="C282" s="42"/>
      <c r="D282" s="42"/>
    </row>
    <row r="283" customHeight="1" spans="1:4">
      <c r="A283" s="42"/>
      <c r="B283" s="42"/>
      <c r="C283" s="42"/>
      <c r="D283" s="42"/>
    </row>
    <row r="284" customHeight="1" spans="1:4">
      <c r="A284" s="42"/>
      <c r="B284" s="42"/>
      <c r="C284" s="42"/>
      <c r="D284" s="42"/>
    </row>
    <row r="285" customHeight="1" spans="1:4">
      <c r="A285" s="42"/>
      <c r="B285" s="42"/>
      <c r="C285" s="42"/>
      <c r="D285" s="42"/>
    </row>
    <row r="286" customHeight="1" spans="1:4">
      <c r="A286" s="42"/>
      <c r="B286" s="42"/>
      <c r="C286" s="42"/>
      <c r="D286" s="42"/>
    </row>
    <row r="287" customHeight="1" spans="1:4">
      <c r="A287" s="42"/>
      <c r="B287" s="42"/>
      <c r="C287" s="42"/>
      <c r="D287" s="42"/>
    </row>
    <row r="288" customHeight="1" spans="1:4">
      <c r="A288" s="42"/>
      <c r="B288" s="42"/>
      <c r="C288" s="42"/>
      <c r="D288" s="42"/>
    </row>
    <row r="289" customHeight="1" spans="1:4">
      <c r="A289" s="42"/>
      <c r="B289" s="42"/>
      <c r="C289" s="42"/>
      <c r="D289" s="42"/>
    </row>
    <row r="290" customHeight="1" spans="1:4">
      <c r="A290" s="42"/>
      <c r="B290" s="42"/>
      <c r="C290" s="42"/>
      <c r="D290" s="42"/>
    </row>
    <row r="291" customHeight="1" spans="1:4">
      <c r="A291" s="42"/>
      <c r="B291" s="42"/>
      <c r="C291" s="42"/>
      <c r="D291" s="42"/>
    </row>
    <row r="292" customHeight="1" spans="1:4">
      <c r="A292" s="42"/>
      <c r="B292" s="42"/>
      <c r="C292" s="42"/>
      <c r="D292" s="42"/>
    </row>
    <row r="293" customHeight="1" spans="1:4">
      <c r="A293" s="42"/>
      <c r="B293" s="42"/>
      <c r="C293" s="42"/>
      <c r="D293" s="42"/>
    </row>
    <row r="294" customHeight="1" spans="1:4">
      <c r="A294" s="42"/>
      <c r="B294" s="42"/>
      <c r="C294" s="42"/>
      <c r="D294" s="42"/>
    </row>
    <row r="295" customHeight="1" spans="1:4">
      <c r="A295" s="42"/>
      <c r="B295" s="42"/>
      <c r="C295" s="42"/>
      <c r="D295" s="42"/>
    </row>
    <row r="296" customHeight="1" spans="1:4">
      <c r="A296" s="42"/>
      <c r="B296" s="42"/>
      <c r="C296" s="42"/>
      <c r="D296" s="42"/>
    </row>
    <row r="297" customHeight="1" spans="1:4">
      <c r="A297" s="42"/>
      <c r="B297" s="42"/>
      <c r="C297" s="42"/>
      <c r="D297" s="42"/>
    </row>
    <row r="298" customHeight="1" spans="1:4">
      <c r="A298" s="42"/>
      <c r="B298" s="42"/>
      <c r="C298" s="42"/>
      <c r="D298" s="42"/>
    </row>
    <row r="299" customHeight="1" spans="1:4">
      <c r="A299" s="42"/>
      <c r="B299" s="42"/>
      <c r="C299" s="42"/>
      <c r="D299" s="42"/>
    </row>
    <row r="300" customHeight="1" spans="1:4">
      <c r="A300" s="42"/>
      <c r="B300" s="42"/>
      <c r="C300" s="42"/>
      <c r="D300" s="42"/>
    </row>
    <row r="301" customHeight="1" spans="1:4">
      <c r="A301" s="42"/>
      <c r="B301" s="42"/>
      <c r="C301" s="42"/>
      <c r="D301" s="42"/>
    </row>
    <row r="302" customHeight="1" spans="1:4">
      <c r="A302" s="42"/>
      <c r="B302" s="42"/>
      <c r="C302" s="42"/>
      <c r="D302" s="42"/>
    </row>
    <row r="303" customHeight="1" spans="1:4">
      <c r="A303" s="42"/>
      <c r="B303" s="42"/>
      <c r="C303" s="42"/>
      <c r="D303" s="42"/>
    </row>
    <row r="304" customHeight="1" spans="1:4">
      <c r="A304" s="42"/>
      <c r="B304" s="42"/>
      <c r="C304" s="42"/>
      <c r="D304" s="42"/>
    </row>
    <row r="305" customHeight="1" spans="1:4">
      <c r="A305" s="42"/>
      <c r="B305" s="42"/>
      <c r="C305" s="42"/>
      <c r="D305" s="42"/>
    </row>
    <row r="306" customHeight="1" spans="1:4">
      <c r="A306" s="42"/>
      <c r="B306" s="42"/>
      <c r="C306" s="42"/>
      <c r="D306" s="42"/>
    </row>
    <row r="307" customHeight="1" spans="1:4">
      <c r="A307" s="42"/>
      <c r="B307" s="42"/>
      <c r="C307" s="42"/>
      <c r="D307" s="42"/>
    </row>
    <row r="308" customHeight="1" spans="1:4">
      <c r="A308" s="42"/>
      <c r="B308" s="42"/>
      <c r="C308" s="42"/>
      <c r="D308" s="42"/>
    </row>
    <row r="309" customHeight="1" spans="1:4">
      <c r="A309" s="42"/>
      <c r="B309" s="42"/>
      <c r="C309" s="42"/>
      <c r="D309" s="42"/>
    </row>
    <row r="310" customHeight="1" spans="1:4">
      <c r="A310" s="42"/>
      <c r="B310" s="42"/>
      <c r="C310" s="42"/>
      <c r="D310" s="42"/>
    </row>
    <row r="311" customHeight="1" spans="1:4">
      <c r="A311" s="42"/>
      <c r="B311" s="42"/>
      <c r="C311" s="42"/>
      <c r="D311" s="42"/>
    </row>
    <row r="312" customHeight="1" spans="1:4">
      <c r="A312" s="42"/>
      <c r="B312" s="42"/>
      <c r="C312" s="42"/>
      <c r="D312" s="42"/>
    </row>
    <row r="313" customHeight="1" spans="1:4">
      <c r="A313" s="42"/>
      <c r="B313" s="42"/>
      <c r="C313" s="42"/>
      <c r="D313" s="42"/>
    </row>
    <row r="314" customHeight="1" spans="1:4">
      <c r="A314" s="42"/>
      <c r="B314" s="42"/>
      <c r="C314" s="42"/>
      <c r="D314" s="42"/>
    </row>
    <row r="315" customHeight="1" spans="1:4">
      <c r="A315" s="42"/>
      <c r="B315" s="42"/>
      <c r="C315" s="42"/>
      <c r="D315" s="42"/>
    </row>
    <row r="316" customHeight="1" spans="1:4">
      <c r="A316" s="42"/>
      <c r="B316" s="42"/>
      <c r="C316" s="42"/>
      <c r="D316" s="42"/>
    </row>
    <row r="317" customHeight="1" spans="1:4">
      <c r="A317" s="42"/>
      <c r="B317" s="42"/>
      <c r="C317" s="42"/>
      <c r="D317" s="42"/>
    </row>
    <row r="318" customHeight="1" spans="1:4">
      <c r="A318" s="42"/>
      <c r="B318" s="42"/>
      <c r="C318" s="42"/>
      <c r="D318" s="42"/>
    </row>
    <row r="319" customHeight="1" spans="1:4">
      <c r="A319" s="42"/>
      <c r="B319" s="42"/>
      <c r="C319" s="42"/>
      <c r="D319" s="42"/>
    </row>
    <row r="320" customHeight="1" spans="1:4">
      <c r="A320" s="42"/>
      <c r="B320" s="42"/>
      <c r="C320" s="42"/>
      <c r="D320" s="42"/>
    </row>
    <row r="321" customHeight="1" spans="1:4">
      <c r="A321" s="42"/>
      <c r="B321" s="42"/>
      <c r="C321" s="42"/>
      <c r="D321" s="42"/>
    </row>
    <row r="322" customHeight="1" spans="1:4">
      <c r="A322" s="42"/>
      <c r="B322" s="42"/>
      <c r="C322" s="42"/>
      <c r="D322" s="42"/>
    </row>
    <row r="323" customHeight="1" spans="1:4">
      <c r="A323" s="42"/>
      <c r="B323" s="42"/>
      <c r="C323" s="42"/>
      <c r="D323" s="42"/>
    </row>
    <row r="324" customHeight="1" spans="1:4">
      <c r="A324" s="42"/>
      <c r="B324" s="42"/>
      <c r="C324" s="42"/>
      <c r="D324" s="42"/>
    </row>
    <row r="325" customHeight="1" spans="1:4">
      <c r="A325" s="42"/>
      <c r="B325" s="42"/>
      <c r="C325" s="42"/>
      <c r="D325" s="42"/>
    </row>
    <row r="326" customHeight="1" spans="1:4">
      <c r="A326" s="42"/>
      <c r="B326" s="42"/>
      <c r="C326" s="42"/>
      <c r="D326" s="42"/>
    </row>
    <row r="327" customHeight="1" spans="1:4">
      <c r="A327" s="42"/>
      <c r="B327" s="42"/>
      <c r="C327" s="42"/>
      <c r="D327" s="42"/>
    </row>
    <row r="328" customHeight="1" spans="1:4">
      <c r="A328" s="42"/>
      <c r="B328" s="42"/>
      <c r="C328" s="42"/>
      <c r="D328" s="42"/>
    </row>
    <row r="329" customHeight="1" spans="1:4">
      <c r="A329" s="42"/>
      <c r="B329" s="42"/>
      <c r="C329" s="42"/>
      <c r="D329" s="42"/>
    </row>
    <row r="330" customHeight="1" spans="1:4">
      <c r="A330" s="42"/>
      <c r="B330" s="42"/>
      <c r="C330" s="42"/>
      <c r="D330" s="42"/>
    </row>
    <row r="331" customHeight="1" spans="1:4">
      <c r="A331" s="42"/>
      <c r="B331" s="42"/>
      <c r="C331" s="42"/>
      <c r="D331" s="42"/>
    </row>
    <row r="332" customHeight="1" spans="1:4">
      <c r="A332" s="42"/>
      <c r="B332" s="42"/>
      <c r="C332" s="42"/>
      <c r="D332" s="42"/>
    </row>
    <row r="333" customHeight="1" spans="1:4">
      <c r="A333" s="42"/>
      <c r="B333" s="42"/>
      <c r="C333" s="42"/>
      <c r="D333" s="42"/>
    </row>
    <row r="334" customHeight="1" spans="1:4">
      <c r="A334" s="42"/>
      <c r="B334" s="42"/>
      <c r="C334" s="42"/>
      <c r="D334" s="42"/>
    </row>
    <row r="335" customHeight="1" spans="1:4">
      <c r="A335" s="42"/>
      <c r="B335" s="42"/>
      <c r="C335" s="42"/>
      <c r="D335" s="42"/>
    </row>
    <row r="336" customHeight="1" spans="1:4">
      <c r="A336" s="42"/>
      <c r="B336" s="42"/>
      <c r="C336" s="42"/>
      <c r="D336" s="42"/>
    </row>
    <row r="337" customHeight="1" spans="1:4">
      <c r="A337" s="42"/>
      <c r="B337" s="42"/>
      <c r="C337" s="42"/>
      <c r="D337" s="42"/>
    </row>
    <row r="338" customHeight="1" spans="1:4">
      <c r="A338" s="42"/>
      <c r="B338" s="42"/>
      <c r="C338" s="42"/>
      <c r="D338" s="42"/>
    </row>
    <row r="339" customHeight="1" spans="1:4">
      <c r="A339" s="42"/>
      <c r="B339" s="42"/>
      <c r="C339" s="42"/>
      <c r="D339" s="42"/>
    </row>
    <row r="340" customHeight="1" spans="1:4">
      <c r="A340" s="42"/>
      <c r="B340" s="42"/>
      <c r="C340" s="42"/>
      <c r="D340" s="42"/>
    </row>
    <row r="341" customHeight="1" spans="1:4">
      <c r="A341" s="42"/>
      <c r="B341" s="42"/>
      <c r="C341" s="42"/>
      <c r="D341" s="42"/>
    </row>
    <row r="342" customHeight="1" spans="1:4">
      <c r="A342" s="42"/>
      <c r="B342" s="42"/>
      <c r="C342" s="42"/>
      <c r="D342" s="42"/>
    </row>
    <row r="343" customHeight="1" spans="1:4">
      <c r="A343" s="42"/>
      <c r="B343" s="42"/>
      <c r="C343" s="42"/>
      <c r="D343" s="42"/>
    </row>
    <row r="344" customHeight="1" spans="1:4">
      <c r="A344" s="42"/>
      <c r="B344" s="42"/>
      <c r="C344" s="42"/>
      <c r="D344" s="42"/>
    </row>
    <row r="345" customHeight="1" spans="1:4">
      <c r="A345" s="42"/>
      <c r="B345" s="42"/>
      <c r="C345" s="42"/>
      <c r="D345" s="42"/>
    </row>
    <row r="346" customHeight="1" spans="1:4">
      <c r="A346" s="42"/>
      <c r="B346" s="42"/>
      <c r="C346" s="42"/>
      <c r="D346" s="42"/>
    </row>
    <row r="347" customHeight="1" spans="1:4">
      <c r="A347" s="42"/>
      <c r="B347" s="42"/>
      <c r="C347" s="42"/>
      <c r="D347" s="42"/>
    </row>
    <row r="348" customHeight="1" spans="1:4">
      <c r="A348" s="42"/>
      <c r="B348" s="42"/>
      <c r="C348" s="42"/>
      <c r="D348" s="42"/>
    </row>
    <row r="349" customHeight="1" spans="1:4">
      <c r="A349" s="42"/>
      <c r="B349" s="42"/>
      <c r="C349" s="42"/>
      <c r="D349" s="42"/>
    </row>
    <row r="350" customHeight="1" spans="1:4">
      <c r="A350" s="42"/>
      <c r="B350" s="42"/>
      <c r="C350" s="42"/>
      <c r="D350" s="42"/>
    </row>
    <row r="351" customHeight="1" spans="1:4">
      <c r="A351" s="42"/>
      <c r="B351" s="42"/>
      <c r="C351" s="42"/>
      <c r="D351" s="42"/>
    </row>
    <row r="352" customHeight="1" spans="1:4">
      <c r="A352" s="42"/>
      <c r="B352" s="42"/>
      <c r="C352" s="42"/>
      <c r="D352" s="42"/>
    </row>
    <row r="353" customHeight="1" spans="1:4">
      <c r="A353" s="42"/>
      <c r="B353" s="42"/>
      <c r="C353" s="42"/>
      <c r="D353" s="42"/>
    </row>
    <row r="354" customHeight="1" spans="1:4">
      <c r="A354" s="42"/>
      <c r="B354" s="42"/>
      <c r="C354" s="42"/>
      <c r="D354" s="42"/>
    </row>
    <row r="355" customHeight="1" spans="1:4">
      <c r="A355" s="42"/>
      <c r="B355" s="42"/>
      <c r="C355" s="42"/>
      <c r="D355" s="42"/>
    </row>
    <row r="356" customHeight="1" spans="1:4">
      <c r="A356" s="42"/>
      <c r="B356" s="42"/>
      <c r="C356" s="42"/>
      <c r="D356" s="42"/>
    </row>
    <row r="357" customHeight="1" spans="1:4">
      <c r="A357" s="42"/>
      <c r="B357" s="42"/>
      <c r="C357" s="42"/>
      <c r="D357" s="42"/>
    </row>
    <row r="358" customHeight="1" spans="1:4">
      <c r="A358" s="42"/>
      <c r="B358" s="42"/>
      <c r="C358" s="42"/>
      <c r="D358" s="42"/>
    </row>
    <row r="359" customHeight="1" spans="1:4">
      <c r="A359" s="42"/>
      <c r="B359" s="42"/>
      <c r="C359" s="42"/>
      <c r="D359" s="42"/>
    </row>
    <row r="360" customHeight="1" spans="1:4">
      <c r="A360" s="42"/>
      <c r="B360" s="42"/>
      <c r="C360" s="42"/>
      <c r="D360" s="42"/>
    </row>
    <row r="361" customHeight="1" spans="1:4">
      <c r="A361" s="42"/>
      <c r="B361" s="42"/>
      <c r="C361" s="42"/>
      <c r="D361" s="42"/>
    </row>
    <row r="362" customHeight="1" spans="1:4">
      <c r="A362" s="42"/>
      <c r="B362" s="42"/>
      <c r="C362" s="42"/>
      <c r="D362" s="42"/>
    </row>
    <row r="363" customHeight="1" spans="1:4">
      <c r="A363" s="42"/>
      <c r="B363" s="42"/>
      <c r="C363" s="42"/>
      <c r="D363" s="42"/>
    </row>
    <row r="364" customHeight="1" spans="1:4">
      <c r="A364" s="42"/>
      <c r="B364" s="42"/>
      <c r="C364" s="42"/>
      <c r="D364" s="42"/>
    </row>
    <row r="365" customHeight="1" spans="1:4">
      <c r="A365" s="42"/>
      <c r="B365" s="42"/>
      <c r="C365" s="42"/>
      <c r="D365" s="42"/>
    </row>
    <row r="366" customHeight="1" spans="1:4">
      <c r="A366" s="42"/>
      <c r="B366" s="42"/>
      <c r="C366" s="42"/>
      <c r="D366" s="42"/>
    </row>
    <row r="367" customHeight="1" spans="1:4">
      <c r="A367" s="42"/>
      <c r="B367" s="42"/>
      <c r="C367" s="42"/>
      <c r="D367" s="42"/>
    </row>
    <row r="368" customHeight="1" spans="1:4">
      <c r="A368" s="42"/>
      <c r="B368" s="42"/>
      <c r="C368" s="42"/>
      <c r="D368" s="42"/>
    </row>
    <row r="369" customHeight="1" spans="1:4">
      <c r="A369" s="42"/>
      <c r="B369" s="42"/>
      <c r="C369" s="42"/>
      <c r="D369" s="42"/>
    </row>
    <row r="370" customHeight="1" spans="1:4">
      <c r="A370" s="42"/>
      <c r="B370" s="42"/>
      <c r="C370" s="42"/>
      <c r="D370" s="42"/>
    </row>
    <row r="371" customHeight="1" spans="1:4">
      <c r="A371" s="42"/>
      <c r="B371" s="42"/>
      <c r="C371" s="42"/>
      <c r="D371" s="42"/>
    </row>
    <row r="372" customHeight="1" spans="1:4">
      <c r="A372" s="42"/>
      <c r="B372" s="42"/>
      <c r="C372" s="42"/>
      <c r="D372" s="42"/>
    </row>
    <row r="373" customHeight="1" spans="1:4">
      <c r="A373" s="42"/>
      <c r="B373" s="42"/>
      <c r="C373" s="42"/>
      <c r="D373" s="42"/>
    </row>
    <row r="374" customHeight="1" spans="1:4">
      <c r="A374" s="42"/>
      <c r="B374" s="42"/>
      <c r="C374" s="42"/>
      <c r="D374" s="42"/>
    </row>
    <row r="375" customHeight="1" spans="1:4">
      <c r="A375" s="42"/>
      <c r="B375" s="42"/>
      <c r="C375" s="42"/>
      <c r="D375" s="42"/>
    </row>
    <row r="376" customHeight="1" spans="1:4">
      <c r="A376" s="42"/>
      <c r="B376" s="42"/>
      <c r="C376" s="42"/>
      <c r="D376" s="42"/>
    </row>
    <row r="377" customHeight="1" spans="1:4">
      <c r="A377" s="42"/>
      <c r="B377" s="42"/>
      <c r="C377" s="42"/>
      <c r="D377" s="42"/>
    </row>
    <row r="378" customHeight="1" spans="1:4">
      <c r="A378" s="42"/>
      <c r="B378" s="42"/>
      <c r="C378" s="42"/>
      <c r="D378" s="42"/>
    </row>
    <row r="379" customHeight="1" spans="1:4">
      <c r="A379" s="42"/>
      <c r="B379" s="42"/>
      <c r="C379" s="42"/>
      <c r="D379" s="42"/>
    </row>
    <row r="380" customHeight="1" spans="1:4">
      <c r="A380" s="42"/>
      <c r="B380" s="42"/>
      <c r="C380" s="42"/>
      <c r="D380" s="42"/>
    </row>
    <row r="381" customHeight="1" spans="1:4">
      <c r="A381" s="42"/>
      <c r="B381" s="42"/>
      <c r="C381" s="42"/>
      <c r="D381" s="42"/>
    </row>
    <row r="382" customHeight="1" spans="1:4">
      <c r="A382" s="42"/>
      <c r="B382" s="42"/>
      <c r="C382" s="42"/>
      <c r="D382" s="42"/>
    </row>
    <row r="383" customHeight="1" spans="1:4">
      <c r="A383" s="42"/>
      <c r="B383" s="42"/>
      <c r="C383" s="42"/>
      <c r="D383" s="42"/>
    </row>
    <row r="384" customHeight="1" spans="1:4">
      <c r="A384" s="42"/>
      <c r="B384" s="42"/>
      <c r="C384" s="42"/>
      <c r="D384" s="42"/>
    </row>
    <row r="385" customHeight="1" spans="1:4">
      <c r="A385" s="42"/>
      <c r="B385" s="42"/>
      <c r="C385" s="42"/>
      <c r="D385" s="42"/>
    </row>
    <row r="386" customHeight="1" spans="1:4">
      <c r="A386" s="42"/>
      <c r="B386" s="42"/>
      <c r="C386" s="42"/>
      <c r="D386" s="42"/>
    </row>
    <row r="387" customHeight="1" spans="1:4">
      <c r="A387" s="42"/>
      <c r="B387" s="42"/>
      <c r="C387" s="42"/>
      <c r="D387" s="42"/>
    </row>
    <row r="388" customHeight="1" spans="1:4">
      <c r="A388" s="42"/>
      <c r="B388" s="42"/>
      <c r="C388" s="42"/>
      <c r="D388" s="42"/>
    </row>
    <row r="389" customHeight="1" spans="1:4">
      <c r="A389" s="42"/>
      <c r="B389" s="42"/>
      <c r="C389" s="42"/>
      <c r="D389" s="42"/>
    </row>
    <row r="390" customHeight="1" spans="1:4">
      <c r="A390" s="42"/>
      <c r="B390" s="42"/>
      <c r="C390" s="42"/>
      <c r="D390" s="42"/>
    </row>
    <row r="391" customHeight="1" spans="1:4">
      <c r="A391" s="42"/>
      <c r="B391" s="42"/>
      <c r="C391" s="42"/>
      <c r="D391" s="42"/>
    </row>
    <row r="392" customHeight="1" spans="1:4">
      <c r="A392" s="42"/>
      <c r="B392" s="42"/>
      <c r="C392" s="42"/>
      <c r="D392" s="42"/>
    </row>
    <row r="393" customHeight="1" spans="1:4">
      <c r="A393" s="42"/>
      <c r="B393" s="42"/>
      <c r="C393" s="42"/>
      <c r="D393" s="42"/>
    </row>
    <row r="394" customHeight="1" spans="1:4">
      <c r="A394" s="42"/>
      <c r="B394" s="42"/>
      <c r="C394" s="42"/>
      <c r="D394" s="42"/>
    </row>
    <row r="395" customHeight="1" spans="1:4">
      <c r="A395" s="42"/>
      <c r="B395" s="42"/>
      <c r="C395" s="42"/>
      <c r="D395" s="42"/>
    </row>
    <row r="396" customHeight="1" spans="1:4">
      <c r="A396" s="42"/>
      <c r="B396" s="42"/>
      <c r="C396" s="42"/>
      <c r="D396" s="42"/>
    </row>
    <row r="397" customHeight="1" spans="1:4">
      <c r="A397" s="42"/>
      <c r="B397" s="42"/>
      <c r="C397" s="42"/>
      <c r="D397" s="42"/>
    </row>
    <row r="398" customHeight="1" spans="1:4">
      <c r="A398" s="42"/>
      <c r="B398" s="42"/>
      <c r="C398" s="42"/>
      <c r="D398" s="42"/>
    </row>
    <row r="399" customHeight="1" spans="1:4">
      <c r="A399" s="42"/>
      <c r="B399" s="42"/>
      <c r="C399" s="42"/>
      <c r="D399" s="42"/>
    </row>
    <row r="400" customHeight="1" spans="1:4">
      <c r="A400" s="42"/>
      <c r="B400" s="42"/>
      <c r="C400" s="42"/>
      <c r="D400" s="42"/>
    </row>
    <row r="401" customHeight="1" spans="1:4">
      <c r="A401" s="42"/>
      <c r="B401" s="42"/>
      <c r="C401" s="42"/>
      <c r="D401" s="42"/>
    </row>
    <row r="402" customHeight="1" spans="1:4">
      <c r="A402" s="42"/>
      <c r="B402" s="42"/>
      <c r="C402" s="42"/>
      <c r="D402" s="42"/>
    </row>
    <row r="403" customHeight="1" spans="1:4">
      <c r="A403" s="42"/>
      <c r="B403" s="42"/>
      <c r="C403" s="42"/>
      <c r="D403" s="42"/>
    </row>
    <row r="404" customHeight="1" spans="1:4">
      <c r="A404" s="42"/>
      <c r="B404" s="42"/>
      <c r="C404" s="42"/>
      <c r="D404" s="42"/>
    </row>
    <row r="405" customHeight="1" spans="1:4">
      <c r="A405" s="42"/>
      <c r="B405" s="42"/>
      <c r="C405" s="42"/>
      <c r="D405" s="42"/>
    </row>
    <row r="406" customHeight="1" spans="1:4">
      <c r="A406" s="42"/>
      <c r="B406" s="42"/>
      <c r="C406" s="42"/>
      <c r="D406" s="42"/>
    </row>
    <row r="407" customHeight="1" spans="1:4">
      <c r="A407" s="42"/>
      <c r="B407" s="42"/>
      <c r="C407" s="42"/>
      <c r="D407" s="42"/>
    </row>
    <row r="408" customHeight="1" spans="1:4">
      <c r="A408" s="42"/>
      <c r="B408" s="42"/>
      <c r="C408" s="42"/>
      <c r="D408" s="42"/>
    </row>
    <row r="409" customHeight="1" spans="1:4">
      <c r="A409" s="42"/>
      <c r="B409" s="42"/>
      <c r="C409" s="42"/>
      <c r="D409" s="42"/>
    </row>
    <row r="410" customHeight="1" spans="1:4">
      <c r="A410" s="42"/>
      <c r="B410" s="42"/>
      <c r="C410" s="42"/>
      <c r="D410" s="42"/>
    </row>
    <row r="411" customHeight="1" spans="1:4">
      <c r="A411" s="42"/>
      <c r="B411" s="42"/>
      <c r="C411" s="42"/>
      <c r="D411" s="42"/>
    </row>
    <row r="412" customHeight="1" spans="1:4">
      <c r="A412" s="42"/>
      <c r="B412" s="42"/>
      <c r="C412" s="42"/>
      <c r="D412" s="42"/>
    </row>
    <row r="413" customHeight="1" spans="1:4">
      <c r="A413" s="42"/>
      <c r="B413" s="42"/>
      <c r="C413" s="42"/>
      <c r="D413" s="42"/>
    </row>
    <row r="414" customHeight="1" spans="1:4">
      <c r="A414" s="42"/>
      <c r="B414" s="42"/>
      <c r="C414" s="42"/>
      <c r="D414" s="42"/>
    </row>
    <row r="415" customHeight="1" spans="1:4">
      <c r="A415" s="42"/>
      <c r="B415" s="42"/>
      <c r="C415" s="42"/>
      <c r="D415" s="42"/>
    </row>
    <row r="416" customHeight="1" spans="1:4">
      <c r="A416" s="42"/>
      <c r="B416" s="42"/>
      <c r="C416" s="42"/>
      <c r="D416" s="42"/>
    </row>
    <row r="417" customHeight="1" spans="1:4">
      <c r="A417" s="42"/>
      <c r="B417" s="42"/>
      <c r="C417" s="42"/>
      <c r="D417" s="42"/>
    </row>
    <row r="418" customHeight="1" spans="1:4">
      <c r="A418" s="42"/>
      <c r="B418" s="42"/>
      <c r="C418" s="42"/>
      <c r="D418" s="42"/>
    </row>
    <row r="419" customHeight="1" spans="1:4">
      <c r="A419" s="42"/>
      <c r="B419" s="42"/>
      <c r="C419" s="42"/>
      <c r="D419" s="42"/>
    </row>
    <row r="420" customHeight="1" spans="1:4">
      <c r="A420" s="42"/>
      <c r="B420" s="42"/>
      <c r="C420" s="42"/>
      <c r="D420" s="42"/>
    </row>
    <row r="421" customHeight="1" spans="1:4">
      <c r="A421" s="42"/>
      <c r="B421" s="42"/>
      <c r="C421" s="42"/>
      <c r="D421" s="42"/>
    </row>
    <row r="422" customHeight="1" spans="1:4">
      <c r="A422" s="42"/>
      <c r="B422" s="42"/>
      <c r="C422" s="42"/>
      <c r="D422" s="42"/>
    </row>
    <row r="423" customHeight="1" spans="1:4">
      <c r="A423" s="42"/>
      <c r="B423" s="42"/>
      <c r="C423" s="42"/>
      <c r="D423" s="42"/>
    </row>
    <row r="424" customHeight="1" spans="1:4">
      <c r="A424" s="42"/>
      <c r="B424" s="42"/>
      <c r="C424" s="42"/>
      <c r="D424" s="42"/>
    </row>
    <row r="425" customHeight="1" spans="1:4">
      <c r="A425" s="42"/>
      <c r="B425" s="42"/>
      <c r="C425" s="42"/>
      <c r="D425" s="42"/>
    </row>
    <row r="426" customHeight="1" spans="1:4">
      <c r="A426" s="42"/>
      <c r="B426" s="42"/>
      <c r="C426" s="42"/>
      <c r="D426" s="42"/>
    </row>
    <row r="427" customHeight="1" spans="1:4">
      <c r="A427" s="42"/>
      <c r="B427" s="42"/>
      <c r="C427" s="42"/>
      <c r="D427" s="42"/>
    </row>
    <row r="428" customHeight="1" spans="1:4">
      <c r="A428" s="42"/>
      <c r="B428" s="42"/>
      <c r="C428" s="42"/>
      <c r="D428" s="42"/>
    </row>
    <row r="429" customHeight="1" spans="1:4">
      <c r="A429" s="42"/>
      <c r="B429" s="42"/>
      <c r="C429" s="42"/>
      <c r="D429" s="42"/>
    </row>
    <row r="430" customHeight="1" spans="1:4">
      <c r="A430" s="42"/>
      <c r="B430" s="42"/>
      <c r="C430" s="42"/>
      <c r="D430" s="42"/>
    </row>
    <row r="431" customHeight="1" spans="1:4">
      <c r="A431" s="42"/>
      <c r="B431" s="42"/>
      <c r="C431" s="42"/>
      <c r="D431" s="42"/>
    </row>
    <row r="432" customHeight="1" spans="1:4">
      <c r="A432" s="42"/>
      <c r="B432" s="42"/>
      <c r="C432" s="42"/>
      <c r="D432" s="42"/>
    </row>
    <row r="433" customHeight="1" spans="1:4">
      <c r="A433" s="42"/>
      <c r="B433" s="42"/>
      <c r="C433" s="42"/>
      <c r="D433" s="42"/>
    </row>
    <row r="434" customHeight="1" spans="1:4">
      <c r="A434" s="42"/>
      <c r="B434" s="42"/>
      <c r="C434" s="42"/>
      <c r="D434" s="42"/>
    </row>
    <row r="435" customHeight="1" spans="1:4">
      <c r="A435" s="42"/>
      <c r="B435" s="42"/>
      <c r="C435" s="42"/>
      <c r="D435" s="42"/>
    </row>
    <row r="436" customHeight="1" spans="1:4">
      <c r="A436" s="42"/>
      <c r="B436" s="42"/>
      <c r="C436" s="42"/>
      <c r="D436" s="42"/>
    </row>
    <row r="437" customHeight="1" spans="1:4">
      <c r="A437" s="42"/>
      <c r="B437" s="42"/>
      <c r="C437" s="42"/>
      <c r="D437" s="42"/>
    </row>
    <row r="438" customHeight="1" spans="1:4">
      <c r="A438" s="42"/>
      <c r="B438" s="42"/>
      <c r="C438" s="42"/>
      <c r="D438" s="42"/>
    </row>
    <row r="439" customHeight="1" spans="1:4">
      <c r="A439" s="42"/>
      <c r="B439" s="42"/>
      <c r="C439" s="42"/>
      <c r="D439" s="42"/>
    </row>
    <row r="440" customHeight="1" spans="1:4">
      <c r="A440" s="42"/>
      <c r="B440" s="42"/>
      <c r="C440" s="42"/>
      <c r="D440" s="42"/>
    </row>
    <row r="441" customHeight="1" spans="1:4">
      <c r="A441" s="42"/>
      <c r="B441" s="42"/>
      <c r="C441" s="42"/>
      <c r="D441" s="42"/>
    </row>
    <row r="442" customHeight="1" spans="1:4">
      <c r="A442" s="42"/>
      <c r="B442" s="42"/>
      <c r="C442" s="42"/>
      <c r="D442" s="42"/>
    </row>
    <row r="443" customHeight="1" spans="1:4">
      <c r="A443" s="42"/>
      <c r="B443" s="42"/>
      <c r="C443" s="42"/>
      <c r="D443" s="42"/>
    </row>
    <row r="444" customHeight="1" spans="1:4">
      <c r="A444" s="42"/>
      <c r="B444" s="42"/>
      <c r="C444" s="42"/>
      <c r="D444" s="42"/>
    </row>
    <row r="445" customHeight="1" spans="1:4">
      <c r="A445" s="42"/>
      <c r="B445" s="42"/>
      <c r="C445" s="42"/>
      <c r="D445" s="42"/>
    </row>
    <row r="446" customHeight="1" spans="1:4">
      <c r="A446" s="42"/>
      <c r="B446" s="42"/>
      <c r="C446" s="42"/>
      <c r="D446" s="42"/>
    </row>
    <row r="447" customHeight="1" spans="1:4">
      <c r="A447" s="42"/>
      <c r="B447" s="42"/>
      <c r="C447" s="42"/>
      <c r="D447" s="42"/>
    </row>
    <row r="448" customHeight="1" spans="1:4">
      <c r="A448" s="42"/>
      <c r="B448" s="42"/>
      <c r="C448" s="42"/>
      <c r="D448" s="42"/>
    </row>
    <row r="449" customHeight="1" spans="1:4">
      <c r="A449" s="42"/>
      <c r="B449" s="42"/>
      <c r="C449" s="42"/>
      <c r="D449" s="42"/>
    </row>
    <row r="450" customHeight="1" spans="1:4">
      <c r="A450" s="42"/>
      <c r="B450" s="42"/>
      <c r="C450" s="42"/>
      <c r="D450" s="42"/>
    </row>
    <row r="451" customHeight="1" spans="1:4">
      <c r="A451" s="42"/>
      <c r="B451" s="42"/>
      <c r="C451" s="42"/>
      <c r="D451" s="42"/>
    </row>
    <row r="452" customHeight="1" spans="1:4">
      <c r="A452" s="42"/>
      <c r="B452" s="42"/>
      <c r="C452" s="42"/>
      <c r="D452" s="42"/>
    </row>
    <row r="453" customHeight="1" spans="1:4">
      <c r="A453" s="42"/>
      <c r="B453" s="42"/>
      <c r="C453" s="42"/>
      <c r="D453" s="42"/>
    </row>
    <row r="454" customHeight="1" spans="1:4">
      <c r="A454" s="42"/>
      <c r="B454" s="42"/>
      <c r="C454" s="42"/>
      <c r="D454" s="42"/>
    </row>
    <row r="455" customHeight="1" spans="1:4">
      <c r="A455" s="42"/>
      <c r="B455" s="42"/>
      <c r="C455" s="42"/>
      <c r="D455" s="42"/>
    </row>
    <row r="456" customHeight="1" spans="1:4">
      <c r="A456" s="42"/>
      <c r="B456" s="42"/>
      <c r="C456" s="42"/>
      <c r="D456" s="42"/>
    </row>
    <row r="457" customHeight="1" spans="1:4">
      <c r="A457" s="42"/>
      <c r="B457" s="42"/>
      <c r="C457" s="42"/>
      <c r="D457" s="42"/>
    </row>
    <row r="458" customHeight="1" spans="1:4">
      <c r="A458" s="42"/>
      <c r="B458" s="42"/>
      <c r="C458" s="42"/>
      <c r="D458" s="42"/>
    </row>
    <row r="459" customHeight="1" spans="1:4">
      <c r="A459" s="42"/>
      <c r="B459" s="42"/>
      <c r="C459" s="42"/>
      <c r="D459" s="42"/>
    </row>
    <row r="460" customHeight="1" spans="1:4">
      <c r="A460" s="42"/>
      <c r="B460" s="42"/>
      <c r="C460" s="42"/>
      <c r="D460" s="42"/>
    </row>
    <row r="461" customHeight="1" spans="1:4">
      <c r="A461" s="42"/>
      <c r="B461" s="42"/>
      <c r="C461" s="42"/>
      <c r="D461" s="42"/>
    </row>
    <row r="462" customHeight="1" spans="1:4">
      <c r="A462" s="42"/>
      <c r="B462" s="42"/>
      <c r="C462" s="42"/>
      <c r="D462" s="42"/>
    </row>
    <row r="463" customHeight="1" spans="1:4">
      <c r="A463" s="42"/>
      <c r="B463" s="42"/>
      <c r="C463" s="42"/>
      <c r="D463" s="42"/>
    </row>
    <row r="464" customHeight="1" spans="1:4">
      <c r="A464" s="42"/>
      <c r="B464" s="42"/>
      <c r="C464" s="42"/>
      <c r="D464" s="42"/>
    </row>
    <row r="465" customHeight="1" spans="1:4">
      <c r="A465" s="42"/>
      <c r="B465" s="42"/>
      <c r="C465" s="42"/>
      <c r="D465" s="42"/>
    </row>
    <row r="466" customHeight="1" spans="1:4">
      <c r="A466" s="42"/>
      <c r="B466" s="42"/>
      <c r="C466" s="42"/>
      <c r="D466" s="42"/>
    </row>
    <row r="467" customHeight="1" spans="1:4">
      <c r="A467" s="42"/>
      <c r="B467" s="42"/>
      <c r="C467" s="42"/>
      <c r="D467" s="42"/>
    </row>
    <row r="468" customHeight="1" spans="1:4">
      <c r="A468" s="42"/>
      <c r="B468" s="42"/>
      <c r="C468" s="42"/>
      <c r="D468" s="42"/>
    </row>
    <row r="469" customHeight="1" spans="1:4">
      <c r="A469" s="42"/>
      <c r="B469" s="42"/>
      <c r="C469" s="42"/>
      <c r="D469" s="42"/>
    </row>
    <row r="470" customHeight="1" spans="1:4">
      <c r="A470" s="42"/>
      <c r="B470" s="42"/>
      <c r="C470" s="42"/>
      <c r="D470" s="42"/>
    </row>
    <row r="471" customHeight="1" spans="1:4">
      <c r="A471" s="42"/>
      <c r="B471" s="42"/>
      <c r="C471" s="42"/>
      <c r="D471" s="42"/>
    </row>
    <row r="472" customHeight="1" spans="1:4">
      <c r="A472" s="42"/>
      <c r="B472" s="42"/>
      <c r="C472" s="42"/>
      <c r="D472" s="42"/>
    </row>
    <row r="473" customHeight="1" spans="1:4">
      <c r="A473" s="42"/>
      <c r="B473" s="42"/>
      <c r="C473" s="42"/>
      <c r="D473" s="42"/>
    </row>
    <row r="474" customHeight="1" spans="1:4">
      <c r="A474" s="42"/>
      <c r="B474" s="42"/>
      <c r="C474" s="42"/>
      <c r="D474" s="42"/>
    </row>
    <row r="475" customHeight="1" spans="1:4">
      <c r="A475" s="42"/>
      <c r="B475" s="42"/>
      <c r="C475" s="42"/>
      <c r="D475" s="42"/>
    </row>
    <row r="476" customHeight="1" spans="1:4">
      <c r="A476" s="42"/>
      <c r="B476" s="42"/>
      <c r="C476" s="42"/>
      <c r="D476" s="42"/>
    </row>
    <row r="477" customHeight="1" spans="1:4">
      <c r="A477" s="42"/>
      <c r="B477" s="42"/>
      <c r="C477" s="42"/>
      <c r="D477" s="42"/>
    </row>
    <row r="478" customHeight="1" spans="1:4">
      <c r="A478" s="42"/>
      <c r="B478" s="42"/>
      <c r="C478" s="42"/>
      <c r="D478" s="42"/>
    </row>
    <row r="479" customHeight="1" spans="1:4">
      <c r="A479" s="42"/>
      <c r="B479" s="42"/>
      <c r="C479" s="42"/>
      <c r="D479" s="42"/>
    </row>
    <row r="480" customHeight="1" spans="1:4">
      <c r="A480" s="42"/>
      <c r="B480" s="42"/>
      <c r="C480" s="42"/>
      <c r="D480" s="42"/>
    </row>
    <row r="481" customHeight="1" spans="1:4">
      <c r="A481" s="42"/>
      <c r="B481" s="42"/>
      <c r="C481" s="42"/>
      <c r="D481" s="42"/>
    </row>
    <row r="482" customHeight="1" spans="1:4">
      <c r="A482" s="42"/>
      <c r="B482" s="42"/>
      <c r="C482" s="42"/>
      <c r="D482" s="42"/>
    </row>
    <row r="483" customHeight="1" spans="1:4">
      <c r="A483" s="42"/>
      <c r="B483" s="42"/>
      <c r="C483" s="42"/>
      <c r="D483" s="42"/>
    </row>
    <row r="484" customHeight="1" spans="1:4">
      <c r="A484" s="42"/>
      <c r="B484" s="42"/>
      <c r="C484" s="42"/>
      <c r="D484" s="42"/>
    </row>
    <row r="485" customHeight="1" spans="1:4">
      <c r="A485" s="42"/>
      <c r="B485" s="42"/>
      <c r="C485" s="42"/>
      <c r="D485" s="42"/>
    </row>
    <row r="486" customHeight="1" spans="1:4">
      <c r="A486" s="42"/>
      <c r="B486" s="42"/>
      <c r="C486" s="42"/>
      <c r="D486" s="42"/>
    </row>
    <row r="487" customHeight="1" spans="1:4">
      <c r="A487" s="42"/>
      <c r="B487" s="42"/>
      <c r="C487" s="42"/>
      <c r="D487" s="42"/>
    </row>
    <row r="488" customHeight="1" spans="1:4">
      <c r="A488" s="42"/>
      <c r="B488" s="42"/>
      <c r="C488" s="42"/>
      <c r="D488" s="42"/>
    </row>
    <row r="489" customHeight="1" spans="1:4">
      <c r="A489" s="42"/>
      <c r="B489" s="42"/>
      <c r="C489" s="42"/>
      <c r="D489" s="42"/>
    </row>
    <row r="490" customHeight="1" spans="1:4">
      <c r="A490" s="42"/>
      <c r="B490" s="42"/>
      <c r="C490" s="42"/>
      <c r="D490" s="42"/>
    </row>
    <row r="491" customHeight="1" spans="1:4">
      <c r="A491" s="42"/>
      <c r="B491" s="42"/>
      <c r="C491" s="42"/>
      <c r="D491" s="42"/>
    </row>
    <row r="492" customHeight="1" spans="1:4">
      <c r="A492" s="42"/>
      <c r="B492" s="42"/>
      <c r="C492" s="42"/>
      <c r="D492" s="42"/>
    </row>
    <row r="493" customHeight="1" spans="1:4">
      <c r="A493" s="42"/>
      <c r="B493" s="42"/>
      <c r="C493" s="42"/>
      <c r="D493" s="42"/>
    </row>
    <row r="494" customHeight="1" spans="1:4">
      <c r="A494" s="42"/>
      <c r="B494" s="42"/>
      <c r="C494" s="42"/>
      <c r="D494" s="42"/>
    </row>
    <row r="495" customHeight="1" spans="1:4">
      <c r="A495" s="42"/>
      <c r="B495" s="42"/>
      <c r="C495" s="42"/>
      <c r="D495" s="42"/>
    </row>
    <row r="496" customHeight="1" spans="1:4">
      <c r="A496" s="42"/>
      <c r="B496" s="42"/>
      <c r="C496" s="42"/>
      <c r="D496" s="42"/>
    </row>
    <row r="497" customHeight="1" spans="1:4">
      <c r="A497" s="42"/>
      <c r="B497" s="42"/>
      <c r="C497" s="42"/>
      <c r="D497" s="42"/>
    </row>
    <row r="498" customHeight="1" spans="1:4">
      <c r="A498" s="42"/>
      <c r="B498" s="42"/>
      <c r="C498" s="42"/>
      <c r="D498" s="42"/>
    </row>
    <row r="499" customHeight="1" spans="1:4">
      <c r="A499" s="42"/>
      <c r="B499" s="42"/>
      <c r="C499" s="42"/>
      <c r="D499" s="42"/>
    </row>
    <row r="500" customHeight="1" spans="1:4">
      <c r="A500" s="42"/>
      <c r="B500" s="42"/>
      <c r="C500" s="42"/>
      <c r="D500" s="42"/>
    </row>
    <row r="501" customHeight="1" spans="1:4">
      <c r="A501" s="42"/>
      <c r="B501" s="42"/>
      <c r="C501" s="42"/>
      <c r="D501" s="42"/>
    </row>
    <row r="502" customHeight="1" spans="1:4">
      <c r="A502" s="42"/>
      <c r="B502" s="42"/>
      <c r="C502" s="42"/>
      <c r="D502" s="42"/>
    </row>
    <row r="503" customHeight="1" spans="1:4">
      <c r="A503" s="42"/>
      <c r="B503" s="42"/>
      <c r="C503" s="42"/>
      <c r="D503" s="42"/>
    </row>
    <row r="504" customHeight="1" spans="1:4">
      <c r="A504" s="42"/>
      <c r="B504" s="42"/>
      <c r="C504" s="42"/>
      <c r="D504" s="42"/>
    </row>
    <row r="505" customHeight="1" spans="1:4">
      <c r="A505" s="42"/>
      <c r="B505" s="42"/>
      <c r="C505" s="42"/>
      <c r="D505" s="42"/>
    </row>
    <row r="506" customHeight="1" spans="1:4">
      <c r="A506" s="42"/>
      <c r="B506" s="42"/>
      <c r="C506" s="42"/>
      <c r="D506" s="42"/>
    </row>
    <row r="507" customHeight="1" spans="1:4">
      <c r="A507" s="42"/>
      <c r="B507" s="42"/>
      <c r="C507" s="42"/>
      <c r="D507" s="42"/>
    </row>
    <row r="508" customHeight="1" spans="1:4">
      <c r="A508" s="42"/>
      <c r="B508" s="42"/>
      <c r="C508" s="42"/>
      <c r="D508" s="42"/>
    </row>
    <row r="509" customHeight="1" spans="1:4">
      <c r="A509" s="42"/>
      <c r="B509" s="42"/>
      <c r="C509" s="42"/>
      <c r="D509" s="42"/>
    </row>
    <row r="510" customHeight="1" spans="1:4">
      <c r="A510" s="42"/>
      <c r="B510" s="42"/>
      <c r="C510" s="42"/>
      <c r="D510" s="42"/>
    </row>
    <row r="511" customHeight="1" spans="1:4">
      <c r="A511" s="42"/>
      <c r="B511" s="42"/>
      <c r="C511" s="42"/>
      <c r="D511" s="42"/>
    </row>
    <row r="512" customHeight="1" spans="1:4">
      <c r="A512" s="42"/>
      <c r="B512" s="42"/>
      <c r="C512" s="42"/>
      <c r="D512" s="42"/>
    </row>
    <row r="513" customHeight="1" spans="1:4">
      <c r="A513" s="42"/>
      <c r="B513" s="42"/>
      <c r="C513" s="42"/>
      <c r="D513" s="42"/>
    </row>
    <row r="514" customHeight="1" spans="1:4">
      <c r="A514" s="42"/>
      <c r="B514" s="42"/>
      <c r="C514" s="42"/>
      <c r="D514" s="42"/>
    </row>
    <row r="515" customHeight="1" spans="1:4">
      <c r="A515" s="42"/>
      <c r="B515" s="42"/>
      <c r="C515" s="42"/>
      <c r="D515" s="42"/>
    </row>
    <row r="516" customHeight="1" spans="1:4">
      <c r="A516" s="42"/>
      <c r="B516" s="42"/>
      <c r="C516" s="42"/>
      <c r="D516" s="42"/>
    </row>
    <row r="517" customHeight="1" spans="1:4">
      <c r="A517" s="42"/>
      <c r="B517" s="42"/>
      <c r="C517" s="42"/>
      <c r="D517" s="42"/>
    </row>
    <row r="518" customHeight="1" spans="1:4">
      <c r="A518" s="42"/>
      <c r="B518" s="42"/>
      <c r="C518" s="42"/>
      <c r="D518" s="42"/>
    </row>
    <row r="519" customHeight="1" spans="1:4">
      <c r="A519" s="42"/>
      <c r="B519" s="42"/>
      <c r="C519" s="42"/>
      <c r="D519" s="42"/>
    </row>
    <row r="520" customHeight="1" spans="1:4">
      <c r="A520" s="42"/>
      <c r="B520" s="42"/>
      <c r="C520" s="42"/>
      <c r="D520" s="42"/>
    </row>
    <row r="521" customHeight="1" spans="1:4">
      <c r="A521" s="42"/>
      <c r="B521" s="42"/>
      <c r="C521" s="42"/>
      <c r="D521" s="42"/>
    </row>
    <row r="522" customHeight="1" spans="1:4">
      <c r="A522" s="42"/>
      <c r="B522" s="42"/>
      <c r="C522" s="42"/>
      <c r="D522" s="42"/>
    </row>
    <row r="523" customHeight="1" spans="1:4">
      <c r="A523" s="42"/>
      <c r="B523" s="42"/>
      <c r="C523" s="42"/>
      <c r="D523" s="42"/>
    </row>
    <row r="524" customHeight="1" spans="1:4">
      <c r="A524" s="42"/>
      <c r="B524" s="42"/>
      <c r="C524" s="42"/>
      <c r="D524" s="42"/>
    </row>
    <row r="525" customHeight="1" spans="1:4">
      <c r="A525" s="42"/>
      <c r="B525" s="42"/>
      <c r="C525" s="42"/>
      <c r="D525" s="42"/>
    </row>
    <row r="526" customHeight="1" spans="1:4">
      <c r="A526" s="42"/>
      <c r="B526" s="42"/>
      <c r="C526" s="42"/>
      <c r="D526" s="42"/>
    </row>
    <row r="527" customHeight="1" spans="1:4">
      <c r="A527" s="42"/>
      <c r="B527" s="42"/>
      <c r="C527" s="42"/>
      <c r="D527" s="42"/>
    </row>
    <row r="528" customHeight="1" spans="1:4">
      <c r="A528" s="42"/>
      <c r="B528" s="42"/>
      <c r="C528" s="42"/>
      <c r="D528" s="42"/>
    </row>
    <row r="529" customHeight="1" spans="1:4">
      <c r="A529" s="42"/>
      <c r="B529" s="42"/>
      <c r="C529" s="42"/>
      <c r="D529" s="42"/>
    </row>
    <row r="530" customHeight="1" spans="1:4">
      <c r="A530" s="42"/>
      <c r="B530" s="42"/>
      <c r="C530" s="42"/>
      <c r="D530" s="42"/>
    </row>
    <row r="531" customHeight="1" spans="1:4">
      <c r="A531" s="42"/>
      <c r="B531" s="42"/>
      <c r="C531" s="42"/>
      <c r="D531" s="42"/>
    </row>
    <row r="532" customHeight="1" spans="1:4">
      <c r="A532" s="42"/>
      <c r="B532" s="42"/>
      <c r="C532" s="42"/>
      <c r="D532" s="42"/>
    </row>
    <row r="533" customHeight="1" spans="1:4">
      <c r="A533" s="42"/>
      <c r="B533" s="42"/>
      <c r="C533" s="42"/>
      <c r="D533" s="42"/>
    </row>
    <row r="534" customHeight="1" spans="1:4">
      <c r="A534" s="42"/>
      <c r="B534" s="42"/>
      <c r="C534" s="42"/>
      <c r="D534" s="42"/>
    </row>
    <row r="535" customHeight="1" spans="1:4">
      <c r="A535" s="42"/>
      <c r="B535" s="42"/>
      <c r="C535" s="42"/>
      <c r="D535" s="42"/>
    </row>
    <row r="536" customHeight="1" spans="1:4">
      <c r="A536" s="42"/>
      <c r="B536" s="42"/>
      <c r="C536" s="42"/>
      <c r="D536" s="42"/>
    </row>
    <row r="537" customHeight="1" spans="1:4">
      <c r="A537" s="42"/>
      <c r="B537" s="42"/>
      <c r="C537" s="42"/>
      <c r="D537" s="42"/>
    </row>
    <row r="538" customHeight="1" spans="1:4">
      <c r="A538" s="42"/>
      <c r="B538" s="42"/>
      <c r="C538" s="42"/>
      <c r="D538" s="42"/>
    </row>
    <row r="539" customHeight="1" spans="1:4">
      <c r="A539" s="42"/>
      <c r="B539" s="42"/>
      <c r="C539" s="42"/>
      <c r="D539" s="42"/>
    </row>
    <row r="540" customHeight="1" spans="1:4">
      <c r="A540" s="42"/>
      <c r="B540" s="42"/>
      <c r="C540" s="42"/>
      <c r="D540" s="42"/>
    </row>
    <row r="541" customHeight="1" spans="1:4">
      <c r="A541" s="42"/>
      <c r="B541" s="42"/>
      <c r="C541" s="42"/>
      <c r="D541" s="42"/>
    </row>
    <row r="542" customHeight="1" spans="1:4">
      <c r="A542" s="42"/>
      <c r="B542" s="42"/>
      <c r="C542" s="42"/>
      <c r="D542" s="42"/>
    </row>
    <row r="543" customHeight="1" spans="1:4">
      <c r="A543" s="42"/>
      <c r="B543" s="42"/>
      <c r="C543" s="42"/>
      <c r="D543" s="42"/>
    </row>
    <row r="544" customHeight="1" spans="1:4">
      <c r="A544" s="42"/>
      <c r="B544" s="42"/>
      <c r="C544" s="42"/>
      <c r="D544" s="42"/>
    </row>
    <row r="545" customHeight="1" spans="1:4">
      <c r="A545" s="42"/>
      <c r="B545" s="42"/>
      <c r="C545" s="42"/>
      <c r="D545" s="42"/>
    </row>
    <row r="546" customHeight="1" spans="1:4">
      <c r="A546" s="42"/>
      <c r="B546" s="42"/>
      <c r="C546" s="42"/>
      <c r="D546" s="42"/>
    </row>
    <row r="547" customHeight="1" spans="1:4">
      <c r="A547" s="42"/>
      <c r="B547" s="42"/>
      <c r="C547" s="42"/>
      <c r="D547" s="42"/>
    </row>
    <row r="548" customHeight="1" spans="1:4">
      <c r="A548" s="42"/>
      <c r="B548" s="42"/>
      <c r="C548" s="42"/>
      <c r="D548" s="42"/>
    </row>
    <row r="549" customHeight="1" spans="1:4">
      <c r="A549" s="42"/>
      <c r="B549" s="42"/>
      <c r="C549" s="42"/>
      <c r="D549" s="42"/>
    </row>
    <row r="550" customHeight="1" spans="1:4">
      <c r="A550" s="42"/>
      <c r="B550" s="42"/>
      <c r="C550" s="42"/>
      <c r="D550" s="42"/>
    </row>
    <row r="551" customHeight="1" spans="1:4">
      <c r="A551" s="42"/>
      <c r="B551" s="42"/>
      <c r="C551" s="42"/>
      <c r="D551" s="42"/>
    </row>
    <row r="552" customHeight="1" spans="1:4">
      <c r="A552" s="42"/>
      <c r="B552" s="42"/>
      <c r="C552" s="42"/>
      <c r="D552" s="42"/>
    </row>
    <row r="553" customHeight="1" spans="1:4">
      <c r="A553" s="42"/>
      <c r="B553" s="42"/>
      <c r="C553" s="42"/>
      <c r="D553" s="42"/>
    </row>
    <row r="554" customHeight="1" spans="1:4">
      <c r="A554" s="42"/>
      <c r="B554" s="42"/>
      <c r="C554" s="42"/>
      <c r="D554" s="42"/>
    </row>
    <row r="555" customHeight="1" spans="1:4">
      <c r="A555" s="42"/>
      <c r="B555" s="42"/>
      <c r="C555" s="42"/>
      <c r="D555" s="42"/>
    </row>
    <row r="556" customHeight="1" spans="1:4">
      <c r="A556" s="42"/>
      <c r="B556" s="42"/>
      <c r="C556" s="42"/>
      <c r="D556" s="42"/>
    </row>
    <row r="557" customHeight="1" spans="1:4">
      <c r="A557" s="42"/>
      <c r="B557" s="42"/>
      <c r="C557" s="42"/>
      <c r="D557" s="42"/>
    </row>
    <row r="558" customHeight="1" spans="1:4">
      <c r="A558" s="42"/>
      <c r="B558" s="42"/>
      <c r="C558" s="42"/>
      <c r="D558" s="42"/>
    </row>
    <row r="559" customHeight="1" spans="1:4">
      <c r="A559" s="42"/>
      <c r="B559" s="42"/>
      <c r="C559" s="42"/>
      <c r="D559" s="42"/>
    </row>
    <row r="560" customHeight="1" spans="1:4">
      <c r="A560" s="42"/>
      <c r="B560" s="42"/>
      <c r="C560" s="42"/>
      <c r="D560" s="42"/>
    </row>
    <row r="561" customHeight="1" spans="1:4">
      <c r="A561" s="42"/>
      <c r="B561" s="42"/>
      <c r="C561" s="42"/>
      <c r="D561" s="42"/>
    </row>
    <row r="562" customHeight="1" spans="1:4">
      <c r="A562" s="42"/>
      <c r="B562" s="42"/>
      <c r="C562" s="42"/>
      <c r="D562" s="42"/>
    </row>
    <row r="563" customHeight="1" spans="1:4">
      <c r="A563" s="42"/>
      <c r="B563" s="42"/>
      <c r="C563" s="42"/>
      <c r="D563" s="42"/>
    </row>
    <row r="564" customHeight="1" spans="1:4">
      <c r="A564" s="42"/>
      <c r="B564" s="42"/>
      <c r="C564" s="42"/>
      <c r="D564" s="42"/>
    </row>
    <row r="565" customHeight="1" spans="1:4">
      <c r="A565" s="42"/>
      <c r="B565" s="42"/>
      <c r="C565" s="42"/>
      <c r="D565" s="42"/>
    </row>
    <row r="566" customHeight="1" spans="1:4">
      <c r="A566" s="42"/>
      <c r="B566" s="42"/>
      <c r="C566" s="42"/>
      <c r="D566" s="42"/>
    </row>
    <row r="567" customHeight="1" spans="1:4">
      <c r="A567" s="42"/>
      <c r="B567" s="42"/>
      <c r="C567" s="42"/>
      <c r="D567" s="42"/>
    </row>
    <row r="568" customHeight="1" spans="1:4">
      <c r="A568" s="42"/>
      <c r="B568" s="42"/>
      <c r="C568" s="42"/>
      <c r="D568" s="42"/>
    </row>
    <row r="569" customHeight="1" spans="1:4">
      <c r="A569" s="42"/>
      <c r="B569" s="42"/>
      <c r="C569" s="42"/>
      <c r="D569" s="42"/>
    </row>
    <row r="570" customHeight="1" spans="1:4">
      <c r="A570" s="42"/>
      <c r="B570" s="42"/>
      <c r="C570" s="42"/>
      <c r="D570" s="42"/>
    </row>
    <row r="571" customHeight="1" spans="1:4">
      <c r="A571" s="42"/>
      <c r="B571" s="42"/>
      <c r="C571" s="42"/>
      <c r="D571" s="42"/>
    </row>
    <row r="572" customHeight="1" spans="1:4">
      <c r="A572" s="42"/>
      <c r="B572" s="42"/>
      <c r="C572" s="42"/>
      <c r="D572" s="42"/>
    </row>
    <row r="573" customHeight="1" spans="1:4">
      <c r="A573" s="42"/>
      <c r="B573" s="42"/>
      <c r="C573" s="42"/>
      <c r="D573" s="42"/>
    </row>
    <row r="574" customHeight="1" spans="1:4">
      <c r="A574" s="42"/>
      <c r="B574" s="42"/>
      <c r="C574" s="42"/>
      <c r="D574" s="42"/>
    </row>
    <row r="575" customHeight="1" spans="1:4">
      <c r="A575" s="42"/>
      <c r="B575" s="42"/>
      <c r="C575" s="42"/>
      <c r="D575" s="42"/>
    </row>
    <row r="576" customHeight="1" spans="1:4">
      <c r="A576" s="42"/>
      <c r="B576" s="42"/>
      <c r="C576" s="42"/>
      <c r="D576" s="42"/>
    </row>
    <row r="577" customHeight="1" spans="1:4">
      <c r="A577" s="42"/>
      <c r="B577" s="42"/>
      <c r="C577" s="42"/>
      <c r="D577" s="42"/>
    </row>
    <row r="578" customHeight="1" spans="1:4">
      <c r="A578" s="42"/>
      <c r="B578" s="42"/>
      <c r="C578" s="42"/>
      <c r="D578" s="42"/>
    </row>
    <row r="579" customHeight="1" spans="1:4">
      <c r="A579" s="42"/>
      <c r="B579" s="42"/>
      <c r="C579" s="42"/>
      <c r="D579" s="42"/>
    </row>
    <row r="580" customHeight="1" spans="1:4">
      <c r="A580" s="42"/>
      <c r="B580" s="42"/>
      <c r="C580" s="42"/>
      <c r="D580" s="42"/>
    </row>
    <row r="581" customHeight="1" spans="1:4">
      <c r="A581" s="42"/>
      <c r="B581" s="42"/>
      <c r="C581" s="42"/>
      <c r="D581" s="42"/>
    </row>
    <row r="582" customHeight="1" spans="1:4">
      <c r="A582" s="42"/>
      <c r="B582" s="42"/>
      <c r="C582" s="42"/>
      <c r="D582" s="42"/>
    </row>
    <row r="583" customHeight="1" spans="1:4">
      <c r="A583" s="42"/>
      <c r="B583" s="42"/>
      <c r="C583" s="42"/>
      <c r="D583" s="42"/>
    </row>
    <row r="584" customHeight="1" spans="1:4">
      <c r="A584" s="42"/>
      <c r="B584" s="42"/>
      <c r="C584" s="42"/>
      <c r="D584" s="42"/>
    </row>
    <row r="585" customHeight="1" spans="1:4">
      <c r="A585" s="42"/>
      <c r="B585" s="42"/>
      <c r="C585" s="42"/>
      <c r="D585" s="42"/>
    </row>
    <row r="586" customHeight="1" spans="1:4">
      <c r="A586" s="42"/>
      <c r="B586" s="42"/>
      <c r="C586" s="42"/>
      <c r="D586" s="42"/>
    </row>
    <row r="587" customHeight="1" spans="1:4">
      <c r="A587" s="42"/>
      <c r="B587" s="42"/>
      <c r="C587" s="42"/>
      <c r="D587" s="42"/>
    </row>
    <row r="588" customHeight="1" spans="1:4">
      <c r="A588" s="42"/>
      <c r="B588" s="42"/>
      <c r="C588" s="42"/>
      <c r="D588" s="42"/>
    </row>
    <row r="589" customHeight="1" spans="1:4">
      <c r="A589" s="42"/>
      <c r="B589" s="42"/>
      <c r="C589" s="42"/>
      <c r="D589" s="42"/>
    </row>
    <row r="590" customHeight="1" spans="1:4">
      <c r="A590" s="42"/>
      <c r="B590" s="42"/>
      <c r="C590" s="42"/>
      <c r="D590" s="42"/>
    </row>
    <row r="591" customHeight="1" spans="1:4">
      <c r="A591" s="42"/>
      <c r="B591" s="42"/>
      <c r="C591" s="42"/>
      <c r="D591" s="42"/>
    </row>
    <row r="592" customHeight="1" spans="1:4">
      <c r="A592" s="42"/>
      <c r="B592" s="42"/>
      <c r="C592" s="42"/>
      <c r="D592" s="42"/>
    </row>
    <row r="593" customHeight="1" spans="1:4">
      <c r="A593" s="42"/>
      <c r="B593" s="42"/>
      <c r="C593" s="42"/>
      <c r="D593" s="42"/>
    </row>
    <row r="594" customHeight="1" spans="1:4">
      <c r="A594" s="42"/>
      <c r="B594" s="42"/>
      <c r="C594" s="42"/>
      <c r="D594" s="42"/>
    </row>
    <row r="595" customHeight="1" spans="1:4">
      <c r="A595" s="42"/>
      <c r="B595" s="42"/>
      <c r="C595" s="42"/>
      <c r="D595" s="42"/>
    </row>
    <row r="596" customHeight="1" spans="1:4">
      <c r="A596" s="42"/>
      <c r="B596" s="42"/>
      <c r="C596" s="42"/>
      <c r="D596" s="42"/>
    </row>
    <row r="597" customHeight="1" spans="1:4">
      <c r="A597" s="42"/>
      <c r="B597" s="42"/>
      <c r="C597" s="42"/>
      <c r="D597" s="42"/>
    </row>
    <row r="598" customHeight="1" spans="1:4">
      <c r="A598" s="42"/>
      <c r="B598" s="42"/>
      <c r="C598" s="42"/>
      <c r="D598" s="42"/>
    </row>
    <row r="599" customHeight="1" spans="1:4">
      <c r="A599" s="42"/>
      <c r="B599" s="42"/>
      <c r="C599" s="42"/>
      <c r="D599" s="42"/>
    </row>
    <row r="600" customHeight="1" spans="1:4">
      <c r="A600" s="42"/>
      <c r="B600" s="42"/>
      <c r="C600" s="42"/>
      <c r="D600" s="42"/>
    </row>
    <row r="601" customHeight="1" spans="1:4">
      <c r="A601" s="42"/>
      <c r="B601" s="42"/>
      <c r="C601" s="42"/>
      <c r="D601" s="42"/>
    </row>
    <row r="602" customHeight="1" spans="1:4">
      <c r="A602" s="42"/>
      <c r="B602" s="42"/>
      <c r="C602" s="42"/>
      <c r="D602" s="42"/>
    </row>
    <row r="603" customHeight="1" spans="1:4">
      <c r="A603" s="42"/>
      <c r="B603" s="42"/>
      <c r="C603" s="42"/>
      <c r="D603" s="42"/>
    </row>
    <row r="604" customHeight="1" spans="1:4">
      <c r="A604" s="42"/>
      <c r="B604" s="42"/>
      <c r="C604" s="42"/>
      <c r="D604" s="42"/>
    </row>
    <row r="605" customHeight="1" spans="1:4">
      <c r="A605" s="42"/>
      <c r="B605" s="42"/>
      <c r="C605" s="42"/>
      <c r="D605" s="42"/>
    </row>
    <row r="606" customHeight="1" spans="1:4">
      <c r="A606" s="42"/>
      <c r="B606" s="42"/>
      <c r="C606" s="42"/>
      <c r="D606" s="42"/>
    </row>
    <row r="607" customHeight="1" spans="1:4">
      <c r="A607" s="42"/>
      <c r="B607" s="42"/>
      <c r="C607" s="42"/>
      <c r="D607" s="42"/>
    </row>
    <row r="608" customHeight="1" spans="1:4">
      <c r="A608" s="42"/>
      <c r="B608" s="42"/>
      <c r="C608" s="42"/>
      <c r="D608" s="42"/>
    </row>
    <row r="609" customHeight="1" spans="1:4">
      <c r="A609" s="42"/>
      <c r="B609" s="42"/>
      <c r="C609" s="42"/>
      <c r="D609" s="42"/>
    </row>
    <row r="610" customHeight="1" spans="1:4">
      <c r="A610" s="42"/>
      <c r="B610" s="42"/>
      <c r="C610" s="42"/>
      <c r="D610" s="42"/>
    </row>
    <row r="611" customHeight="1" spans="1:4">
      <c r="A611" s="42"/>
      <c r="B611" s="42"/>
      <c r="C611" s="42"/>
      <c r="D611" s="42"/>
    </row>
    <row r="612" customHeight="1" spans="1:4">
      <c r="A612" s="42"/>
      <c r="B612" s="42"/>
      <c r="C612" s="42"/>
      <c r="D612" s="42"/>
    </row>
    <row r="613" customHeight="1" spans="1:4">
      <c r="A613" s="42"/>
      <c r="B613" s="42"/>
      <c r="C613" s="42"/>
      <c r="D613" s="42"/>
    </row>
    <row r="614" customHeight="1" spans="1:4">
      <c r="A614" s="42"/>
      <c r="B614" s="42"/>
      <c r="C614" s="42"/>
      <c r="D614" s="42"/>
    </row>
    <row r="615" customHeight="1" spans="1:4">
      <c r="A615" s="42"/>
      <c r="B615" s="42"/>
      <c r="C615" s="42"/>
      <c r="D615" s="42"/>
    </row>
    <row r="616" customHeight="1" spans="1:4">
      <c r="A616" s="42"/>
      <c r="B616" s="42"/>
      <c r="C616" s="42"/>
      <c r="D616" s="42"/>
    </row>
    <row r="617" customHeight="1" spans="1:4">
      <c r="A617" s="42"/>
      <c r="B617" s="42"/>
      <c r="C617" s="42"/>
      <c r="D617" s="42"/>
    </row>
    <row r="618" customHeight="1" spans="1:4">
      <c r="A618" s="42"/>
      <c r="B618" s="42"/>
      <c r="C618" s="42"/>
      <c r="D618" s="42"/>
    </row>
    <row r="619" customHeight="1" spans="1:4">
      <c r="A619" s="42"/>
      <c r="B619" s="42"/>
      <c r="C619" s="42"/>
      <c r="D619" s="42"/>
    </row>
    <row r="620" customHeight="1" spans="1:4">
      <c r="A620" s="42"/>
      <c r="B620" s="42"/>
      <c r="C620" s="42"/>
      <c r="D620" s="42"/>
    </row>
    <row r="621" customHeight="1" spans="1:4">
      <c r="A621" s="42"/>
      <c r="B621" s="42"/>
      <c r="C621" s="42"/>
      <c r="D621" s="42"/>
    </row>
    <row r="622" customHeight="1" spans="1:4">
      <c r="A622" s="42"/>
      <c r="B622" s="42"/>
      <c r="C622" s="42"/>
      <c r="D622" s="42"/>
    </row>
    <row r="623" customHeight="1" spans="1:4">
      <c r="A623" s="42"/>
      <c r="B623" s="42"/>
      <c r="C623" s="42"/>
      <c r="D623" s="42"/>
    </row>
    <row r="624" customHeight="1" spans="1:4">
      <c r="A624" s="42"/>
      <c r="B624" s="42"/>
      <c r="C624" s="42"/>
      <c r="D624" s="42"/>
    </row>
    <row r="625" customHeight="1" spans="1:4">
      <c r="A625" s="42"/>
      <c r="B625" s="42"/>
      <c r="C625" s="42"/>
      <c r="D625" s="42"/>
    </row>
    <row r="626" customHeight="1" spans="1:4">
      <c r="A626" s="42"/>
      <c r="B626" s="42"/>
      <c r="C626" s="42"/>
      <c r="D626" s="42"/>
    </row>
    <row r="627" customHeight="1" spans="1:4">
      <c r="A627" s="42"/>
      <c r="B627" s="42"/>
      <c r="C627" s="42"/>
      <c r="D627" s="42"/>
    </row>
    <row r="628" customHeight="1" spans="1:4">
      <c r="A628" s="42"/>
      <c r="B628" s="42"/>
      <c r="C628" s="42"/>
      <c r="D628" s="42"/>
    </row>
    <row r="629" customHeight="1" spans="1:4">
      <c r="A629" s="42"/>
      <c r="B629" s="42"/>
      <c r="C629" s="42"/>
      <c r="D629" s="42"/>
    </row>
    <row r="630" customHeight="1" spans="1:4">
      <c r="A630" s="42"/>
      <c r="B630" s="42"/>
      <c r="C630" s="42"/>
      <c r="D630" s="42"/>
    </row>
    <row r="631" customHeight="1" spans="1:4">
      <c r="A631" s="42"/>
      <c r="B631" s="42"/>
      <c r="C631" s="42"/>
      <c r="D631" s="42"/>
    </row>
    <row r="632" customHeight="1" spans="1:4">
      <c r="A632" s="42"/>
      <c r="B632" s="42"/>
      <c r="C632" s="42"/>
      <c r="D632" s="42"/>
    </row>
    <row r="633" customHeight="1" spans="1:4">
      <c r="A633" s="42"/>
      <c r="B633" s="42"/>
      <c r="C633" s="42"/>
      <c r="D633" s="42"/>
    </row>
    <row r="634" customHeight="1" spans="1:4">
      <c r="A634" s="42"/>
      <c r="B634" s="42"/>
      <c r="C634" s="42"/>
      <c r="D634" s="42"/>
    </row>
    <row r="635" customHeight="1" spans="1:4">
      <c r="A635" s="42"/>
      <c r="B635" s="42"/>
      <c r="C635" s="42"/>
      <c r="D635" s="42"/>
    </row>
    <row r="636" customHeight="1" spans="1:4">
      <c r="A636" s="42"/>
      <c r="B636" s="42"/>
      <c r="C636" s="42"/>
      <c r="D636" s="42"/>
    </row>
    <row r="637" customHeight="1" spans="1:4">
      <c r="A637" s="42"/>
      <c r="B637" s="42"/>
      <c r="C637" s="42"/>
      <c r="D637" s="42"/>
    </row>
    <row r="638" customHeight="1" spans="1:4">
      <c r="A638" s="42"/>
      <c r="B638" s="42"/>
      <c r="C638" s="42"/>
      <c r="D638" s="42"/>
    </row>
    <row r="639" customHeight="1" spans="1:4">
      <c r="A639" s="42"/>
      <c r="B639" s="42"/>
      <c r="C639" s="42"/>
      <c r="D639" s="42"/>
    </row>
    <row r="640" customHeight="1" spans="1:4">
      <c r="A640" s="42"/>
      <c r="B640" s="42"/>
      <c r="C640" s="42"/>
      <c r="D640" s="42"/>
    </row>
    <row r="641" customHeight="1" spans="1:4">
      <c r="A641" s="42"/>
      <c r="B641" s="42"/>
      <c r="C641" s="42"/>
      <c r="D641" s="42"/>
    </row>
    <row r="642" customHeight="1" spans="1:4">
      <c r="A642" s="42"/>
      <c r="B642" s="42"/>
      <c r="C642" s="42"/>
      <c r="D642" s="42"/>
    </row>
    <row r="643" customHeight="1" spans="1:4">
      <c r="A643" s="42"/>
      <c r="B643" s="42"/>
      <c r="C643" s="42"/>
      <c r="D643" s="42"/>
    </row>
    <row r="644" customHeight="1" spans="1:4">
      <c r="A644" s="42"/>
      <c r="B644" s="42"/>
      <c r="C644" s="42"/>
      <c r="D644" s="42"/>
    </row>
    <row r="645" customHeight="1" spans="1:4">
      <c r="A645" s="42"/>
      <c r="B645" s="42"/>
      <c r="C645" s="42"/>
      <c r="D645" s="42"/>
    </row>
    <row r="646" customHeight="1" spans="1:4">
      <c r="A646" s="42"/>
      <c r="B646" s="42"/>
      <c r="C646" s="42"/>
      <c r="D646" s="42"/>
    </row>
    <row r="647" customHeight="1" spans="1:4">
      <c r="A647" s="42"/>
      <c r="B647" s="42"/>
      <c r="C647" s="42"/>
      <c r="D647" s="42"/>
    </row>
    <row r="648" customHeight="1" spans="1:4">
      <c r="A648" s="42"/>
      <c r="B648" s="42"/>
      <c r="C648" s="42"/>
      <c r="D648" s="42"/>
    </row>
    <row r="649" customHeight="1" spans="1:4">
      <c r="A649" s="42"/>
      <c r="B649" s="42"/>
      <c r="C649" s="42"/>
      <c r="D649" s="42"/>
    </row>
    <row r="650" customHeight="1" spans="1:4">
      <c r="A650" s="42"/>
      <c r="B650" s="42"/>
      <c r="C650" s="42"/>
      <c r="D650" s="42"/>
    </row>
    <row r="651" customHeight="1" spans="1:4">
      <c r="A651" s="42"/>
      <c r="B651" s="42"/>
      <c r="C651" s="42"/>
      <c r="D651" s="42"/>
    </row>
    <row r="652" customHeight="1" spans="1:4">
      <c r="A652" s="42"/>
      <c r="B652" s="42"/>
      <c r="C652" s="42"/>
      <c r="D652" s="42"/>
    </row>
    <row r="653" customHeight="1" spans="1:4">
      <c r="A653" s="42"/>
      <c r="B653" s="42"/>
      <c r="C653" s="42"/>
      <c r="D653" s="42"/>
    </row>
    <row r="654" customHeight="1" spans="1:4">
      <c r="A654" s="42"/>
      <c r="B654" s="42"/>
      <c r="C654" s="42"/>
      <c r="D654" s="42"/>
    </row>
    <row r="655" customHeight="1" spans="1:4">
      <c r="A655" s="42"/>
      <c r="B655" s="42"/>
      <c r="C655" s="42"/>
      <c r="D655" s="42"/>
    </row>
    <row r="656" customHeight="1" spans="1:4">
      <c r="A656" s="42"/>
      <c r="B656" s="42"/>
      <c r="C656" s="42"/>
      <c r="D656" s="42"/>
    </row>
    <row r="657" customHeight="1" spans="1:4">
      <c r="A657" s="42"/>
      <c r="B657" s="42"/>
      <c r="C657" s="42"/>
      <c r="D657" s="42"/>
    </row>
    <row r="658" customHeight="1" spans="1:4">
      <c r="A658" s="42"/>
      <c r="B658" s="42"/>
      <c r="C658" s="42"/>
      <c r="D658" s="42"/>
    </row>
    <row r="659" customHeight="1" spans="1:4">
      <c r="A659" s="42"/>
      <c r="B659" s="42"/>
      <c r="C659" s="42"/>
      <c r="D659" s="42"/>
    </row>
    <row r="660" customHeight="1" spans="1:4">
      <c r="A660" s="42"/>
      <c r="B660" s="42"/>
      <c r="C660" s="42"/>
      <c r="D660" s="42"/>
    </row>
    <row r="661" customHeight="1" spans="1:4">
      <c r="A661" s="42"/>
      <c r="B661" s="42"/>
      <c r="C661" s="42"/>
      <c r="D661" s="42"/>
    </row>
    <row r="662" customHeight="1" spans="1:4">
      <c r="A662" s="42"/>
      <c r="B662" s="42"/>
      <c r="C662" s="42"/>
      <c r="D662" s="42"/>
    </row>
    <row r="663" customHeight="1" spans="1:4">
      <c r="A663" s="42"/>
      <c r="B663" s="42"/>
      <c r="C663" s="42"/>
      <c r="D663" s="42"/>
    </row>
    <row r="664" customHeight="1" spans="1:4">
      <c r="A664" s="42"/>
      <c r="B664" s="42"/>
      <c r="C664" s="42"/>
      <c r="D664" s="42"/>
    </row>
    <row r="665" customHeight="1" spans="1:4">
      <c r="A665" s="42"/>
      <c r="B665" s="42"/>
      <c r="C665" s="42"/>
      <c r="D665" s="42"/>
    </row>
    <row r="666" customHeight="1" spans="1:4">
      <c r="A666" s="42"/>
      <c r="B666" s="42"/>
      <c r="C666" s="42"/>
      <c r="D666" s="42"/>
    </row>
    <row r="667" customHeight="1" spans="1:4">
      <c r="A667" s="42"/>
      <c r="B667" s="42"/>
      <c r="C667" s="42"/>
      <c r="D667" s="42"/>
    </row>
    <row r="668" customHeight="1" spans="1:4">
      <c r="A668" s="42"/>
      <c r="B668" s="42"/>
      <c r="C668" s="42"/>
      <c r="D668" s="42"/>
    </row>
    <row r="669" customHeight="1" spans="1:4">
      <c r="A669" s="42"/>
      <c r="B669" s="42"/>
      <c r="C669" s="42"/>
      <c r="D669" s="42"/>
    </row>
    <row r="670" customHeight="1" spans="1:4">
      <c r="A670" s="42"/>
      <c r="B670" s="42"/>
      <c r="C670" s="42"/>
      <c r="D670" s="42"/>
    </row>
    <row r="671" customHeight="1" spans="1:4">
      <c r="A671" s="42"/>
      <c r="B671" s="42"/>
      <c r="C671" s="42"/>
      <c r="D671" s="42"/>
    </row>
    <row r="672" customHeight="1" spans="1:4">
      <c r="A672" s="42"/>
      <c r="B672" s="42"/>
      <c r="C672" s="42"/>
      <c r="D672" s="42"/>
    </row>
    <row r="673" customHeight="1" spans="1:4">
      <c r="A673" s="42"/>
      <c r="B673" s="42"/>
      <c r="C673" s="42"/>
      <c r="D673" s="42"/>
    </row>
    <row r="674" customHeight="1" spans="1:4">
      <c r="A674" s="42"/>
      <c r="B674" s="42"/>
      <c r="C674" s="42"/>
      <c r="D674" s="42"/>
    </row>
    <row r="675" customHeight="1" spans="1:4">
      <c r="A675" s="42"/>
      <c r="B675" s="42"/>
      <c r="C675" s="42"/>
      <c r="D675" s="42"/>
    </row>
    <row r="676" customHeight="1" spans="1:4">
      <c r="A676" s="42"/>
      <c r="B676" s="42"/>
      <c r="C676" s="42"/>
      <c r="D676" s="42"/>
    </row>
    <row r="677" customHeight="1" spans="1:4">
      <c r="A677" s="42"/>
      <c r="B677" s="42"/>
      <c r="C677" s="42"/>
      <c r="D677" s="42"/>
    </row>
    <row r="678" customHeight="1" spans="1:4">
      <c r="A678" s="42"/>
      <c r="B678" s="42"/>
      <c r="C678" s="42"/>
      <c r="D678" s="42"/>
    </row>
    <row r="679" customHeight="1" spans="1:4">
      <c r="A679" s="42"/>
      <c r="B679" s="42"/>
      <c r="C679" s="42"/>
      <c r="D679" s="42"/>
    </row>
    <row r="680" customHeight="1" spans="1:4">
      <c r="A680" s="42"/>
      <c r="B680" s="42"/>
      <c r="C680" s="42"/>
      <c r="D680" s="42"/>
    </row>
    <row r="681" customHeight="1" spans="1:4">
      <c r="A681" s="42"/>
      <c r="B681" s="42"/>
      <c r="C681" s="42"/>
      <c r="D681" s="42"/>
    </row>
    <row r="682" customHeight="1" spans="1:4">
      <c r="A682" s="42"/>
      <c r="B682" s="42"/>
      <c r="C682" s="42"/>
      <c r="D682" s="42"/>
    </row>
    <row r="683" customHeight="1" spans="1:4">
      <c r="A683" s="42"/>
      <c r="B683" s="42"/>
      <c r="C683" s="42"/>
      <c r="D683" s="42"/>
    </row>
    <row r="684" customHeight="1" spans="1:4">
      <c r="A684" s="42"/>
      <c r="B684" s="42"/>
      <c r="C684" s="42"/>
      <c r="D684" s="42"/>
    </row>
    <row r="685" customHeight="1" spans="1:4">
      <c r="A685" s="42"/>
      <c r="B685" s="42"/>
      <c r="C685" s="42"/>
      <c r="D685" s="42"/>
    </row>
    <row r="686" customHeight="1" spans="1:4">
      <c r="A686" s="42"/>
      <c r="B686" s="42"/>
      <c r="C686" s="42"/>
      <c r="D686" s="42"/>
    </row>
    <row r="687" customHeight="1" spans="1:4">
      <c r="A687" s="42"/>
      <c r="B687" s="42"/>
      <c r="C687" s="42"/>
      <c r="D687" s="42"/>
    </row>
    <row r="688" customHeight="1" spans="1:4">
      <c r="A688" s="42"/>
      <c r="B688" s="42"/>
      <c r="C688" s="42"/>
      <c r="D688" s="42"/>
    </row>
    <row r="689" customHeight="1" spans="1:4">
      <c r="A689" s="42"/>
      <c r="B689" s="42"/>
      <c r="C689" s="42"/>
      <c r="D689" s="42"/>
    </row>
    <row r="690" customHeight="1" spans="1:4">
      <c r="A690" s="42"/>
      <c r="B690" s="42"/>
      <c r="C690" s="42"/>
      <c r="D690" s="42"/>
    </row>
    <row r="691" customHeight="1" spans="1:4">
      <c r="A691" s="42"/>
      <c r="B691" s="42"/>
      <c r="C691" s="42"/>
      <c r="D691" s="42"/>
    </row>
    <row r="692" customHeight="1" spans="1:4">
      <c r="A692" s="42"/>
      <c r="B692" s="42"/>
      <c r="C692" s="42"/>
      <c r="D692" s="42"/>
    </row>
    <row r="693" customHeight="1" spans="1:4">
      <c r="A693" s="42"/>
      <c r="B693" s="42"/>
      <c r="C693" s="42"/>
      <c r="D693" s="42"/>
    </row>
    <row r="694" customHeight="1" spans="1:4">
      <c r="A694" s="42"/>
      <c r="B694" s="42"/>
      <c r="C694" s="42"/>
      <c r="D694" s="42"/>
    </row>
    <row r="695" customHeight="1" spans="1:4">
      <c r="A695" s="42"/>
      <c r="B695" s="42"/>
      <c r="C695" s="42"/>
      <c r="D695" s="42"/>
    </row>
    <row r="696" customHeight="1" spans="1:4">
      <c r="A696" s="42"/>
      <c r="B696" s="42"/>
      <c r="C696" s="42"/>
      <c r="D696" s="42"/>
    </row>
    <row r="697" customHeight="1" spans="1:4">
      <c r="A697" s="42"/>
      <c r="B697" s="42"/>
      <c r="C697" s="42"/>
      <c r="D697" s="42"/>
    </row>
    <row r="698" customHeight="1" spans="1:4">
      <c r="A698" s="42"/>
      <c r="B698" s="42"/>
      <c r="C698" s="42"/>
      <c r="D698" s="42"/>
    </row>
    <row r="699" customHeight="1" spans="1:4">
      <c r="A699" s="42"/>
      <c r="B699" s="42"/>
      <c r="C699" s="42"/>
      <c r="D699" s="42"/>
    </row>
    <row r="700" customHeight="1" spans="1:4">
      <c r="A700" s="42"/>
      <c r="B700" s="42"/>
      <c r="C700" s="42"/>
      <c r="D700" s="42"/>
    </row>
    <row r="701" customHeight="1" spans="1:4">
      <c r="A701" s="42"/>
      <c r="B701" s="42"/>
      <c r="C701" s="42"/>
      <c r="D701" s="42"/>
    </row>
    <row r="702" customHeight="1" spans="1:4">
      <c r="A702" s="42"/>
      <c r="B702" s="42"/>
      <c r="C702" s="42"/>
      <c r="D702" s="42"/>
    </row>
    <row r="703" customHeight="1" spans="1:4">
      <c r="A703" s="42"/>
      <c r="B703" s="42"/>
      <c r="C703" s="42"/>
      <c r="D703" s="42"/>
    </row>
    <row r="704" customHeight="1" spans="1:4">
      <c r="A704" s="42"/>
      <c r="B704" s="42"/>
      <c r="C704" s="42"/>
      <c r="D704" s="42"/>
    </row>
    <row r="705" customHeight="1" spans="1:4">
      <c r="A705" s="42"/>
      <c r="B705" s="42"/>
      <c r="C705" s="42"/>
      <c r="D705" s="42"/>
    </row>
    <row r="706" customHeight="1" spans="1:4">
      <c r="A706" s="42"/>
      <c r="B706" s="42"/>
      <c r="C706" s="42"/>
      <c r="D706" s="42"/>
    </row>
    <row r="707" customHeight="1" spans="1:4">
      <c r="A707" s="42"/>
      <c r="B707" s="42"/>
      <c r="C707" s="42"/>
      <c r="D707" s="42"/>
    </row>
    <row r="708" customHeight="1" spans="1:4">
      <c r="A708" s="42"/>
      <c r="B708" s="42"/>
      <c r="C708" s="42"/>
      <c r="D708" s="42"/>
    </row>
    <row r="709" customHeight="1" spans="1:4">
      <c r="A709" s="42"/>
      <c r="B709" s="42"/>
      <c r="C709" s="42"/>
      <c r="D709" s="42"/>
    </row>
    <row r="710" customHeight="1" spans="1:4">
      <c r="A710" s="42"/>
      <c r="B710" s="42"/>
      <c r="C710" s="42"/>
      <c r="D710" s="42"/>
    </row>
    <row r="711" customHeight="1" spans="1:4">
      <c r="A711" s="42"/>
      <c r="B711" s="42"/>
      <c r="C711" s="42"/>
      <c r="D711" s="42"/>
    </row>
    <row r="712" customHeight="1" spans="1:4">
      <c r="A712" s="42"/>
      <c r="B712" s="42"/>
      <c r="C712" s="42"/>
      <c r="D712" s="42"/>
    </row>
    <row r="713" customHeight="1" spans="1:4">
      <c r="A713" s="42"/>
      <c r="B713" s="42"/>
      <c r="C713" s="42"/>
      <c r="D713" s="42"/>
    </row>
    <row r="714" customHeight="1" spans="1:4">
      <c r="A714" s="42"/>
      <c r="B714" s="42"/>
      <c r="C714" s="42"/>
      <c r="D714" s="42"/>
    </row>
    <row r="715" customHeight="1" spans="1:4">
      <c r="A715" s="42"/>
      <c r="B715" s="42"/>
      <c r="C715" s="42"/>
      <c r="D715" s="42"/>
    </row>
    <row r="716" customHeight="1" spans="1:4">
      <c r="A716" s="42"/>
      <c r="B716" s="42"/>
      <c r="C716" s="42"/>
      <c r="D716" s="42"/>
    </row>
    <row r="717" customHeight="1" spans="1:4">
      <c r="A717" s="42"/>
      <c r="B717" s="42"/>
      <c r="C717" s="42"/>
      <c r="D717" s="42"/>
    </row>
    <row r="718" customHeight="1" spans="1:4">
      <c r="A718" s="42"/>
      <c r="B718" s="42"/>
      <c r="C718" s="42"/>
      <c r="D718" s="42"/>
    </row>
    <row r="719" customHeight="1" spans="1:4">
      <c r="A719" s="42"/>
      <c r="B719" s="42"/>
      <c r="C719" s="42"/>
      <c r="D719" s="42"/>
    </row>
    <row r="720" customHeight="1" spans="1:4">
      <c r="A720" s="42"/>
      <c r="B720" s="42"/>
      <c r="C720" s="42"/>
      <c r="D720" s="42"/>
    </row>
    <row r="721" customHeight="1" spans="1:4">
      <c r="A721" s="42"/>
      <c r="B721" s="42"/>
      <c r="C721" s="42"/>
      <c r="D721" s="42"/>
    </row>
    <row r="722" customHeight="1" spans="1:4">
      <c r="A722" s="42"/>
      <c r="B722" s="42"/>
      <c r="C722" s="42"/>
      <c r="D722" s="42"/>
    </row>
    <row r="723" customHeight="1" spans="1:4">
      <c r="A723" s="42"/>
      <c r="B723" s="42"/>
      <c r="C723" s="42"/>
      <c r="D723" s="42"/>
    </row>
    <row r="724" customHeight="1" spans="1:4">
      <c r="A724" s="42"/>
      <c r="B724" s="42"/>
      <c r="C724" s="42"/>
      <c r="D724" s="42"/>
    </row>
    <row r="725" customHeight="1" spans="1:4">
      <c r="A725" s="42"/>
      <c r="B725" s="42"/>
      <c r="C725" s="42"/>
      <c r="D725" s="42"/>
    </row>
    <row r="726" customHeight="1" spans="1:4">
      <c r="A726" s="42"/>
      <c r="B726" s="42"/>
      <c r="C726" s="42"/>
      <c r="D726" s="42"/>
    </row>
    <row r="727" customHeight="1" spans="1:4">
      <c r="A727" s="42"/>
      <c r="B727" s="42"/>
      <c r="C727" s="42"/>
      <c r="D727" s="42"/>
    </row>
    <row r="728" customHeight="1" spans="1:4">
      <c r="A728" s="42"/>
      <c r="B728" s="42"/>
      <c r="C728" s="42"/>
      <c r="D728" s="42"/>
    </row>
    <row r="729" customHeight="1" spans="1:4">
      <c r="A729" s="42"/>
      <c r="B729" s="42"/>
      <c r="C729" s="42"/>
      <c r="D729" s="42"/>
    </row>
    <row r="730" customHeight="1" spans="1:4">
      <c r="A730" s="42"/>
      <c r="B730" s="42"/>
      <c r="C730" s="42"/>
      <c r="D730" s="42"/>
    </row>
    <row r="731" customHeight="1" spans="1:4">
      <c r="A731" s="42"/>
      <c r="B731" s="42"/>
      <c r="C731" s="42"/>
      <c r="D731" s="42"/>
    </row>
    <row r="732" customHeight="1" spans="1:4">
      <c r="A732" s="42"/>
      <c r="B732" s="42"/>
      <c r="C732" s="42"/>
      <c r="D732" s="42"/>
    </row>
    <row r="733" customHeight="1" spans="1:4">
      <c r="A733" s="42"/>
      <c r="B733" s="42"/>
      <c r="C733" s="42"/>
      <c r="D733" s="42"/>
    </row>
    <row r="734" customHeight="1" spans="1:4">
      <c r="A734" s="42"/>
      <c r="B734" s="42"/>
      <c r="C734" s="42"/>
      <c r="D734" s="42"/>
    </row>
    <row r="735" customHeight="1" spans="1:4">
      <c r="A735" s="42"/>
      <c r="B735" s="42"/>
      <c r="C735" s="42"/>
      <c r="D735" s="42"/>
    </row>
    <row r="736" customHeight="1" spans="1:4">
      <c r="A736" s="42"/>
      <c r="B736" s="42"/>
      <c r="C736" s="42"/>
      <c r="D736" s="42"/>
    </row>
    <row r="737" customHeight="1" spans="1:4">
      <c r="A737" s="42"/>
      <c r="B737" s="42"/>
      <c r="C737" s="42"/>
      <c r="D737" s="42"/>
    </row>
    <row r="738" customHeight="1" spans="1:4">
      <c r="A738" s="42"/>
      <c r="B738" s="42"/>
      <c r="C738" s="42"/>
      <c r="D738" s="42"/>
    </row>
    <row r="739" customHeight="1" spans="1:4">
      <c r="A739" s="42"/>
      <c r="B739" s="42"/>
      <c r="C739" s="42"/>
      <c r="D739" s="42"/>
    </row>
    <row r="740" customHeight="1" spans="1:4">
      <c r="A740" s="42"/>
      <c r="B740" s="42"/>
      <c r="C740" s="42"/>
      <c r="D740" s="42"/>
    </row>
    <row r="741" customHeight="1" spans="1:4">
      <c r="A741" s="42"/>
      <c r="B741" s="42"/>
      <c r="C741" s="42"/>
      <c r="D741" s="42"/>
    </row>
    <row r="742" customHeight="1" spans="1:4">
      <c r="A742" s="42"/>
      <c r="B742" s="42"/>
      <c r="C742" s="42"/>
      <c r="D742" s="42"/>
    </row>
    <row r="743" customHeight="1" spans="1:4">
      <c r="A743" s="42"/>
      <c r="B743" s="42"/>
      <c r="C743" s="42"/>
      <c r="D743" s="42"/>
    </row>
    <row r="744" customHeight="1" spans="1:4">
      <c r="A744" s="42"/>
      <c r="B744" s="42"/>
      <c r="C744" s="42"/>
      <c r="D744" s="42"/>
    </row>
    <row r="745" customHeight="1" spans="1:4">
      <c r="A745" s="42"/>
      <c r="B745" s="42"/>
      <c r="C745" s="42"/>
      <c r="D745" s="42"/>
    </row>
    <row r="746" customHeight="1" spans="1:4">
      <c r="A746" s="42"/>
      <c r="B746" s="42"/>
      <c r="C746" s="42"/>
      <c r="D746" s="42"/>
    </row>
    <row r="747" customHeight="1" spans="1:4">
      <c r="A747" s="42"/>
      <c r="B747" s="42"/>
      <c r="C747" s="42"/>
      <c r="D747" s="42"/>
    </row>
    <row r="748" customHeight="1" spans="1:4">
      <c r="A748" s="42"/>
      <c r="B748" s="42"/>
      <c r="C748" s="42"/>
      <c r="D748" s="42"/>
    </row>
    <row r="749" customHeight="1" spans="1:4">
      <c r="A749" s="42"/>
      <c r="B749" s="42"/>
      <c r="C749" s="42"/>
      <c r="D749" s="42"/>
    </row>
    <row r="750" customHeight="1" spans="1:4">
      <c r="A750" s="42"/>
      <c r="B750" s="42"/>
      <c r="C750" s="42"/>
      <c r="D750" s="42"/>
    </row>
    <row r="751" customHeight="1" spans="1:4">
      <c r="A751" s="42"/>
      <c r="B751" s="42"/>
      <c r="C751" s="42"/>
      <c r="D751" s="42"/>
    </row>
    <row r="752" customHeight="1" spans="1:4">
      <c r="A752" s="42"/>
      <c r="B752" s="42"/>
      <c r="C752" s="42"/>
      <c r="D752" s="42"/>
    </row>
    <row r="753" customHeight="1" spans="1:4">
      <c r="A753" s="42"/>
      <c r="B753" s="42"/>
      <c r="C753" s="42"/>
      <c r="D753" s="42"/>
    </row>
    <row r="754" customHeight="1" spans="1:4">
      <c r="A754" s="42"/>
      <c r="B754" s="42"/>
      <c r="C754" s="42"/>
      <c r="D754" s="42"/>
    </row>
    <row r="755" customHeight="1" spans="1:4">
      <c r="A755" s="42"/>
      <c r="B755" s="42"/>
      <c r="C755" s="42"/>
      <c r="D755" s="42"/>
    </row>
    <row r="756" customHeight="1" spans="1:4">
      <c r="A756" s="42"/>
      <c r="B756" s="42"/>
      <c r="C756" s="42"/>
      <c r="D756" s="42"/>
    </row>
    <row r="757" customHeight="1" spans="1:4">
      <c r="A757" s="42"/>
      <c r="B757" s="42"/>
      <c r="C757" s="42"/>
      <c r="D757" s="42"/>
    </row>
    <row r="758" customHeight="1" spans="1:4">
      <c r="A758" s="42"/>
      <c r="B758" s="42"/>
      <c r="C758" s="42"/>
      <c r="D758" s="42"/>
    </row>
    <row r="759" customHeight="1" spans="1:4">
      <c r="A759" s="42"/>
      <c r="B759" s="42"/>
      <c r="C759" s="42"/>
      <c r="D759" s="42"/>
    </row>
    <row r="760" customHeight="1" spans="1:4">
      <c r="A760" s="42"/>
      <c r="B760" s="42"/>
      <c r="C760" s="42"/>
      <c r="D760" s="42"/>
    </row>
    <row r="761" customHeight="1" spans="1:4">
      <c r="A761" s="42"/>
      <c r="B761" s="42"/>
      <c r="C761" s="42"/>
      <c r="D761" s="42"/>
    </row>
    <row r="762" customHeight="1" spans="1:4">
      <c r="A762" s="42"/>
      <c r="B762" s="42"/>
      <c r="C762" s="42"/>
      <c r="D762" s="42"/>
    </row>
    <row r="763" customHeight="1" spans="1:4">
      <c r="A763" s="42"/>
      <c r="B763" s="42"/>
      <c r="C763" s="42"/>
      <c r="D763" s="42"/>
    </row>
    <row r="764" customHeight="1" spans="1:4">
      <c r="A764" s="42"/>
      <c r="B764" s="42"/>
      <c r="C764" s="42"/>
      <c r="D764" s="42"/>
    </row>
    <row r="765" customHeight="1" spans="1:4">
      <c r="A765" s="42"/>
      <c r="B765" s="42"/>
      <c r="C765" s="42"/>
      <c r="D765" s="42"/>
    </row>
    <row r="766" customHeight="1" spans="1:4">
      <c r="A766" s="42"/>
      <c r="B766" s="42"/>
      <c r="C766" s="42"/>
      <c r="D766" s="42"/>
    </row>
    <row r="767" customHeight="1" spans="1:4">
      <c r="A767" s="42"/>
      <c r="B767" s="42"/>
      <c r="C767" s="42"/>
      <c r="D767" s="42"/>
    </row>
    <row r="768" customHeight="1" spans="1:4">
      <c r="A768" s="42"/>
      <c r="B768" s="42"/>
      <c r="C768" s="42"/>
      <c r="D768" s="42"/>
    </row>
    <row r="769" customHeight="1" spans="1:4">
      <c r="A769" s="42"/>
      <c r="B769" s="42"/>
      <c r="C769" s="42"/>
      <c r="D769" s="42"/>
    </row>
    <row r="770" customHeight="1" spans="1:4">
      <c r="A770" s="42"/>
      <c r="B770" s="42"/>
      <c r="C770" s="42"/>
      <c r="D770" s="42"/>
    </row>
    <row r="771" customHeight="1" spans="1:4">
      <c r="A771" s="42"/>
      <c r="B771" s="42"/>
      <c r="C771" s="42"/>
      <c r="D771" s="42"/>
    </row>
    <row r="772" customHeight="1" spans="1:4">
      <c r="A772" s="42"/>
      <c r="B772" s="42"/>
      <c r="C772" s="42"/>
      <c r="D772" s="42"/>
    </row>
    <row r="773" customHeight="1" spans="1:4">
      <c r="A773" s="42"/>
      <c r="B773" s="42"/>
      <c r="C773" s="42"/>
      <c r="D773" s="42"/>
    </row>
    <row r="774" customHeight="1" spans="1:4">
      <c r="A774" s="42"/>
      <c r="B774" s="42"/>
      <c r="C774" s="42"/>
      <c r="D774" s="42"/>
    </row>
    <row r="775" customHeight="1" spans="1:4">
      <c r="A775" s="42"/>
      <c r="B775" s="42"/>
      <c r="C775" s="42"/>
      <c r="D775" s="42"/>
    </row>
    <row r="776" customHeight="1" spans="1:4">
      <c r="A776" s="42"/>
      <c r="B776" s="42"/>
      <c r="C776" s="42"/>
      <c r="D776" s="42"/>
    </row>
    <row r="777" customHeight="1" spans="1:4">
      <c r="A777" s="42"/>
      <c r="B777" s="42"/>
      <c r="C777" s="42"/>
      <c r="D777" s="42"/>
    </row>
    <row r="778" customHeight="1" spans="1:4">
      <c r="A778" s="42"/>
      <c r="B778" s="42"/>
      <c r="C778" s="42"/>
      <c r="D778" s="42"/>
    </row>
    <row r="779" customHeight="1" spans="1:4">
      <c r="A779" s="42"/>
      <c r="B779" s="42"/>
      <c r="C779" s="42"/>
      <c r="D779" s="42"/>
    </row>
    <row r="780" customHeight="1" spans="1:4">
      <c r="A780" s="42"/>
      <c r="B780" s="42"/>
      <c r="C780" s="42"/>
      <c r="D780" s="42"/>
    </row>
    <row r="781" customHeight="1" spans="1:4">
      <c r="A781" s="42"/>
      <c r="B781" s="42"/>
      <c r="C781" s="42"/>
      <c r="D781" s="42"/>
    </row>
    <row r="782" customHeight="1" spans="1:4">
      <c r="A782" s="42"/>
      <c r="B782" s="42"/>
      <c r="C782" s="42"/>
      <c r="D782" s="42"/>
    </row>
    <row r="783" customHeight="1" spans="1:4">
      <c r="A783" s="42"/>
      <c r="B783" s="42"/>
      <c r="C783" s="42"/>
      <c r="D783" s="42"/>
    </row>
    <row r="784" customHeight="1" spans="1:4">
      <c r="A784" s="42"/>
      <c r="B784" s="42"/>
      <c r="C784" s="42"/>
      <c r="D784" s="42"/>
    </row>
    <row r="785" customHeight="1" spans="1:4">
      <c r="A785" s="42"/>
      <c r="B785" s="42"/>
      <c r="C785" s="42"/>
      <c r="D785" s="42"/>
    </row>
    <row r="786" customHeight="1" spans="1:4">
      <c r="A786" s="42"/>
      <c r="B786" s="42"/>
      <c r="C786" s="42"/>
      <c r="D786" s="42"/>
    </row>
    <row r="787" customHeight="1" spans="1:4">
      <c r="A787" s="42"/>
      <c r="B787" s="42"/>
      <c r="C787" s="42"/>
      <c r="D787" s="42"/>
    </row>
    <row r="788" customHeight="1" spans="1:4">
      <c r="A788" s="42"/>
      <c r="B788" s="42"/>
      <c r="C788" s="42"/>
      <c r="D788" s="42"/>
    </row>
    <row r="789" customHeight="1" spans="1:4">
      <c r="A789" s="42"/>
      <c r="B789" s="42"/>
      <c r="C789" s="42"/>
      <c r="D789" s="42"/>
    </row>
    <row r="790" customHeight="1" spans="1:4">
      <c r="A790" s="42"/>
      <c r="B790" s="42"/>
      <c r="C790" s="42"/>
      <c r="D790" s="42"/>
    </row>
    <row r="791" customHeight="1" spans="1:4">
      <c r="A791" s="42"/>
      <c r="B791" s="42"/>
      <c r="C791" s="42"/>
      <c r="D791" s="42"/>
    </row>
    <row r="792" customHeight="1" spans="1:4">
      <c r="A792" s="42"/>
      <c r="B792" s="42"/>
      <c r="C792" s="42"/>
      <c r="D792" s="42"/>
    </row>
    <row r="793" customHeight="1" spans="1:4">
      <c r="A793" s="42"/>
      <c r="B793" s="42"/>
      <c r="C793" s="42"/>
      <c r="D793" s="42"/>
    </row>
    <row r="794" customHeight="1" spans="1:4">
      <c r="A794" s="42"/>
      <c r="B794" s="42"/>
      <c r="C794" s="42"/>
      <c r="D794" s="42"/>
    </row>
    <row r="795" customHeight="1" spans="1:4">
      <c r="A795" s="42"/>
      <c r="B795" s="42"/>
      <c r="C795" s="42"/>
      <c r="D795" s="42"/>
    </row>
    <row r="796" customHeight="1" spans="1:4">
      <c r="A796" s="42"/>
      <c r="B796" s="42"/>
      <c r="C796" s="42"/>
      <c r="D796" s="42"/>
    </row>
    <row r="797" customHeight="1" spans="1:4">
      <c r="A797" s="42"/>
      <c r="B797" s="42"/>
      <c r="C797" s="42"/>
      <c r="D797" s="42"/>
    </row>
    <row r="798" customHeight="1" spans="1:4">
      <c r="A798" s="42"/>
      <c r="B798" s="42"/>
      <c r="C798" s="42"/>
      <c r="D798" s="42"/>
    </row>
    <row r="799" customHeight="1" spans="1:4">
      <c r="A799" s="42"/>
      <c r="B799" s="42"/>
      <c r="C799" s="42"/>
      <c r="D799" s="42"/>
    </row>
    <row r="800" customHeight="1" spans="1:4">
      <c r="A800" s="42"/>
      <c r="B800" s="42"/>
      <c r="C800" s="42"/>
      <c r="D800" s="42"/>
    </row>
    <row r="801" customHeight="1" spans="1:4">
      <c r="A801" s="42"/>
      <c r="B801" s="42"/>
      <c r="C801" s="42"/>
      <c r="D801" s="42"/>
    </row>
    <row r="802" customHeight="1" spans="1:4">
      <c r="A802" s="42"/>
      <c r="B802" s="42"/>
      <c r="C802" s="42"/>
      <c r="D802" s="42"/>
    </row>
    <row r="803" customHeight="1" spans="1:4">
      <c r="A803" s="42"/>
      <c r="B803" s="42"/>
      <c r="C803" s="42"/>
      <c r="D803" s="42"/>
    </row>
    <row r="804" customHeight="1" spans="1:4">
      <c r="A804" s="42"/>
      <c r="B804" s="42"/>
      <c r="C804" s="42"/>
      <c r="D804" s="42"/>
    </row>
    <row r="805" customHeight="1" spans="1:4">
      <c r="A805" s="42"/>
      <c r="B805" s="42"/>
      <c r="C805" s="42"/>
      <c r="D805" s="42"/>
    </row>
    <row r="806" customHeight="1" spans="1:4">
      <c r="A806" s="42"/>
      <c r="B806" s="42"/>
      <c r="C806" s="42"/>
      <c r="D806" s="42"/>
    </row>
    <row r="807" customHeight="1" spans="1:4">
      <c r="A807" s="42"/>
      <c r="B807" s="42"/>
      <c r="C807" s="42"/>
      <c r="D807" s="42"/>
    </row>
    <row r="808" customHeight="1" spans="1:4">
      <c r="A808" s="42"/>
      <c r="B808" s="42"/>
      <c r="C808" s="42"/>
      <c r="D808" s="42"/>
    </row>
    <row r="809" customHeight="1" spans="1:4">
      <c r="A809" s="42"/>
      <c r="B809" s="42"/>
      <c r="C809" s="42"/>
      <c r="D809" s="42"/>
    </row>
    <row r="810" customHeight="1" spans="1:4">
      <c r="A810" s="42"/>
      <c r="B810" s="42"/>
      <c r="C810" s="42"/>
      <c r="D810" s="42"/>
    </row>
    <row r="811" customHeight="1" spans="1:4">
      <c r="A811" s="42"/>
      <c r="B811" s="42"/>
      <c r="C811" s="42"/>
      <c r="D811" s="42"/>
    </row>
    <row r="812" customHeight="1" spans="1:4">
      <c r="A812" s="42"/>
      <c r="B812" s="42"/>
      <c r="C812" s="42"/>
      <c r="D812" s="42"/>
    </row>
    <row r="813" customHeight="1" spans="1:4">
      <c r="A813" s="42"/>
      <c r="B813" s="42"/>
      <c r="C813" s="42"/>
      <c r="D813" s="42"/>
    </row>
    <row r="814" customHeight="1" spans="1:4">
      <c r="A814" s="42"/>
      <c r="B814" s="42"/>
      <c r="C814" s="42"/>
      <c r="D814" s="42"/>
    </row>
    <row r="815" customHeight="1" spans="1:4">
      <c r="A815" s="42"/>
      <c r="B815" s="42"/>
      <c r="C815" s="42"/>
      <c r="D815" s="42"/>
    </row>
    <row r="816" customHeight="1" spans="1:4">
      <c r="A816" s="42"/>
      <c r="B816" s="42"/>
      <c r="C816" s="42"/>
      <c r="D816" s="42"/>
    </row>
    <row r="817" customHeight="1" spans="1:4">
      <c r="A817" s="42"/>
      <c r="B817" s="42"/>
      <c r="C817" s="42"/>
      <c r="D817" s="42"/>
    </row>
    <row r="818" customHeight="1" spans="1:4">
      <c r="A818" s="42"/>
      <c r="B818" s="42"/>
      <c r="C818" s="42"/>
      <c r="D818" s="42"/>
    </row>
    <row r="819" customHeight="1" spans="1:4">
      <c r="A819" s="42"/>
      <c r="B819" s="42"/>
      <c r="C819" s="42"/>
      <c r="D819" s="42"/>
    </row>
    <row r="820" customHeight="1" spans="1:4">
      <c r="A820" s="42"/>
      <c r="B820" s="42"/>
      <c r="C820" s="42"/>
      <c r="D820" s="42"/>
    </row>
    <row r="821" customHeight="1" spans="1:4">
      <c r="A821" s="42"/>
      <c r="B821" s="42"/>
      <c r="C821" s="42"/>
      <c r="D821" s="42"/>
    </row>
    <row r="822" customHeight="1" spans="1:4">
      <c r="A822" s="42"/>
      <c r="B822" s="42"/>
      <c r="C822" s="42"/>
      <c r="D822" s="42"/>
    </row>
    <row r="823" customHeight="1" spans="1:4">
      <c r="A823" s="42"/>
      <c r="B823" s="42"/>
      <c r="C823" s="42"/>
      <c r="D823" s="42"/>
    </row>
    <row r="824" customHeight="1" spans="1:4">
      <c r="A824" s="42"/>
      <c r="B824" s="42"/>
      <c r="C824" s="42"/>
      <c r="D824" s="42"/>
    </row>
    <row r="825" customHeight="1" spans="1:4">
      <c r="A825" s="42"/>
      <c r="B825" s="42"/>
      <c r="C825" s="42"/>
      <c r="D825" s="42"/>
    </row>
    <row r="826" customHeight="1" spans="1:4">
      <c r="A826" s="42"/>
      <c r="B826" s="42"/>
      <c r="C826" s="42"/>
      <c r="D826" s="42"/>
    </row>
    <row r="827" customHeight="1" spans="1:4">
      <c r="A827" s="42"/>
      <c r="B827" s="42"/>
      <c r="C827" s="42"/>
      <c r="D827" s="42"/>
    </row>
    <row r="828" customHeight="1" spans="1:4">
      <c r="A828" s="42"/>
      <c r="B828" s="42"/>
      <c r="C828" s="42"/>
      <c r="D828" s="42"/>
    </row>
    <row r="829" customHeight="1" spans="1:4">
      <c r="A829" s="42"/>
      <c r="B829" s="42"/>
      <c r="C829" s="42"/>
      <c r="D829" s="42"/>
    </row>
    <row r="830" customHeight="1" spans="1:4">
      <c r="A830" s="42"/>
      <c r="B830" s="42"/>
      <c r="C830" s="42"/>
      <c r="D830" s="42"/>
    </row>
    <row r="831" customHeight="1" spans="1:4">
      <c r="A831" s="42"/>
      <c r="B831" s="42"/>
      <c r="C831" s="42"/>
      <c r="D831" s="42"/>
    </row>
    <row r="832" customHeight="1" spans="1:4">
      <c r="A832" s="42"/>
      <c r="B832" s="42"/>
      <c r="C832" s="42"/>
      <c r="D832" s="42"/>
    </row>
    <row r="833" customHeight="1" spans="1:4">
      <c r="A833" s="42"/>
      <c r="B833" s="42"/>
      <c r="C833" s="42"/>
      <c r="D833" s="42"/>
    </row>
    <row r="834" customHeight="1" spans="1:4">
      <c r="A834" s="42"/>
      <c r="B834" s="42"/>
      <c r="C834" s="42"/>
      <c r="D834" s="42"/>
    </row>
    <row r="835" customHeight="1" spans="1:4">
      <c r="A835" s="42"/>
      <c r="B835" s="42"/>
      <c r="C835" s="42"/>
      <c r="D835" s="42"/>
    </row>
    <row r="836" customHeight="1" spans="1:4">
      <c r="A836" s="42"/>
      <c r="B836" s="42"/>
      <c r="C836" s="42"/>
      <c r="D836" s="42"/>
    </row>
    <row r="837" customHeight="1" spans="1:4">
      <c r="A837" s="42"/>
      <c r="B837" s="42"/>
      <c r="C837" s="42"/>
      <c r="D837" s="42"/>
    </row>
    <row r="838" customHeight="1" spans="1:4">
      <c r="A838" s="42"/>
      <c r="B838" s="42"/>
      <c r="C838" s="42"/>
      <c r="D838" s="42"/>
    </row>
    <row r="839" customHeight="1" spans="1:4">
      <c r="A839" s="42"/>
      <c r="B839" s="42"/>
      <c r="C839" s="42"/>
      <c r="D839" s="42"/>
    </row>
    <row r="840" customHeight="1" spans="1:4">
      <c r="A840" s="42"/>
      <c r="B840" s="42"/>
      <c r="C840" s="42"/>
      <c r="D840" s="42"/>
    </row>
    <row r="841" customHeight="1" spans="1:4">
      <c r="A841" s="42"/>
      <c r="B841" s="42"/>
      <c r="C841" s="42"/>
      <c r="D841" s="42"/>
    </row>
    <row r="842" customHeight="1" spans="1:4">
      <c r="A842" s="42"/>
      <c r="B842" s="42"/>
      <c r="C842" s="42"/>
      <c r="D842" s="42"/>
    </row>
    <row r="843" customHeight="1" spans="1:4">
      <c r="A843" s="42"/>
      <c r="B843" s="42"/>
      <c r="C843" s="42"/>
      <c r="D843" s="42"/>
    </row>
    <row r="844" customHeight="1" spans="1:4">
      <c r="A844" s="42"/>
      <c r="B844" s="42"/>
      <c r="C844" s="42"/>
      <c r="D844" s="42"/>
    </row>
    <row r="845" customHeight="1" spans="1:4">
      <c r="A845" s="42"/>
      <c r="B845" s="42"/>
      <c r="C845" s="42"/>
      <c r="D845" s="42"/>
    </row>
    <row r="846" customHeight="1" spans="1:4">
      <c r="A846" s="42"/>
      <c r="B846" s="42"/>
      <c r="C846" s="42"/>
      <c r="D846" s="42"/>
    </row>
    <row r="847" customHeight="1" spans="1:4">
      <c r="A847" s="42"/>
      <c r="B847" s="42"/>
      <c r="C847" s="42"/>
      <c r="D847" s="42"/>
    </row>
    <row r="848" customHeight="1" spans="1:4">
      <c r="A848" s="42"/>
      <c r="B848" s="42"/>
      <c r="C848" s="42"/>
      <c r="D848" s="42"/>
    </row>
    <row r="849" customHeight="1" spans="1:4">
      <c r="A849" s="42"/>
      <c r="B849" s="42"/>
      <c r="C849" s="42"/>
      <c r="D849" s="42"/>
    </row>
    <row r="850" customHeight="1" spans="1:4">
      <c r="A850" s="42"/>
      <c r="B850" s="42"/>
      <c r="C850" s="42"/>
      <c r="D850" s="42"/>
    </row>
    <row r="851" customHeight="1" spans="1:4">
      <c r="A851" s="42"/>
      <c r="B851" s="42"/>
      <c r="C851" s="42"/>
      <c r="D851" s="42"/>
    </row>
    <row r="852" customHeight="1" spans="1:4">
      <c r="A852" s="42"/>
      <c r="B852" s="42"/>
      <c r="C852" s="42"/>
      <c r="D852" s="42"/>
    </row>
    <row r="853" customHeight="1" spans="1:4">
      <c r="A853" s="42"/>
      <c r="B853" s="42"/>
      <c r="C853" s="42"/>
      <c r="D853" s="42"/>
    </row>
    <row r="854" customHeight="1" spans="1:4">
      <c r="A854" s="42"/>
      <c r="B854" s="42"/>
      <c r="C854" s="42"/>
      <c r="D854" s="42"/>
    </row>
    <row r="855" customHeight="1" spans="1:4">
      <c r="A855" s="42"/>
      <c r="B855" s="42"/>
      <c r="C855" s="42"/>
      <c r="D855" s="42"/>
    </row>
    <row r="856" customHeight="1" spans="1:4">
      <c r="A856" s="42"/>
      <c r="B856" s="42"/>
      <c r="C856" s="42"/>
      <c r="D856" s="42"/>
    </row>
    <row r="857" customHeight="1" spans="1:4">
      <c r="A857" s="42"/>
      <c r="B857" s="42"/>
      <c r="C857" s="42"/>
      <c r="D857" s="42"/>
    </row>
    <row r="858" customHeight="1" spans="1:4">
      <c r="A858" s="42"/>
      <c r="B858" s="42"/>
      <c r="C858" s="42"/>
      <c r="D858" s="42"/>
    </row>
    <row r="859" customHeight="1" spans="1:4">
      <c r="A859" s="42"/>
      <c r="B859" s="42"/>
      <c r="C859" s="42"/>
      <c r="D859" s="42"/>
    </row>
    <row r="860" customHeight="1" spans="1:4">
      <c r="A860" s="42"/>
      <c r="B860" s="42"/>
      <c r="C860" s="42"/>
      <c r="D860" s="42"/>
    </row>
    <row r="861" customHeight="1" spans="1:4">
      <c r="A861" s="42"/>
      <c r="B861" s="42"/>
      <c r="C861" s="42"/>
      <c r="D861" s="42"/>
    </row>
    <row r="862" customHeight="1" spans="1:4">
      <c r="A862" s="42"/>
      <c r="B862" s="42"/>
      <c r="C862" s="42"/>
      <c r="D862" s="42"/>
    </row>
    <row r="863" customHeight="1" spans="1:4">
      <c r="A863" s="42"/>
      <c r="B863" s="42"/>
      <c r="C863" s="42"/>
      <c r="D863" s="42"/>
    </row>
    <row r="864" customHeight="1" spans="1:4">
      <c r="A864" s="42"/>
      <c r="B864" s="42"/>
      <c r="C864" s="42"/>
      <c r="D864" s="42"/>
    </row>
    <row r="865" customHeight="1" spans="1:4">
      <c r="A865" s="42"/>
      <c r="B865" s="42"/>
      <c r="C865" s="42"/>
      <c r="D865" s="42"/>
    </row>
    <row r="866" customHeight="1" spans="1:4">
      <c r="A866" s="42"/>
      <c r="B866" s="42"/>
      <c r="C866" s="42"/>
      <c r="D866" s="42"/>
    </row>
    <row r="867" customHeight="1" spans="1:4">
      <c r="A867" s="42"/>
      <c r="B867" s="42"/>
      <c r="C867" s="42"/>
      <c r="D867" s="42"/>
    </row>
    <row r="868" customHeight="1" spans="1:4">
      <c r="A868" s="42"/>
      <c r="B868" s="42"/>
      <c r="C868" s="42"/>
      <c r="D868" s="42"/>
    </row>
    <row r="869" customHeight="1" spans="1:4">
      <c r="A869" s="42"/>
      <c r="B869" s="42"/>
      <c r="C869" s="42"/>
      <c r="D869" s="42"/>
    </row>
    <row r="870" customHeight="1" spans="1:4">
      <c r="A870" s="42"/>
      <c r="B870" s="42"/>
      <c r="C870" s="42"/>
      <c r="D870" s="42"/>
    </row>
    <row r="871" customHeight="1" spans="1:4">
      <c r="A871" s="42"/>
      <c r="B871" s="42"/>
      <c r="C871" s="42"/>
      <c r="D871" s="42"/>
    </row>
    <row r="872" customHeight="1" spans="1:4">
      <c r="A872" s="42"/>
      <c r="B872" s="42"/>
      <c r="C872" s="42"/>
      <c r="D872" s="42"/>
    </row>
    <row r="873" customHeight="1" spans="1:4">
      <c r="A873" s="42"/>
      <c r="B873" s="42"/>
      <c r="C873" s="42"/>
      <c r="D873" s="42"/>
    </row>
    <row r="874" customHeight="1" spans="1:4">
      <c r="A874" s="42"/>
      <c r="B874" s="42"/>
      <c r="C874" s="42"/>
      <c r="D874" s="42"/>
    </row>
    <row r="875" customHeight="1" spans="1:4">
      <c r="A875" s="42"/>
      <c r="B875" s="42"/>
      <c r="C875" s="42"/>
      <c r="D875" s="42"/>
    </row>
    <row r="876" customHeight="1" spans="1:4">
      <c r="A876" s="42"/>
      <c r="B876" s="42"/>
      <c r="C876" s="42"/>
      <c r="D876" s="42"/>
    </row>
    <row r="877" customHeight="1" spans="1:4">
      <c r="A877" s="42"/>
      <c r="B877" s="42"/>
      <c r="C877" s="42"/>
      <c r="D877" s="42"/>
    </row>
    <row r="878" customHeight="1" spans="1:4">
      <c r="A878" s="42"/>
      <c r="B878" s="42"/>
      <c r="C878" s="42"/>
      <c r="D878" s="42"/>
    </row>
    <row r="879" customHeight="1" spans="1:4">
      <c r="A879" s="42"/>
      <c r="B879" s="42"/>
      <c r="C879" s="42"/>
      <c r="D879" s="42"/>
    </row>
    <row r="880" customHeight="1" spans="1:4">
      <c r="A880" s="42"/>
      <c r="B880" s="42"/>
      <c r="C880" s="42"/>
      <c r="D880" s="42"/>
    </row>
    <row r="881" customHeight="1" spans="1:4">
      <c r="A881" s="42"/>
      <c r="B881" s="42"/>
      <c r="C881" s="42"/>
      <c r="D881" s="42"/>
    </row>
    <row r="882" customHeight="1" spans="1:4">
      <c r="A882" s="42"/>
      <c r="B882" s="42"/>
      <c r="C882" s="42"/>
      <c r="D882" s="42"/>
    </row>
    <row r="883" customHeight="1" spans="1:4">
      <c r="A883" s="42"/>
      <c r="B883" s="42"/>
      <c r="C883" s="42"/>
      <c r="D883" s="42"/>
    </row>
    <row r="884" customHeight="1" spans="1:4">
      <c r="A884" s="42"/>
      <c r="B884" s="42"/>
      <c r="C884" s="42"/>
      <c r="D884" s="42"/>
    </row>
    <row r="885" customHeight="1" spans="1:4">
      <c r="A885" s="42"/>
      <c r="B885" s="42"/>
      <c r="C885" s="42"/>
      <c r="D885" s="42"/>
    </row>
    <row r="886" customHeight="1" spans="1:4">
      <c r="A886" s="42"/>
      <c r="B886" s="42"/>
      <c r="C886" s="42"/>
      <c r="D886" s="42"/>
    </row>
    <row r="887" customHeight="1" spans="1:4">
      <c r="A887" s="42"/>
      <c r="B887" s="42"/>
      <c r="C887" s="42"/>
      <c r="D887" s="42"/>
    </row>
    <row r="888" customHeight="1" spans="1:4">
      <c r="A888" s="42"/>
      <c r="B888" s="42"/>
      <c r="C888" s="42"/>
      <c r="D888" s="42"/>
    </row>
    <row r="889" customHeight="1" spans="1:4">
      <c r="A889" s="42"/>
      <c r="B889" s="42"/>
      <c r="C889" s="42"/>
      <c r="D889" s="42"/>
    </row>
    <row r="890" customHeight="1" spans="1:4">
      <c r="A890" s="42"/>
      <c r="B890" s="42"/>
      <c r="C890" s="42"/>
      <c r="D890" s="42"/>
    </row>
    <row r="891" customHeight="1" spans="1:4">
      <c r="A891" s="42"/>
      <c r="B891" s="42"/>
      <c r="C891" s="42"/>
      <c r="D891" s="42"/>
    </row>
    <row r="892" customHeight="1" spans="1:4">
      <c r="A892" s="42"/>
      <c r="B892" s="42"/>
      <c r="C892" s="42"/>
      <c r="D892" s="42"/>
    </row>
    <row r="893" customHeight="1" spans="1:4">
      <c r="A893" s="42"/>
      <c r="B893" s="42"/>
      <c r="C893" s="42"/>
      <c r="D893" s="42"/>
    </row>
    <row r="894" customHeight="1" spans="1:4">
      <c r="A894" s="42"/>
      <c r="B894" s="42"/>
      <c r="C894" s="42"/>
      <c r="D894" s="42"/>
    </row>
    <row r="895" customHeight="1" spans="1:4">
      <c r="A895" s="42"/>
      <c r="B895" s="42"/>
      <c r="C895" s="42"/>
      <c r="D895" s="42"/>
    </row>
    <row r="896" customHeight="1" spans="1:4">
      <c r="A896" s="42"/>
      <c r="B896" s="42"/>
      <c r="C896" s="42"/>
      <c r="D896" s="42"/>
    </row>
    <row r="897" customHeight="1" spans="1:4">
      <c r="A897" s="42"/>
      <c r="B897" s="42"/>
      <c r="C897" s="42"/>
      <c r="D897" s="42"/>
    </row>
    <row r="898" customHeight="1" spans="1:4">
      <c r="A898" s="42"/>
      <c r="B898" s="42"/>
      <c r="C898" s="42"/>
      <c r="D898" s="42"/>
    </row>
    <row r="899" customHeight="1" spans="1:4">
      <c r="A899" s="42"/>
      <c r="B899" s="42"/>
      <c r="C899" s="42"/>
      <c r="D899" s="42"/>
    </row>
    <row r="900" customHeight="1" spans="1:4">
      <c r="A900" s="42"/>
      <c r="B900" s="42"/>
      <c r="C900" s="42"/>
      <c r="D900" s="42"/>
    </row>
    <row r="901" customHeight="1" spans="1:4">
      <c r="A901" s="42"/>
      <c r="B901" s="42"/>
      <c r="C901" s="42"/>
      <c r="D901" s="42"/>
    </row>
    <row r="902" customHeight="1" spans="1:4">
      <c r="A902" s="42"/>
      <c r="B902" s="42"/>
      <c r="C902" s="42"/>
      <c r="D902" s="42"/>
    </row>
    <row r="903" customHeight="1" spans="1:4">
      <c r="A903" s="42"/>
      <c r="B903" s="42"/>
      <c r="C903" s="42"/>
      <c r="D903" s="42"/>
    </row>
    <row r="904" customHeight="1" spans="1:4">
      <c r="A904" s="42"/>
      <c r="B904" s="42"/>
      <c r="C904" s="42"/>
      <c r="D904" s="42"/>
    </row>
    <row r="905" customHeight="1" spans="1:4">
      <c r="A905" s="42"/>
      <c r="B905" s="42"/>
      <c r="C905" s="42"/>
      <c r="D905" s="42"/>
    </row>
    <row r="906" customHeight="1" spans="1:4">
      <c r="A906" s="42"/>
      <c r="B906" s="42"/>
      <c r="C906" s="42"/>
      <c r="D906" s="42"/>
    </row>
    <row r="907" customHeight="1" spans="1:4">
      <c r="A907" s="42"/>
      <c r="B907" s="42"/>
      <c r="C907" s="42"/>
      <c r="D907" s="42"/>
    </row>
    <row r="908" customHeight="1" spans="1:4">
      <c r="A908" s="42"/>
      <c r="B908" s="42"/>
      <c r="C908" s="42"/>
      <c r="D908" s="42"/>
    </row>
    <row r="909" customHeight="1" spans="1:4">
      <c r="A909" s="42"/>
      <c r="B909" s="42"/>
      <c r="C909" s="42"/>
      <c r="D909" s="42"/>
    </row>
    <row r="910" customHeight="1" spans="1:4">
      <c r="A910" s="42"/>
      <c r="B910" s="42"/>
      <c r="C910" s="42"/>
      <c r="D910" s="42"/>
    </row>
    <row r="911" customHeight="1" spans="1:4">
      <c r="A911" s="42"/>
      <c r="B911" s="42"/>
      <c r="C911" s="42"/>
      <c r="D911" s="42"/>
    </row>
    <row r="912" customHeight="1" spans="1:4">
      <c r="A912" s="42"/>
      <c r="B912" s="42"/>
      <c r="C912" s="42"/>
      <c r="D912" s="42"/>
    </row>
    <row r="913" customHeight="1" spans="1:4">
      <c r="A913" s="42"/>
      <c r="B913" s="42"/>
      <c r="C913" s="42"/>
      <c r="D913" s="42"/>
    </row>
    <row r="914" customHeight="1" spans="1:4">
      <c r="A914" s="42"/>
      <c r="B914" s="42"/>
      <c r="C914" s="42"/>
      <c r="D914" s="42"/>
    </row>
    <row r="915" customHeight="1" spans="1:4">
      <c r="A915" s="42"/>
      <c r="B915" s="42"/>
      <c r="C915" s="42"/>
      <c r="D915" s="42"/>
    </row>
    <row r="916" customHeight="1" spans="1:4">
      <c r="A916" s="42"/>
      <c r="B916" s="42"/>
      <c r="C916" s="42"/>
      <c r="D916" s="42"/>
    </row>
    <row r="917" customHeight="1" spans="1:4">
      <c r="A917" s="42"/>
      <c r="B917" s="42"/>
      <c r="C917" s="42"/>
      <c r="D917" s="42"/>
    </row>
    <row r="918" customHeight="1" spans="1:4">
      <c r="A918" s="42"/>
      <c r="B918" s="42"/>
      <c r="C918" s="42"/>
      <c r="D918" s="42"/>
    </row>
    <row r="919" customHeight="1" spans="1:4">
      <c r="A919" s="42"/>
      <c r="B919" s="42"/>
      <c r="C919" s="42"/>
      <c r="D919" s="42"/>
    </row>
    <row r="920" customHeight="1" spans="1:4">
      <c r="A920" s="42"/>
      <c r="B920" s="42"/>
      <c r="C920" s="42"/>
      <c r="D920" s="42"/>
    </row>
    <row r="921" customHeight="1" spans="1:4">
      <c r="A921" s="42"/>
      <c r="B921" s="42"/>
      <c r="C921" s="42"/>
      <c r="D921" s="42"/>
    </row>
    <row r="922" customHeight="1" spans="1:4">
      <c r="A922" s="42"/>
      <c r="B922" s="42"/>
      <c r="C922" s="42"/>
      <c r="D922" s="42"/>
    </row>
    <row r="923" customHeight="1" spans="1:4">
      <c r="A923" s="42"/>
      <c r="B923" s="42"/>
      <c r="C923" s="42"/>
      <c r="D923" s="42"/>
    </row>
    <row r="924" customHeight="1" spans="1:4">
      <c r="A924" s="42"/>
      <c r="B924" s="42"/>
      <c r="C924" s="42"/>
      <c r="D924" s="42"/>
    </row>
    <row r="925" customHeight="1" spans="1:4">
      <c r="A925" s="42"/>
      <c r="B925" s="42"/>
      <c r="C925" s="42"/>
      <c r="D925" s="42"/>
    </row>
    <row r="926" customHeight="1" spans="1:4">
      <c r="A926" s="42"/>
      <c r="B926" s="42"/>
      <c r="C926" s="42"/>
      <c r="D926" s="42"/>
    </row>
    <row r="927" customHeight="1" spans="1:4">
      <c r="A927" s="42"/>
      <c r="B927" s="42"/>
      <c r="C927" s="42"/>
      <c r="D927" s="42"/>
    </row>
    <row r="928" customHeight="1" spans="1:4">
      <c r="A928" s="42"/>
      <c r="B928" s="42"/>
      <c r="C928" s="42"/>
      <c r="D928" s="42"/>
    </row>
    <row r="929" customHeight="1" spans="1:4">
      <c r="A929" s="42"/>
      <c r="B929" s="42"/>
      <c r="C929" s="42"/>
      <c r="D929" s="42"/>
    </row>
    <row r="930" customHeight="1" spans="1:4">
      <c r="A930" s="42"/>
      <c r="B930" s="42"/>
      <c r="C930" s="42"/>
      <c r="D930" s="42"/>
    </row>
    <row r="931" customHeight="1" spans="1:4">
      <c r="A931" s="42"/>
      <c r="B931" s="42"/>
      <c r="C931" s="42"/>
      <c r="D931" s="42"/>
    </row>
    <row r="932" customHeight="1" spans="1:4">
      <c r="A932" s="42"/>
      <c r="B932" s="42"/>
      <c r="C932" s="42"/>
      <c r="D932" s="42"/>
    </row>
    <row r="933" customHeight="1" spans="1:4">
      <c r="A933" s="42"/>
      <c r="B933" s="42"/>
      <c r="C933" s="42"/>
      <c r="D933" s="42"/>
    </row>
    <row r="934" customHeight="1" spans="1:4">
      <c r="A934" s="42"/>
      <c r="B934" s="42"/>
      <c r="C934" s="42"/>
      <c r="D934" s="42"/>
    </row>
    <row r="935" customHeight="1" spans="1:4">
      <c r="A935" s="42"/>
      <c r="B935" s="42"/>
      <c r="C935" s="42"/>
      <c r="D935" s="42"/>
    </row>
    <row r="936" customHeight="1" spans="1:4">
      <c r="A936" s="42"/>
      <c r="B936" s="42"/>
      <c r="C936" s="42"/>
      <c r="D936" s="42"/>
    </row>
    <row r="937" customHeight="1" spans="1:4">
      <c r="A937" s="42"/>
      <c r="B937" s="42"/>
      <c r="C937" s="42"/>
      <c r="D937" s="42"/>
    </row>
    <row r="938" customHeight="1" spans="1:4">
      <c r="A938" s="42"/>
      <c r="B938" s="42"/>
      <c r="C938" s="42"/>
      <c r="D938" s="42"/>
    </row>
    <row r="939" customHeight="1" spans="1:4">
      <c r="A939" s="42"/>
      <c r="B939" s="42"/>
      <c r="C939" s="42"/>
      <c r="D939" s="42"/>
    </row>
    <row r="940" customHeight="1" spans="1:4">
      <c r="A940" s="42"/>
      <c r="B940" s="42"/>
      <c r="C940" s="42"/>
      <c r="D940" s="42"/>
    </row>
    <row r="941" customHeight="1" spans="1:4">
      <c r="A941" s="42"/>
      <c r="B941" s="42"/>
      <c r="C941" s="42"/>
      <c r="D941" s="42"/>
    </row>
    <row r="942" customHeight="1" spans="1:4">
      <c r="A942" s="42"/>
      <c r="B942" s="42"/>
      <c r="C942" s="42"/>
      <c r="D942" s="42"/>
    </row>
    <row r="943" customHeight="1" spans="1:4">
      <c r="A943" s="42"/>
      <c r="B943" s="42"/>
      <c r="C943" s="42"/>
      <c r="D943" s="42"/>
    </row>
    <row r="944" customHeight="1" spans="1:4">
      <c r="A944" s="42"/>
      <c r="B944" s="42"/>
      <c r="C944" s="42"/>
      <c r="D944" s="42"/>
    </row>
    <row r="945" customHeight="1" spans="1:4">
      <c r="A945" s="42"/>
      <c r="B945" s="42"/>
      <c r="C945" s="42"/>
      <c r="D945" s="42"/>
    </row>
    <row r="946" customHeight="1" spans="1:4">
      <c r="A946" s="42"/>
      <c r="B946" s="42"/>
      <c r="C946" s="42"/>
      <c r="D946" s="42"/>
    </row>
    <row r="947" customHeight="1" spans="1:4">
      <c r="A947" s="42"/>
      <c r="B947" s="42"/>
      <c r="C947" s="42"/>
      <c r="D947" s="42"/>
    </row>
    <row r="948" customHeight="1" spans="1:4">
      <c r="A948" s="42"/>
      <c r="B948" s="42"/>
      <c r="C948" s="42"/>
      <c r="D948" s="42"/>
    </row>
    <row r="949" customHeight="1" spans="1:4">
      <c r="A949" s="42"/>
      <c r="B949" s="42"/>
      <c r="C949" s="42"/>
      <c r="D949" s="42"/>
    </row>
    <row r="950" customHeight="1" spans="1:4">
      <c r="A950" s="42"/>
      <c r="B950" s="42"/>
      <c r="C950" s="42"/>
      <c r="D950" s="42"/>
    </row>
    <row r="951" customHeight="1" spans="1:4">
      <c r="A951" s="42"/>
      <c r="B951" s="42"/>
      <c r="C951" s="42"/>
      <c r="D951" s="42"/>
    </row>
    <row r="952" customHeight="1" spans="1:4">
      <c r="A952" s="42"/>
      <c r="B952" s="42"/>
      <c r="C952" s="42"/>
      <c r="D952" s="42"/>
    </row>
    <row r="953" customHeight="1" spans="1:4">
      <c r="A953" s="42"/>
      <c r="B953" s="42"/>
      <c r="C953" s="42"/>
      <c r="D953" s="42"/>
    </row>
    <row r="954" customHeight="1" spans="1:4">
      <c r="A954" s="42"/>
      <c r="B954" s="42"/>
      <c r="C954" s="42"/>
      <c r="D954" s="42"/>
    </row>
    <row r="955" customHeight="1" spans="1:4">
      <c r="A955" s="42"/>
      <c r="B955" s="42"/>
      <c r="C955" s="42"/>
      <c r="D955" s="42"/>
    </row>
    <row r="956" customHeight="1" spans="1:4">
      <c r="A956" s="42"/>
      <c r="B956" s="42"/>
      <c r="C956" s="42"/>
      <c r="D956" s="42"/>
    </row>
    <row r="957" customHeight="1" spans="1:4">
      <c r="A957" s="42"/>
      <c r="B957" s="42"/>
      <c r="C957" s="42"/>
      <c r="D957" s="42"/>
    </row>
    <row r="958" customHeight="1" spans="1:4">
      <c r="A958" s="42"/>
      <c r="B958" s="42"/>
      <c r="C958" s="42"/>
      <c r="D958" s="42"/>
    </row>
    <row r="959" customHeight="1" spans="1:4">
      <c r="A959" s="42"/>
      <c r="B959" s="42"/>
      <c r="C959" s="42"/>
      <c r="D959" s="42"/>
    </row>
    <row r="960" customHeight="1" spans="1:4">
      <c r="A960" s="42"/>
      <c r="B960" s="42"/>
      <c r="C960" s="42"/>
      <c r="D960" s="42"/>
    </row>
    <row r="961" customHeight="1" spans="1:4">
      <c r="A961" s="42"/>
      <c r="B961" s="42"/>
      <c r="C961" s="42"/>
      <c r="D961" s="42"/>
    </row>
    <row r="962" customHeight="1" spans="1:4">
      <c r="A962" s="42"/>
      <c r="B962" s="42"/>
      <c r="C962" s="42"/>
      <c r="D962" s="42"/>
    </row>
    <row r="963" customHeight="1" spans="1:4">
      <c r="A963" s="42"/>
      <c r="B963" s="42"/>
      <c r="C963" s="42"/>
      <c r="D963" s="42"/>
    </row>
    <row r="964" customHeight="1" spans="1:4">
      <c r="A964" s="42"/>
      <c r="B964" s="42"/>
      <c r="C964" s="42"/>
      <c r="D964" s="42"/>
    </row>
    <row r="965" customHeight="1" spans="1:4">
      <c r="A965" s="42"/>
      <c r="B965" s="42"/>
      <c r="C965" s="42"/>
      <c r="D965" s="42"/>
    </row>
    <row r="966" customHeight="1" spans="1:4">
      <c r="A966" s="42"/>
      <c r="B966" s="42"/>
      <c r="C966" s="42"/>
      <c r="D966" s="42"/>
    </row>
    <row r="967" customHeight="1" spans="1:4">
      <c r="A967" s="42"/>
      <c r="B967" s="42"/>
      <c r="C967" s="42"/>
      <c r="D967" s="42"/>
    </row>
    <row r="968" customHeight="1" spans="1:4">
      <c r="A968" s="42"/>
      <c r="B968" s="42"/>
      <c r="C968" s="42"/>
      <c r="D968" s="42"/>
    </row>
    <row r="969" customHeight="1" spans="1:4">
      <c r="A969" s="42"/>
      <c r="B969" s="42"/>
      <c r="C969" s="42"/>
      <c r="D969" s="42"/>
    </row>
    <row r="970" customHeight="1" spans="1:4">
      <c r="A970" s="42"/>
      <c r="B970" s="42"/>
      <c r="C970" s="42"/>
      <c r="D970" s="42"/>
    </row>
    <row r="971" customHeight="1" spans="1:4">
      <c r="A971" s="42"/>
      <c r="B971" s="42"/>
      <c r="C971" s="42"/>
      <c r="D971" s="42"/>
    </row>
    <row r="972" customHeight="1" spans="1:4">
      <c r="A972" s="42"/>
      <c r="B972" s="42"/>
      <c r="C972" s="42"/>
      <c r="D972" s="42"/>
    </row>
    <row r="973" customHeight="1" spans="1:4">
      <c r="A973" s="42"/>
      <c r="B973" s="42"/>
      <c r="C973" s="42"/>
      <c r="D973" s="42"/>
    </row>
    <row r="974" customHeight="1" spans="1:4">
      <c r="A974" s="42"/>
      <c r="B974" s="42"/>
      <c r="C974" s="42"/>
      <c r="D974" s="42"/>
    </row>
    <row r="975" customHeight="1" spans="1:4">
      <c r="A975" s="42"/>
      <c r="B975" s="42"/>
      <c r="C975" s="42"/>
      <c r="D975" s="42"/>
    </row>
    <row r="976" customHeight="1" spans="1:4">
      <c r="A976" s="42"/>
      <c r="B976" s="42"/>
      <c r="C976" s="42"/>
      <c r="D976" s="42"/>
    </row>
    <row r="977" customHeight="1" spans="1:4">
      <c r="A977" s="42"/>
      <c r="B977" s="42"/>
      <c r="C977" s="42"/>
      <c r="D977" s="42"/>
    </row>
    <row r="978" customHeight="1" spans="1:4">
      <c r="A978" s="42"/>
      <c r="B978" s="42"/>
      <c r="C978" s="42"/>
      <c r="D978" s="42"/>
    </row>
    <row r="979" customHeight="1" spans="1:4">
      <c r="A979" s="42"/>
      <c r="B979" s="42"/>
      <c r="C979" s="42"/>
      <c r="D979" s="42"/>
    </row>
    <row r="980" customHeight="1" spans="1:4">
      <c r="A980" s="42"/>
      <c r="B980" s="42"/>
      <c r="C980" s="42"/>
      <c r="D980" s="42"/>
    </row>
    <row r="981" customHeight="1" spans="1:4">
      <c r="A981" s="42"/>
      <c r="B981" s="42"/>
      <c r="C981" s="42"/>
      <c r="D981" s="42"/>
    </row>
    <row r="982" customHeight="1" spans="1:4">
      <c r="A982" s="42"/>
      <c r="B982" s="42"/>
      <c r="C982" s="42"/>
      <c r="D982" s="42"/>
    </row>
    <row r="983" customHeight="1" spans="1:4">
      <c r="A983" s="42"/>
      <c r="B983" s="42"/>
      <c r="C983" s="42"/>
      <c r="D983" s="42"/>
    </row>
    <row r="984" customHeight="1" spans="1:4">
      <c r="A984" s="42"/>
      <c r="B984" s="42"/>
      <c r="C984" s="42"/>
      <c r="D984" s="42"/>
    </row>
    <row r="985" customHeight="1" spans="1:4">
      <c r="A985" s="42"/>
      <c r="B985" s="42"/>
      <c r="C985" s="42"/>
      <c r="D985" s="42"/>
    </row>
    <row r="986" customHeight="1" spans="1:4">
      <c r="A986" s="42"/>
      <c r="B986" s="42"/>
      <c r="C986" s="42"/>
      <c r="D986" s="42"/>
    </row>
    <row r="987" customHeight="1" spans="1:4">
      <c r="A987" s="42"/>
      <c r="B987" s="42"/>
      <c r="C987" s="42"/>
      <c r="D987" s="42"/>
    </row>
    <row r="988" customHeight="1" spans="1:4">
      <c r="A988" s="42"/>
      <c r="B988" s="42"/>
      <c r="C988" s="42"/>
      <c r="D988" s="42"/>
    </row>
    <row r="989" customHeight="1" spans="1:4">
      <c r="A989" s="42"/>
      <c r="B989" s="42"/>
      <c r="C989" s="42"/>
      <c r="D989" s="42"/>
    </row>
    <row r="990" customHeight="1" spans="1:4">
      <c r="A990" s="42"/>
      <c r="B990" s="42"/>
      <c r="C990" s="42"/>
      <c r="D990" s="42"/>
    </row>
    <row r="991" customHeight="1" spans="1:4">
      <c r="A991" s="42"/>
      <c r="B991" s="42"/>
      <c r="C991" s="42"/>
      <c r="D991" s="42"/>
    </row>
    <row r="992" customHeight="1" spans="1:4">
      <c r="A992" s="42"/>
      <c r="B992" s="42"/>
      <c r="C992" s="42"/>
      <c r="D992" s="42"/>
    </row>
    <row r="993" customHeight="1" spans="1:4">
      <c r="A993" s="42"/>
      <c r="B993" s="42"/>
      <c r="C993" s="42"/>
      <c r="D993" s="42"/>
    </row>
    <row r="994" customHeight="1" spans="1:4">
      <c r="A994" s="42"/>
      <c r="B994" s="42"/>
      <c r="C994" s="42"/>
      <c r="D994" s="42"/>
    </row>
    <row r="995" customHeight="1" spans="1:4">
      <c r="A995" s="42"/>
      <c r="B995" s="42"/>
      <c r="C995" s="42"/>
      <c r="D995" s="42"/>
    </row>
    <row r="996" customHeight="1" spans="1:4">
      <c r="A996" s="42"/>
      <c r="B996" s="42"/>
      <c r="C996" s="42"/>
      <c r="D996" s="42"/>
    </row>
    <row r="997" customHeight="1" spans="1:4">
      <c r="A997" s="42"/>
      <c r="B997" s="42"/>
      <c r="C997" s="42"/>
      <c r="D997" s="42"/>
    </row>
    <row r="998" customHeight="1" spans="1:4">
      <c r="A998" s="42"/>
      <c r="B998" s="42"/>
      <c r="C998" s="42"/>
      <c r="D998" s="42"/>
    </row>
    <row r="999" customHeight="1" spans="1:4">
      <c r="A999" s="42"/>
      <c r="B999" s="42"/>
      <c r="C999" s="42"/>
      <c r="D999" s="42"/>
    </row>
  </sheetData>
  <mergeCells count="2">
    <mergeCell ref="G1:N1"/>
    <mergeCell ref="G3:J3"/>
  </mergeCells>
  <conditionalFormatting sqref="A1:D51">
    <cfRule type="expression" dxfId="38" priority="2">
      <formula>MOD(ROW(),2)=1</formula>
    </cfRule>
  </conditionalFormatting>
  <conditionalFormatting sqref="G3:J9">
    <cfRule type="expression" dxfId="38" priority="1">
      <formula>MOD(ROW(),2)=1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99"/>
  <sheetViews>
    <sheetView workbookViewId="0">
      <selection activeCell="D2" sqref="D2"/>
    </sheetView>
  </sheetViews>
  <sheetFormatPr defaultColWidth="12.6285714285714" defaultRowHeight="15.75" customHeight="1"/>
  <cols>
    <col min="1" max="1" width="23.8571428571429" customWidth="1"/>
    <col min="2" max="2" width="16.5714285714286" customWidth="1"/>
    <col min="3" max="3" width="9.28571428571429" customWidth="1"/>
    <col min="4" max="4" width="30.2857142857143" customWidth="1"/>
  </cols>
  <sheetData>
    <row r="1" customHeight="1" spans="1:6">
      <c r="A1" s="9" t="s">
        <v>19</v>
      </c>
      <c r="B1" s="9" t="s">
        <v>20</v>
      </c>
      <c r="C1" s="9" t="s">
        <v>23</v>
      </c>
      <c r="D1" s="9" t="s">
        <v>168</v>
      </c>
      <c r="F1" s="17" t="s">
        <v>13</v>
      </c>
    </row>
    <row r="2" customHeight="1" spans="1:6">
      <c r="A2" s="10" t="s">
        <v>53</v>
      </c>
      <c r="B2" s="10" t="s">
        <v>29</v>
      </c>
      <c r="C2" s="10">
        <v>126000</v>
      </c>
      <c r="D2" s="10">
        <f t="shared" ref="D2:D51" si="0">_xlfn.RANK.AVG(C2,$C$2:$C$51,0)</f>
        <v>1</v>
      </c>
    </row>
    <row r="3" customHeight="1" spans="1:6">
      <c r="A3" s="10" t="s">
        <v>38</v>
      </c>
      <c r="B3" s="10" t="s">
        <v>29</v>
      </c>
      <c r="C3" s="10">
        <v>122000</v>
      </c>
      <c r="D3" s="10">
        <f t="shared" si="0"/>
        <v>2</v>
      </c>
    </row>
    <row r="4" customHeight="1" spans="1:6">
      <c r="A4" s="10" t="s">
        <v>49</v>
      </c>
      <c r="B4" s="10" t="s">
        <v>29</v>
      </c>
      <c r="C4" s="10">
        <v>108000</v>
      </c>
      <c r="D4" s="10">
        <f t="shared" si="0"/>
        <v>3</v>
      </c>
    </row>
    <row r="5" customHeight="1" spans="1:6">
      <c r="A5" s="10" t="s">
        <v>44</v>
      </c>
      <c r="B5" s="10" t="s">
        <v>29</v>
      </c>
      <c r="C5" s="10">
        <v>105000</v>
      </c>
      <c r="D5" s="10">
        <f t="shared" si="0"/>
        <v>4</v>
      </c>
    </row>
    <row r="6" customHeight="1" spans="1:6">
      <c r="A6" s="10" t="s">
        <v>46</v>
      </c>
      <c r="B6" s="10" t="s">
        <v>29</v>
      </c>
      <c r="C6" s="10">
        <v>101000</v>
      </c>
      <c r="D6" s="10">
        <f t="shared" si="0"/>
        <v>5</v>
      </c>
    </row>
    <row r="7" customHeight="1" spans="1:6">
      <c r="A7" s="10" t="s">
        <v>51</v>
      </c>
      <c r="B7" s="10" t="s">
        <v>29</v>
      </c>
      <c r="C7" s="10">
        <v>95000</v>
      </c>
      <c r="D7" s="10">
        <f t="shared" si="0"/>
        <v>6.5</v>
      </c>
    </row>
    <row r="8" customHeight="1" spans="1:6">
      <c r="A8" s="10" t="s">
        <v>69</v>
      </c>
      <c r="B8" s="10" t="s">
        <v>56</v>
      </c>
      <c r="C8" s="10">
        <v>95000</v>
      </c>
      <c r="D8" s="10">
        <f t="shared" si="0"/>
        <v>6.5</v>
      </c>
    </row>
    <row r="9" customHeight="1" spans="1:6">
      <c r="A9" s="10" t="s">
        <v>33</v>
      </c>
      <c r="B9" s="10" t="s">
        <v>29</v>
      </c>
      <c r="C9" s="10">
        <v>93000</v>
      </c>
      <c r="D9" s="10">
        <f t="shared" si="0"/>
        <v>8</v>
      </c>
    </row>
    <row r="10" customHeight="1" spans="1:6">
      <c r="A10" s="10" t="s">
        <v>73</v>
      </c>
      <c r="B10" s="10" t="s">
        <v>56</v>
      </c>
      <c r="C10" s="10">
        <v>92000</v>
      </c>
      <c r="D10" s="10">
        <f t="shared" si="0"/>
        <v>9</v>
      </c>
    </row>
    <row r="11" customHeight="1" spans="1:6">
      <c r="A11" s="10" t="s">
        <v>64</v>
      </c>
      <c r="B11" s="10" t="s">
        <v>56</v>
      </c>
      <c r="C11" s="10">
        <v>87000</v>
      </c>
      <c r="D11" s="10">
        <f t="shared" si="0"/>
        <v>10</v>
      </c>
    </row>
    <row r="12" customHeight="1" spans="1:6">
      <c r="A12" s="10" t="s">
        <v>89</v>
      </c>
      <c r="B12" s="10" t="s">
        <v>81</v>
      </c>
      <c r="C12" s="10">
        <v>85000</v>
      </c>
      <c r="D12" s="10">
        <f t="shared" si="0"/>
        <v>11.5</v>
      </c>
    </row>
    <row r="13" customHeight="1" spans="1:6">
      <c r="A13" s="10" t="s">
        <v>103</v>
      </c>
      <c r="B13" s="10" t="s">
        <v>81</v>
      </c>
      <c r="C13" s="10">
        <v>85000</v>
      </c>
      <c r="D13" s="10">
        <f t="shared" si="0"/>
        <v>11.5</v>
      </c>
    </row>
    <row r="14" customHeight="1" spans="1:6">
      <c r="A14" s="10" t="s">
        <v>28</v>
      </c>
      <c r="B14" s="10" t="s">
        <v>29</v>
      </c>
      <c r="C14" s="10">
        <v>83000</v>
      </c>
      <c r="D14" s="10">
        <f t="shared" si="0"/>
        <v>13.5</v>
      </c>
    </row>
    <row r="15" customHeight="1" spans="1:6">
      <c r="A15" s="10" t="s">
        <v>66</v>
      </c>
      <c r="B15" s="10" t="s">
        <v>56</v>
      </c>
      <c r="C15" s="10">
        <v>83000</v>
      </c>
      <c r="D15" s="10">
        <f t="shared" si="0"/>
        <v>13.5</v>
      </c>
    </row>
    <row r="16" customHeight="1" spans="1:6">
      <c r="A16" s="10" t="s">
        <v>42</v>
      </c>
      <c r="B16" s="10" t="s">
        <v>29</v>
      </c>
      <c r="C16" s="10">
        <v>79000</v>
      </c>
      <c r="D16" s="10">
        <f t="shared" si="0"/>
        <v>15.5</v>
      </c>
    </row>
    <row r="17" customHeight="1" spans="1:4">
      <c r="A17" s="10" t="s">
        <v>101</v>
      </c>
      <c r="B17" s="10" t="s">
        <v>81</v>
      </c>
      <c r="C17" s="10">
        <v>79000</v>
      </c>
      <c r="D17" s="10">
        <f t="shared" si="0"/>
        <v>15.5</v>
      </c>
    </row>
    <row r="18" customHeight="1" spans="1:4">
      <c r="A18" s="10" t="s">
        <v>35</v>
      </c>
      <c r="B18" s="10" t="s">
        <v>29</v>
      </c>
      <c r="C18" s="10">
        <v>78000</v>
      </c>
      <c r="D18" s="10">
        <f t="shared" si="0"/>
        <v>17</v>
      </c>
    </row>
    <row r="19" customHeight="1" spans="1:4">
      <c r="A19" s="10" t="s">
        <v>91</v>
      </c>
      <c r="B19" s="10" t="s">
        <v>81</v>
      </c>
      <c r="C19" s="10">
        <v>77000</v>
      </c>
      <c r="D19" s="10">
        <f t="shared" si="0"/>
        <v>18.5</v>
      </c>
    </row>
    <row r="20" customHeight="1" spans="1:4">
      <c r="A20" s="10" t="s">
        <v>125</v>
      </c>
      <c r="B20" s="10" t="s">
        <v>106</v>
      </c>
      <c r="C20" s="10">
        <v>77000</v>
      </c>
      <c r="D20" s="10">
        <f t="shared" si="0"/>
        <v>18.5</v>
      </c>
    </row>
    <row r="21" customHeight="1" spans="1:4">
      <c r="A21" s="10" t="s">
        <v>94</v>
      </c>
      <c r="B21" s="10" t="s">
        <v>81</v>
      </c>
      <c r="C21" s="10">
        <v>76000</v>
      </c>
      <c r="D21" s="10">
        <f t="shared" si="0"/>
        <v>20.5</v>
      </c>
    </row>
    <row r="22" customHeight="1" spans="1:4">
      <c r="A22" s="10" t="s">
        <v>112</v>
      </c>
      <c r="B22" s="10" t="s">
        <v>106</v>
      </c>
      <c r="C22" s="10">
        <v>76000</v>
      </c>
      <c r="D22" s="10">
        <f t="shared" si="0"/>
        <v>20.5</v>
      </c>
    </row>
    <row r="23" customHeight="1" spans="1:4">
      <c r="A23" s="10" t="s">
        <v>55</v>
      </c>
      <c r="B23" s="10" t="s">
        <v>56</v>
      </c>
      <c r="C23" s="10">
        <v>75000</v>
      </c>
      <c r="D23" s="10">
        <f t="shared" si="0"/>
        <v>22</v>
      </c>
    </row>
    <row r="24" customHeight="1" spans="1:4">
      <c r="A24" s="10" t="s">
        <v>139</v>
      </c>
      <c r="B24" s="10" t="s">
        <v>131</v>
      </c>
      <c r="C24" s="10">
        <v>74000</v>
      </c>
      <c r="D24" s="10">
        <f t="shared" si="0"/>
        <v>23.5</v>
      </c>
    </row>
    <row r="25" customHeight="1" spans="1:4">
      <c r="A25" s="10" t="s">
        <v>141</v>
      </c>
      <c r="B25" s="10" t="s">
        <v>131</v>
      </c>
      <c r="C25" s="10">
        <v>74000</v>
      </c>
      <c r="D25" s="10">
        <f t="shared" si="0"/>
        <v>23.5</v>
      </c>
    </row>
    <row r="26" customHeight="1" spans="1:4">
      <c r="A26" s="10" t="s">
        <v>134</v>
      </c>
      <c r="B26" s="10" t="s">
        <v>131</v>
      </c>
      <c r="C26" s="10">
        <v>73000</v>
      </c>
      <c r="D26" s="10">
        <f t="shared" si="0"/>
        <v>25</v>
      </c>
    </row>
    <row r="27" customHeight="1" spans="1:4">
      <c r="A27" s="10" t="s">
        <v>109</v>
      </c>
      <c r="B27" s="10" t="s">
        <v>106</v>
      </c>
      <c r="C27" s="10">
        <v>69000</v>
      </c>
      <c r="D27" s="10">
        <f t="shared" si="0"/>
        <v>26</v>
      </c>
    </row>
    <row r="28" customHeight="1" spans="1:4">
      <c r="A28" s="10" t="s">
        <v>115</v>
      </c>
      <c r="B28" s="10" t="s">
        <v>106</v>
      </c>
      <c r="C28" s="10">
        <v>67000</v>
      </c>
      <c r="D28" s="10">
        <f t="shared" si="0"/>
        <v>27.5</v>
      </c>
    </row>
    <row r="29" customHeight="1" spans="1:4">
      <c r="A29" s="10" t="s">
        <v>149</v>
      </c>
      <c r="B29" s="10" t="s">
        <v>131</v>
      </c>
      <c r="C29" s="10">
        <v>67000</v>
      </c>
      <c r="D29" s="10">
        <f t="shared" si="0"/>
        <v>27.5</v>
      </c>
    </row>
    <row r="30" customHeight="1" spans="1:4">
      <c r="A30" s="10" t="s">
        <v>59</v>
      </c>
      <c r="B30" s="10" t="s">
        <v>56</v>
      </c>
      <c r="C30" s="10">
        <v>66000</v>
      </c>
      <c r="D30" s="10">
        <f t="shared" si="0"/>
        <v>30</v>
      </c>
    </row>
    <row r="31" customHeight="1" spans="1:4">
      <c r="A31" s="10" t="s">
        <v>105</v>
      </c>
      <c r="B31" s="10" t="s">
        <v>106</v>
      </c>
      <c r="C31" s="10">
        <v>66000</v>
      </c>
      <c r="D31" s="10">
        <f t="shared" si="0"/>
        <v>30</v>
      </c>
    </row>
    <row r="32" customHeight="1" spans="1:4">
      <c r="A32" s="10" t="s">
        <v>117</v>
      </c>
      <c r="B32" s="10" t="s">
        <v>106</v>
      </c>
      <c r="C32" s="10">
        <v>66000</v>
      </c>
      <c r="D32" s="10">
        <f t="shared" si="0"/>
        <v>30</v>
      </c>
    </row>
    <row r="33" customHeight="1" spans="1:4">
      <c r="A33" s="10" t="s">
        <v>76</v>
      </c>
      <c r="B33" s="10" t="s">
        <v>56</v>
      </c>
      <c r="C33" s="10">
        <v>64000</v>
      </c>
      <c r="D33" s="10">
        <f t="shared" si="0"/>
        <v>32</v>
      </c>
    </row>
    <row r="34" customHeight="1" spans="1:4">
      <c r="A34" s="10" t="s">
        <v>153</v>
      </c>
      <c r="B34" s="10" t="s">
        <v>131</v>
      </c>
      <c r="C34" s="10">
        <v>62000</v>
      </c>
      <c r="D34" s="10">
        <f t="shared" si="0"/>
        <v>33</v>
      </c>
    </row>
    <row r="35" customHeight="1" spans="1:4">
      <c r="A35" s="10" t="s">
        <v>121</v>
      </c>
      <c r="B35" s="10" t="s">
        <v>106</v>
      </c>
      <c r="C35" s="10">
        <v>61000</v>
      </c>
      <c r="D35" s="10">
        <f t="shared" si="0"/>
        <v>34</v>
      </c>
    </row>
    <row r="36" customHeight="1" spans="1:4">
      <c r="A36" s="10" t="s">
        <v>130</v>
      </c>
      <c r="B36" s="10" t="s">
        <v>131</v>
      </c>
      <c r="C36" s="10">
        <v>59000</v>
      </c>
      <c r="D36" s="10">
        <f t="shared" si="0"/>
        <v>35</v>
      </c>
    </row>
    <row r="37" customHeight="1" spans="1:4">
      <c r="A37" s="10" t="s">
        <v>96</v>
      </c>
      <c r="B37" s="10" t="s">
        <v>81</v>
      </c>
      <c r="C37" s="10">
        <v>56000</v>
      </c>
      <c r="D37" s="10">
        <f t="shared" si="0"/>
        <v>36.5</v>
      </c>
    </row>
    <row r="38" customHeight="1" spans="1:4">
      <c r="A38" s="10" t="s">
        <v>146</v>
      </c>
      <c r="B38" s="10" t="s">
        <v>131</v>
      </c>
      <c r="C38" s="10">
        <v>56000</v>
      </c>
      <c r="D38" s="10">
        <f t="shared" si="0"/>
        <v>36.5</v>
      </c>
    </row>
    <row r="39" customHeight="1" spans="1:4">
      <c r="A39" s="10" t="s">
        <v>143</v>
      </c>
      <c r="B39" s="10" t="s">
        <v>131</v>
      </c>
      <c r="C39" s="10">
        <v>55000</v>
      </c>
      <c r="D39" s="10">
        <f t="shared" si="0"/>
        <v>38</v>
      </c>
    </row>
    <row r="40" customHeight="1" spans="1:4">
      <c r="A40" s="10" t="s">
        <v>80</v>
      </c>
      <c r="B40" s="10" t="s">
        <v>81</v>
      </c>
      <c r="C40" s="10">
        <v>53000</v>
      </c>
      <c r="D40" s="10">
        <f t="shared" si="0"/>
        <v>39.5</v>
      </c>
    </row>
    <row r="41" customHeight="1" spans="1:4">
      <c r="A41" s="10" t="s">
        <v>127</v>
      </c>
      <c r="B41" s="10" t="s">
        <v>106</v>
      </c>
      <c r="C41" s="10">
        <v>53000</v>
      </c>
      <c r="D41" s="10">
        <f t="shared" si="0"/>
        <v>39.5</v>
      </c>
    </row>
    <row r="42" customHeight="1" spans="1:4">
      <c r="A42" s="10" t="s">
        <v>78</v>
      </c>
      <c r="B42" s="10" t="s">
        <v>56</v>
      </c>
      <c r="C42" s="10">
        <v>52000</v>
      </c>
      <c r="D42" s="10">
        <f t="shared" si="0"/>
        <v>41.5</v>
      </c>
    </row>
    <row r="43" customHeight="1" spans="1:4">
      <c r="A43" s="10" t="s">
        <v>119</v>
      </c>
      <c r="B43" s="10" t="s">
        <v>106</v>
      </c>
      <c r="C43" s="10">
        <v>52000</v>
      </c>
      <c r="D43" s="10">
        <f t="shared" si="0"/>
        <v>41.5</v>
      </c>
    </row>
    <row r="44" customHeight="1" spans="1:4">
      <c r="A44" s="10" t="s">
        <v>61</v>
      </c>
      <c r="B44" s="10" t="s">
        <v>56</v>
      </c>
      <c r="C44" s="10">
        <v>49000</v>
      </c>
      <c r="D44" s="10">
        <f t="shared" si="0"/>
        <v>43.5</v>
      </c>
    </row>
    <row r="45" customHeight="1" spans="1:4">
      <c r="A45" s="10" t="s">
        <v>71</v>
      </c>
      <c r="B45" s="10" t="s">
        <v>56</v>
      </c>
      <c r="C45" s="10">
        <v>49000</v>
      </c>
      <c r="D45" s="10">
        <f t="shared" si="0"/>
        <v>43.5</v>
      </c>
    </row>
    <row r="46" customHeight="1" spans="1:4">
      <c r="A46" s="10" t="s">
        <v>137</v>
      </c>
      <c r="B46" s="10" t="s">
        <v>131</v>
      </c>
      <c r="C46" s="10">
        <v>48000</v>
      </c>
      <c r="D46" s="10">
        <f t="shared" si="0"/>
        <v>45</v>
      </c>
    </row>
    <row r="47" customHeight="1" spans="1:4">
      <c r="A47" s="10" t="s">
        <v>86</v>
      </c>
      <c r="B47" s="10" t="s">
        <v>81</v>
      </c>
      <c r="C47" s="10">
        <v>47000</v>
      </c>
      <c r="D47" s="10">
        <f t="shared" si="0"/>
        <v>46.5</v>
      </c>
    </row>
    <row r="48" customHeight="1" spans="1:4">
      <c r="A48" s="10" t="s">
        <v>98</v>
      </c>
      <c r="B48" s="10" t="s">
        <v>81</v>
      </c>
      <c r="C48" s="10">
        <v>47000</v>
      </c>
      <c r="D48" s="10">
        <f t="shared" si="0"/>
        <v>46.5</v>
      </c>
    </row>
    <row r="49" customHeight="1" spans="1:4">
      <c r="A49" s="10" t="s">
        <v>123</v>
      </c>
      <c r="B49" s="10" t="s">
        <v>106</v>
      </c>
      <c r="C49" s="10">
        <v>45000</v>
      </c>
      <c r="D49" s="10">
        <f t="shared" si="0"/>
        <v>48</v>
      </c>
    </row>
    <row r="50" customHeight="1" spans="1:4">
      <c r="A50" s="10" t="s">
        <v>84</v>
      </c>
      <c r="B50" s="10" t="s">
        <v>81</v>
      </c>
      <c r="C50" s="10">
        <v>43000</v>
      </c>
      <c r="D50" s="10">
        <f t="shared" si="0"/>
        <v>49</v>
      </c>
    </row>
    <row r="51" customHeight="1" spans="1:4">
      <c r="A51" s="10" t="s">
        <v>151</v>
      </c>
      <c r="B51" s="10" t="s">
        <v>131</v>
      </c>
      <c r="C51" s="10">
        <v>40000</v>
      </c>
      <c r="D51" s="10">
        <f t="shared" si="0"/>
        <v>50</v>
      </c>
    </row>
    <row r="52" customHeight="1" spans="1:4">
      <c r="D52" s="37"/>
    </row>
    <row r="53" customHeight="1" spans="1:4">
      <c r="D53" s="37"/>
    </row>
    <row r="54" customHeight="1" spans="1:4">
      <c r="D54" s="37"/>
    </row>
    <row r="55" customHeight="1" spans="1:4">
      <c r="D55" s="37"/>
    </row>
    <row r="56" customHeight="1" spans="1:4">
      <c r="D56" s="37"/>
    </row>
    <row r="57" customHeight="1" spans="1:4">
      <c r="D57" s="37"/>
    </row>
    <row r="58" customHeight="1" spans="1:4">
      <c r="D58" s="37"/>
    </row>
    <row r="59" customHeight="1" spans="1:4">
      <c r="D59" s="37"/>
    </row>
    <row r="60" customHeight="1" spans="1:4">
      <c r="D60" s="37"/>
    </row>
    <row r="61" customHeight="1" spans="1:4">
      <c r="D61" s="37"/>
    </row>
    <row r="62" customHeight="1" spans="1:4">
      <c r="D62" s="37"/>
    </row>
    <row r="63" customHeight="1" spans="1:4">
      <c r="D63" s="37"/>
    </row>
    <row r="64" customHeight="1" spans="1:4">
      <c r="D64" s="37"/>
    </row>
    <row r="65" customHeight="1" spans="4:4">
      <c r="D65" s="37"/>
    </row>
    <row r="66" customHeight="1" spans="4:4">
      <c r="D66" s="37"/>
    </row>
    <row r="67" customHeight="1" spans="4:4">
      <c r="D67" s="37"/>
    </row>
    <row r="68" customHeight="1" spans="4:4">
      <c r="D68" s="37"/>
    </row>
    <row r="69" customHeight="1" spans="4:4">
      <c r="D69" s="37"/>
    </row>
    <row r="70" customHeight="1" spans="4:4">
      <c r="D70" s="37"/>
    </row>
    <row r="71" customHeight="1" spans="4:4">
      <c r="D71" s="37"/>
    </row>
    <row r="72" customHeight="1" spans="4:4">
      <c r="D72" s="37"/>
    </row>
    <row r="73" customHeight="1" spans="4:4">
      <c r="D73" s="37"/>
    </row>
    <row r="74" customHeight="1" spans="4:4">
      <c r="D74" s="37"/>
    </row>
    <row r="75" customHeight="1" spans="4:4">
      <c r="D75" s="37"/>
    </row>
    <row r="76" customHeight="1" spans="4:4">
      <c r="D76" s="37"/>
    </row>
    <row r="77" customHeight="1" spans="4:4">
      <c r="D77" s="37"/>
    </row>
    <row r="78" customHeight="1" spans="4:4">
      <c r="D78" s="37"/>
    </row>
    <row r="79" customHeight="1" spans="4:4">
      <c r="D79" s="37"/>
    </row>
    <row r="80" customHeight="1" spans="4:4">
      <c r="D80" s="37"/>
    </row>
    <row r="81" customHeight="1" spans="4:4">
      <c r="D81" s="37"/>
    </row>
    <row r="82" customHeight="1" spans="4:4">
      <c r="D82" s="37"/>
    </row>
    <row r="83" customHeight="1" spans="4:4">
      <c r="D83" s="37"/>
    </row>
    <row r="84" customHeight="1" spans="4:4">
      <c r="D84" s="37"/>
    </row>
    <row r="85" customHeight="1" spans="4:4">
      <c r="D85" s="37"/>
    </row>
    <row r="86" customHeight="1" spans="4:4">
      <c r="D86" s="37"/>
    </row>
    <row r="87" customHeight="1" spans="4:4">
      <c r="D87" s="37"/>
    </row>
    <row r="88" customHeight="1" spans="4:4">
      <c r="D88" s="37"/>
    </row>
    <row r="89" customHeight="1" spans="4:4">
      <c r="D89" s="37"/>
    </row>
    <row r="90" customHeight="1" spans="4:4">
      <c r="D90" s="37"/>
    </row>
    <row r="91" customHeight="1" spans="4:4">
      <c r="D91" s="37"/>
    </row>
    <row r="92" customHeight="1" spans="4:4">
      <c r="D92" s="37"/>
    </row>
    <row r="93" customHeight="1" spans="4:4">
      <c r="D93" s="37"/>
    </row>
    <row r="94" customHeight="1" spans="4:4">
      <c r="D94" s="37"/>
    </row>
    <row r="95" customHeight="1" spans="4:4">
      <c r="D95" s="37"/>
    </row>
    <row r="96" customHeight="1" spans="4:4">
      <c r="D96" s="37"/>
    </row>
    <row r="97" customHeight="1" spans="4:4">
      <c r="D97" s="37"/>
    </row>
    <row r="98" customHeight="1" spans="4:4">
      <c r="D98" s="37"/>
    </row>
    <row r="99" customHeight="1" spans="4:4">
      <c r="D99" s="37"/>
    </row>
    <row r="100" customHeight="1" spans="4:4">
      <c r="D100" s="37"/>
    </row>
    <row r="101" customHeight="1" spans="4:4">
      <c r="D101" s="37"/>
    </row>
    <row r="102" customHeight="1" spans="4:4">
      <c r="D102" s="37"/>
    </row>
    <row r="103" customHeight="1" spans="4:4">
      <c r="D103" s="37"/>
    </row>
    <row r="104" customHeight="1" spans="4:4">
      <c r="D104" s="37"/>
    </row>
    <row r="105" customHeight="1" spans="4:4">
      <c r="D105" s="37"/>
    </row>
    <row r="106" customHeight="1" spans="4:4">
      <c r="D106" s="37"/>
    </row>
    <row r="107" customHeight="1" spans="4:4">
      <c r="D107" s="37"/>
    </row>
    <row r="108" customHeight="1" spans="4:4">
      <c r="D108" s="37"/>
    </row>
    <row r="109" customHeight="1" spans="4:4">
      <c r="D109" s="37"/>
    </row>
    <row r="110" customHeight="1" spans="4:4">
      <c r="D110" s="37"/>
    </row>
    <row r="111" customHeight="1" spans="4:4">
      <c r="D111" s="37"/>
    </row>
    <row r="112" customHeight="1" spans="4:4">
      <c r="D112" s="37"/>
    </row>
    <row r="113" customHeight="1" spans="4:4">
      <c r="D113" s="37"/>
    </row>
    <row r="114" customHeight="1" spans="4:4">
      <c r="D114" s="37"/>
    </row>
    <row r="115" customHeight="1" spans="4:4">
      <c r="D115" s="37"/>
    </row>
    <row r="116" customHeight="1" spans="4:4">
      <c r="D116" s="37"/>
    </row>
    <row r="117" customHeight="1" spans="4:4">
      <c r="D117" s="37"/>
    </row>
    <row r="118" customHeight="1" spans="4:4">
      <c r="D118" s="37"/>
    </row>
    <row r="119" customHeight="1" spans="4:4">
      <c r="D119" s="37"/>
    </row>
    <row r="120" customHeight="1" spans="4:4">
      <c r="D120" s="37"/>
    </row>
    <row r="121" customHeight="1" spans="4:4">
      <c r="D121" s="37"/>
    </row>
    <row r="122" customHeight="1" spans="4:4">
      <c r="D122" s="37"/>
    </row>
    <row r="123" customHeight="1" spans="4:4">
      <c r="D123" s="37"/>
    </row>
    <row r="124" customHeight="1" spans="4:4">
      <c r="D124" s="37"/>
    </row>
    <row r="125" customHeight="1" spans="4:4">
      <c r="D125" s="37"/>
    </row>
    <row r="126" customHeight="1" spans="4:4">
      <c r="D126" s="37"/>
    </row>
    <row r="127" customHeight="1" spans="4:4">
      <c r="D127" s="37"/>
    </row>
    <row r="128" customHeight="1" spans="4:4">
      <c r="D128" s="37"/>
    </row>
    <row r="129" customHeight="1" spans="4:4">
      <c r="D129" s="37"/>
    </row>
    <row r="130" customHeight="1" spans="4:4">
      <c r="D130" s="37"/>
    </row>
    <row r="131" customHeight="1" spans="4:4">
      <c r="D131" s="37"/>
    </row>
    <row r="132" customHeight="1" spans="4:4">
      <c r="D132" s="37"/>
    </row>
    <row r="133" customHeight="1" spans="4:4">
      <c r="D133" s="37"/>
    </row>
    <row r="134" customHeight="1" spans="4:4">
      <c r="D134" s="37"/>
    </row>
    <row r="135" customHeight="1" spans="4:4">
      <c r="D135" s="37"/>
    </row>
    <row r="136" customHeight="1" spans="4:4">
      <c r="D136" s="37"/>
    </row>
    <row r="137" customHeight="1" spans="4:4">
      <c r="D137" s="37"/>
    </row>
    <row r="138" customHeight="1" spans="4:4">
      <c r="D138" s="37"/>
    </row>
    <row r="139" customHeight="1" spans="4:4">
      <c r="D139" s="37"/>
    </row>
    <row r="140" customHeight="1" spans="4:4">
      <c r="D140" s="37"/>
    </row>
    <row r="141" customHeight="1" spans="4:4">
      <c r="D141" s="37"/>
    </row>
    <row r="142" customHeight="1" spans="4:4">
      <c r="D142" s="37"/>
    </row>
    <row r="143" customHeight="1" spans="4:4">
      <c r="D143" s="37"/>
    </row>
    <row r="144" customHeight="1" spans="4:4">
      <c r="D144" s="37"/>
    </row>
    <row r="145" customHeight="1" spans="4:4">
      <c r="D145" s="37"/>
    </row>
    <row r="146" customHeight="1" spans="4:4">
      <c r="D146" s="37"/>
    </row>
    <row r="147" customHeight="1" spans="4:4">
      <c r="D147" s="37"/>
    </row>
    <row r="148" customHeight="1" spans="4:4">
      <c r="D148" s="37"/>
    </row>
    <row r="149" customHeight="1" spans="4:4">
      <c r="D149" s="37"/>
    </row>
    <row r="150" customHeight="1" spans="4:4">
      <c r="D150" s="37"/>
    </row>
    <row r="151" customHeight="1" spans="4:4">
      <c r="D151" s="37"/>
    </row>
    <row r="152" customHeight="1" spans="4:4">
      <c r="D152" s="37"/>
    </row>
    <row r="153" customHeight="1" spans="4:4">
      <c r="D153" s="37"/>
    </row>
    <row r="154" customHeight="1" spans="4:4">
      <c r="D154" s="37"/>
    </row>
    <row r="155" customHeight="1" spans="4:4">
      <c r="D155" s="37"/>
    </row>
    <row r="156" customHeight="1" spans="4:4">
      <c r="D156" s="37"/>
    </row>
    <row r="157" customHeight="1" spans="4:4">
      <c r="D157" s="37"/>
    </row>
    <row r="158" customHeight="1" spans="4:4">
      <c r="D158" s="37"/>
    </row>
    <row r="159" customHeight="1" spans="4:4">
      <c r="D159" s="37"/>
    </row>
    <row r="160" customHeight="1" spans="4:4">
      <c r="D160" s="37"/>
    </row>
    <row r="161" customHeight="1" spans="4:4">
      <c r="D161" s="37"/>
    </row>
    <row r="162" customHeight="1" spans="4:4">
      <c r="D162" s="37"/>
    </row>
    <row r="163" customHeight="1" spans="4:4">
      <c r="D163" s="37"/>
    </row>
    <row r="164" customHeight="1" spans="4:4">
      <c r="D164" s="37"/>
    </row>
    <row r="165" customHeight="1" spans="4:4">
      <c r="D165" s="37"/>
    </row>
    <row r="166" customHeight="1" spans="4:4">
      <c r="D166" s="37"/>
    </row>
    <row r="167" customHeight="1" spans="4:4">
      <c r="D167" s="37"/>
    </row>
    <row r="168" customHeight="1" spans="4:4">
      <c r="D168" s="37"/>
    </row>
    <row r="169" customHeight="1" spans="4:4">
      <c r="D169" s="37"/>
    </row>
    <row r="170" customHeight="1" spans="4:4">
      <c r="D170" s="37"/>
    </row>
    <row r="171" customHeight="1" spans="4:4">
      <c r="D171" s="37"/>
    </row>
    <row r="172" customHeight="1" spans="4:4">
      <c r="D172" s="37"/>
    </row>
    <row r="173" customHeight="1" spans="4:4">
      <c r="D173" s="37"/>
    </row>
    <row r="174" customHeight="1" spans="4:4">
      <c r="D174" s="37"/>
    </row>
    <row r="175" customHeight="1" spans="4:4">
      <c r="D175" s="37"/>
    </row>
    <row r="176" customHeight="1" spans="4:4">
      <c r="D176" s="37"/>
    </row>
    <row r="177" customHeight="1" spans="4:4">
      <c r="D177" s="37"/>
    </row>
    <row r="178" customHeight="1" spans="4:4">
      <c r="D178" s="37"/>
    </row>
    <row r="179" customHeight="1" spans="4:4">
      <c r="D179" s="37"/>
    </row>
    <row r="180" customHeight="1" spans="4:4">
      <c r="D180" s="37"/>
    </row>
    <row r="181" customHeight="1" spans="4:4">
      <c r="D181" s="37"/>
    </row>
    <row r="182" customHeight="1" spans="4:4">
      <c r="D182" s="37"/>
    </row>
    <row r="183" customHeight="1" spans="4:4">
      <c r="D183" s="37"/>
    </row>
    <row r="184" customHeight="1" spans="4:4">
      <c r="D184" s="37"/>
    </row>
    <row r="185" customHeight="1" spans="4:4">
      <c r="D185" s="37"/>
    </row>
    <row r="186" customHeight="1" spans="4:4">
      <c r="D186" s="37"/>
    </row>
    <row r="187" customHeight="1" spans="4:4">
      <c r="D187" s="37"/>
    </row>
    <row r="188" customHeight="1" spans="4:4">
      <c r="D188" s="37"/>
    </row>
    <row r="189" customHeight="1" spans="4:4">
      <c r="D189" s="37"/>
    </row>
    <row r="190" customHeight="1" spans="4:4">
      <c r="D190" s="37"/>
    </row>
    <row r="191" customHeight="1" spans="4:4">
      <c r="D191" s="37"/>
    </row>
    <row r="192" customHeight="1" spans="4:4">
      <c r="D192" s="37"/>
    </row>
    <row r="193" customHeight="1" spans="4:4">
      <c r="D193" s="37"/>
    </row>
    <row r="194" customHeight="1" spans="4:4">
      <c r="D194" s="37"/>
    </row>
    <row r="195" customHeight="1" spans="4:4">
      <c r="D195" s="37"/>
    </row>
    <row r="196" customHeight="1" spans="4:4">
      <c r="D196" s="37"/>
    </row>
    <row r="197" customHeight="1" spans="4:4">
      <c r="D197" s="37"/>
    </row>
    <row r="198" customHeight="1" spans="4:4">
      <c r="D198" s="37"/>
    </row>
    <row r="199" customHeight="1" spans="4:4">
      <c r="D199" s="37"/>
    </row>
    <row r="200" customHeight="1" spans="4:4">
      <c r="D200" s="37"/>
    </row>
    <row r="201" customHeight="1" spans="4:4">
      <c r="D201" s="37"/>
    </row>
    <row r="202" customHeight="1" spans="4:4">
      <c r="D202" s="37"/>
    </row>
    <row r="203" customHeight="1" spans="4:4">
      <c r="D203" s="37"/>
    </row>
    <row r="204" customHeight="1" spans="4:4">
      <c r="D204" s="37"/>
    </row>
    <row r="205" customHeight="1" spans="4:4">
      <c r="D205" s="37"/>
    </row>
    <row r="206" customHeight="1" spans="4:4">
      <c r="D206" s="37"/>
    </row>
    <row r="207" customHeight="1" spans="4:4">
      <c r="D207" s="37"/>
    </row>
    <row r="208" customHeight="1" spans="4:4">
      <c r="D208" s="37"/>
    </row>
    <row r="209" customHeight="1" spans="4:4">
      <c r="D209" s="37"/>
    </row>
    <row r="210" customHeight="1" spans="4:4">
      <c r="D210" s="37"/>
    </row>
    <row r="211" customHeight="1" spans="4:4">
      <c r="D211" s="37"/>
    </row>
    <row r="212" customHeight="1" spans="4:4">
      <c r="D212" s="37"/>
    </row>
    <row r="213" customHeight="1" spans="4:4">
      <c r="D213" s="37"/>
    </row>
    <row r="214" customHeight="1" spans="4:4">
      <c r="D214" s="37"/>
    </row>
    <row r="215" customHeight="1" spans="4:4">
      <c r="D215" s="37"/>
    </row>
    <row r="216" customHeight="1" spans="4:4">
      <c r="D216" s="37"/>
    </row>
    <row r="217" customHeight="1" spans="4:4">
      <c r="D217" s="37"/>
    </row>
    <row r="218" customHeight="1" spans="4:4">
      <c r="D218" s="37"/>
    </row>
    <row r="219" customHeight="1" spans="4:4">
      <c r="D219" s="37"/>
    </row>
    <row r="220" customHeight="1" spans="4:4">
      <c r="D220" s="37"/>
    </row>
    <row r="221" customHeight="1" spans="4:4">
      <c r="D221" s="37"/>
    </row>
    <row r="222" customHeight="1" spans="4:4">
      <c r="D222" s="37"/>
    </row>
    <row r="223" customHeight="1" spans="4:4">
      <c r="D223" s="37"/>
    </row>
    <row r="224" customHeight="1" spans="4:4">
      <c r="D224" s="37"/>
    </row>
    <row r="225" customHeight="1" spans="4:4">
      <c r="D225" s="37"/>
    </row>
    <row r="226" customHeight="1" spans="4:4">
      <c r="D226" s="37"/>
    </row>
    <row r="227" customHeight="1" spans="4:4">
      <c r="D227" s="37"/>
    </row>
    <row r="228" customHeight="1" spans="4:4">
      <c r="D228" s="37"/>
    </row>
    <row r="229" customHeight="1" spans="4:4">
      <c r="D229" s="37"/>
    </row>
    <row r="230" customHeight="1" spans="4:4">
      <c r="D230" s="37"/>
    </row>
    <row r="231" customHeight="1" spans="4:4">
      <c r="D231" s="37"/>
    </row>
    <row r="232" customHeight="1" spans="4:4">
      <c r="D232" s="37"/>
    </row>
    <row r="233" customHeight="1" spans="4:4">
      <c r="D233" s="37"/>
    </row>
    <row r="234" customHeight="1" spans="4:4">
      <c r="D234" s="37"/>
    </row>
    <row r="235" customHeight="1" spans="4:4">
      <c r="D235" s="37"/>
    </row>
    <row r="236" customHeight="1" spans="4:4">
      <c r="D236" s="37"/>
    </row>
    <row r="237" customHeight="1" spans="4:4">
      <c r="D237" s="37"/>
    </row>
    <row r="238" customHeight="1" spans="4:4">
      <c r="D238" s="37"/>
    </row>
    <row r="239" customHeight="1" spans="4:4">
      <c r="D239" s="37"/>
    </row>
    <row r="240" customHeight="1" spans="4:4">
      <c r="D240" s="37"/>
    </row>
    <row r="241" customHeight="1" spans="4:4">
      <c r="D241" s="37"/>
    </row>
    <row r="242" customHeight="1" spans="4:4">
      <c r="D242" s="37"/>
    </row>
    <row r="243" customHeight="1" spans="4:4">
      <c r="D243" s="37"/>
    </row>
    <row r="244" customHeight="1" spans="4:4">
      <c r="D244" s="37"/>
    </row>
    <row r="245" customHeight="1" spans="4:4">
      <c r="D245" s="37"/>
    </row>
    <row r="246" customHeight="1" spans="4:4">
      <c r="D246" s="37"/>
    </row>
    <row r="247" customHeight="1" spans="4:4">
      <c r="D247" s="37"/>
    </row>
    <row r="248" customHeight="1" spans="4:4">
      <c r="D248" s="37"/>
    </row>
    <row r="249" customHeight="1" spans="4:4">
      <c r="D249" s="37"/>
    </row>
    <row r="250" customHeight="1" spans="4:4">
      <c r="D250" s="37"/>
    </row>
    <row r="251" customHeight="1" spans="4:4">
      <c r="D251" s="37"/>
    </row>
    <row r="252" customHeight="1" spans="4:4">
      <c r="D252" s="37"/>
    </row>
    <row r="253" customHeight="1" spans="4:4">
      <c r="D253" s="37"/>
    </row>
    <row r="254" customHeight="1" spans="4:4">
      <c r="D254" s="37"/>
    </row>
    <row r="255" customHeight="1" spans="4:4">
      <c r="D255" s="37"/>
    </row>
    <row r="256" customHeight="1" spans="4:4">
      <c r="D256" s="37"/>
    </row>
    <row r="257" customHeight="1" spans="4:4">
      <c r="D257" s="37"/>
    </row>
    <row r="258" customHeight="1" spans="4:4">
      <c r="D258" s="37"/>
    </row>
    <row r="259" customHeight="1" spans="4:4">
      <c r="D259" s="37"/>
    </row>
    <row r="260" customHeight="1" spans="4:4">
      <c r="D260" s="37"/>
    </row>
    <row r="261" customHeight="1" spans="4:4">
      <c r="D261" s="37"/>
    </row>
    <row r="262" customHeight="1" spans="4:4">
      <c r="D262" s="37"/>
    </row>
    <row r="263" customHeight="1" spans="4:4">
      <c r="D263" s="37"/>
    </row>
    <row r="264" customHeight="1" spans="4:4">
      <c r="D264" s="37"/>
    </row>
    <row r="265" customHeight="1" spans="4:4">
      <c r="D265" s="37"/>
    </row>
    <row r="266" customHeight="1" spans="4:4">
      <c r="D266" s="37"/>
    </row>
    <row r="267" customHeight="1" spans="4:4">
      <c r="D267" s="37"/>
    </row>
    <row r="268" customHeight="1" spans="4:4">
      <c r="D268" s="37"/>
    </row>
    <row r="269" customHeight="1" spans="4:4">
      <c r="D269" s="37"/>
    </row>
    <row r="270" customHeight="1" spans="4:4">
      <c r="D270" s="37"/>
    </row>
    <row r="271" customHeight="1" spans="4:4">
      <c r="D271" s="37"/>
    </row>
    <row r="272" customHeight="1" spans="4:4">
      <c r="D272" s="37"/>
    </row>
    <row r="273" customHeight="1" spans="4:4">
      <c r="D273" s="37"/>
    </row>
    <row r="274" customHeight="1" spans="4:4">
      <c r="D274" s="37"/>
    </row>
    <row r="275" customHeight="1" spans="4:4">
      <c r="D275" s="37"/>
    </row>
    <row r="276" customHeight="1" spans="4:4">
      <c r="D276" s="37"/>
    </row>
    <row r="277" customHeight="1" spans="4:4">
      <c r="D277" s="37"/>
    </row>
    <row r="278" customHeight="1" spans="4:4">
      <c r="D278" s="37"/>
    </row>
    <row r="279" customHeight="1" spans="4:4">
      <c r="D279" s="37"/>
    </row>
    <row r="280" customHeight="1" spans="4:4">
      <c r="D280" s="37"/>
    </row>
    <row r="281" customHeight="1" spans="4:4">
      <c r="D281" s="37"/>
    </row>
    <row r="282" customHeight="1" spans="4:4">
      <c r="D282" s="37"/>
    </row>
    <row r="283" customHeight="1" spans="4:4">
      <c r="D283" s="37"/>
    </row>
    <row r="284" customHeight="1" spans="4:4">
      <c r="D284" s="37"/>
    </row>
    <row r="285" customHeight="1" spans="4:4">
      <c r="D285" s="37"/>
    </row>
    <row r="286" customHeight="1" spans="4:4">
      <c r="D286" s="37"/>
    </row>
    <row r="287" customHeight="1" spans="4:4">
      <c r="D287" s="37"/>
    </row>
    <row r="288" customHeight="1" spans="4:4">
      <c r="D288" s="37"/>
    </row>
    <row r="289" customHeight="1" spans="4:4">
      <c r="D289" s="37"/>
    </row>
    <row r="290" customHeight="1" spans="4:4">
      <c r="D290" s="37"/>
    </row>
    <row r="291" customHeight="1" spans="4:4">
      <c r="D291" s="37"/>
    </row>
    <row r="292" customHeight="1" spans="4:4">
      <c r="D292" s="37"/>
    </row>
    <row r="293" customHeight="1" spans="4:4">
      <c r="D293" s="37"/>
    </row>
    <row r="294" customHeight="1" spans="4:4">
      <c r="D294" s="37"/>
    </row>
    <row r="295" customHeight="1" spans="4:4">
      <c r="D295" s="37"/>
    </row>
    <row r="296" customHeight="1" spans="4:4">
      <c r="D296" s="37"/>
    </row>
    <row r="297" customHeight="1" spans="4:4">
      <c r="D297" s="37"/>
    </row>
    <row r="298" customHeight="1" spans="4:4">
      <c r="D298" s="37"/>
    </row>
    <row r="299" customHeight="1" spans="4:4">
      <c r="D299" s="37"/>
    </row>
    <row r="300" customHeight="1" spans="4:4">
      <c r="D300" s="37"/>
    </row>
    <row r="301" customHeight="1" spans="4:4">
      <c r="D301" s="37"/>
    </row>
    <row r="302" customHeight="1" spans="4:4">
      <c r="D302" s="37"/>
    </row>
    <row r="303" customHeight="1" spans="4:4">
      <c r="D303" s="37"/>
    </row>
    <row r="304" customHeight="1" spans="4:4">
      <c r="D304" s="37"/>
    </row>
    <row r="305" customHeight="1" spans="4:4">
      <c r="D305" s="37"/>
    </row>
    <row r="306" customHeight="1" spans="4:4">
      <c r="D306" s="37"/>
    </row>
    <row r="307" customHeight="1" spans="4:4">
      <c r="D307" s="37"/>
    </row>
    <row r="308" customHeight="1" spans="4:4">
      <c r="D308" s="37"/>
    </row>
    <row r="309" customHeight="1" spans="4:4">
      <c r="D309" s="37"/>
    </row>
    <row r="310" customHeight="1" spans="4:4">
      <c r="D310" s="37"/>
    </row>
    <row r="311" customHeight="1" spans="4:4">
      <c r="D311" s="37"/>
    </row>
    <row r="312" customHeight="1" spans="4:4">
      <c r="D312" s="37"/>
    </row>
    <row r="313" customHeight="1" spans="4:4">
      <c r="D313" s="37"/>
    </row>
    <row r="314" customHeight="1" spans="4:4">
      <c r="D314" s="37"/>
    </row>
    <row r="315" customHeight="1" spans="4:4">
      <c r="D315" s="37"/>
    </row>
    <row r="316" customHeight="1" spans="4:4">
      <c r="D316" s="37"/>
    </row>
    <row r="317" customHeight="1" spans="4:4">
      <c r="D317" s="37"/>
    </row>
    <row r="318" customHeight="1" spans="4:4">
      <c r="D318" s="37"/>
    </row>
    <row r="319" customHeight="1" spans="4:4">
      <c r="D319" s="37"/>
    </row>
    <row r="320" customHeight="1" spans="4:4">
      <c r="D320" s="37"/>
    </row>
    <row r="321" customHeight="1" spans="4:4">
      <c r="D321" s="37"/>
    </row>
    <row r="322" customHeight="1" spans="4:4">
      <c r="D322" s="37"/>
    </row>
    <row r="323" customHeight="1" spans="4:4">
      <c r="D323" s="37"/>
    </row>
    <row r="324" customHeight="1" spans="4:4">
      <c r="D324" s="37"/>
    </row>
    <row r="325" customHeight="1" spans="4:4">
      <c r="D325" s="37"/>
    </row>
    <row r="326" customHeight="1" spans="4:4">
      <c r="D326" s="37"/>
    </row>
    <row r="327" customHeight="1" spans="4:4">
      <c r="D327" s="37"/>
    </row>
    <row r="328" customHeight="1" spans="4:4">
      <c r="D328" s="37"/>
    </row>
    <row r="329" customHeight="1" spans="4:4">
      <c r="D329" s="37"/>
    </row>
    <row r="330" customHeight="1" spans="4:4">
      <c r="D330" s="37"/>
    </row>
    <row r="331" customHeight="1" spans="4:4">
      <c r="D331" s="37"/>
    </row>
    <row r="332" customHeight="1" spans="4:4">
      <c r="D332" s="37"/>
    </row>
    <row r="333" customHeight="1" spans="4:4">
      <c r="D333" s="37"/>
    </row>
    <row r="334" customHeight="1" spans="4:4">
      <c r="D334" s="37"/>
    </row>
    <row r="335" customHeight="1" spans="4:4">
      <c r="D335" s="37"/>
    </row>
    <row r="336" customHeight="1" spans="4:4">
      <c r="D336" s="37"/>
    </row>
    <row r="337" customHeight="1" spans="4:4">
      <c r="D337" s="37"/>
    </row>
    <row r="338" customHeight="1" spans="4:4">
      <c r="D338" s="37"/>
    </row>
    <row r="339" customHeight="1" spans="4:4">
      <c r="D339" s="37"/>
    </row>
    <row r="340" customHeight="1" spans="4:4">
      <c r="D340" s="37"/>
    </row>
    <row r="341" customHeight="1" spans="4:4">
      <c r="D341" s="37"/>
    </row>
    <row r="342" customHeight="1" spans="4:4">
      <c r="D342" s="37"/>
    </row>
    <row r="343" customHeight="1" spans="4:4">
      <c r="D343" s="37"/>
    </row>
    <row r="344" customHeight="1" spans="4:4">
      <c r="D344" s="37"/>
    </row>
    <row r="345" customHeight="1" spans="4:4">
      <c r="D345" s="37"/>
    </row>
    <row r="346" customHeight="1" spans="4:4">
      <c r="D346" s="37"/>
    </row>
    <row r="347" customHeight="1" spans="4:4">
      <c r="D347" s="37"/>
    </row>
    <row r="348" customHeight="1" spans="4:4">
      <c r="D348" s="37"/>
    </row>
    <row r="349" customHeight="1" spans="4:4">
      <c r="D349" s="37"/>
    </row>
    <row r="350" customHeight="1" spans="4:4">
      <c r="D350" s="37"/>
    </row>
    <row r="351" customHeight="1" spans="4:4">
      <c r="D351" s="37"/>
    </row>
    <row r="352" customHeight="1" spans="4:4">
      <c r="D352" s="37"/>
    </row>
    <row r="353" customHeight="1" spans="4:4">
      <c r="D353" s="37"/>
    </row>
    <row r="354" customHeight="1" spans="4:4">
      <c r="D354" s="37"/>
    </row>
    <row r="355" customHeight="1" spans="4:4">
      <c r="D355" s="37"/>
    </row>
    <row r="356" customHeight="1" spans="4:4">
      <c r="D356" s="37"/>
    </row>
    <row r="357" customHeight="1" spans="4:4">
      <c r="D357" s="37"/>
    </row>
    <row r="358" customHeight="1" spans="4:4">
      <c r="D358" s="37"/>
    </row>
    <row r="359" customHeight="1" spans="4:4">
      <c r="D359" s="37"/>
    </row>
    <row r="360" customHeight="1" spans="4:4">
      <c r="D360" s="37"/>
    </row>
    <row r="361" customHeight="1" spans="4:4">
      <c r="D361" s="37"/>
    </row>
    <row r="362" customHeight="1" spans="4:4">
      <c r="D362" s="37"/>
    </row>
    <row r="363" customHeight="1" spans="4:4">
      <c r="D363" s="37"/>
    </row>
    <row r="364" customHeight="1" spans="4:4">
      <c r="D364" s="37"/>
    </row>
    <row r="365" customHeight="1" spans="4:4">
      <c r="D365" s="37"/>
    </row>
    <row r="366" customHeight="1" spans="4:4">
      <c r="D366" s="37"/>
    </row>
    <row r="367" customHeight="1" spans="4:4">
      <c r="D367" s="37"/>
    </row>
    <row r="368" customHeight="1" spans="4:4">
      <c r="D368" s="37"/>
    </row>
    <row r="369" customHeight="1" spans="4:4">
      <c r="D369" s="37"/>
    </row>
    <row r="370" customHeight="1" spans="4:4">
      <c r="D370" s="37"/>
    </row>
    <row r="371" customHeight="1" spans="4:4">
      <c r="D371" s="37"/>
    </row>
    <row r="372" customHeight="1" spans="4:4">
      <c r="D372" s="37"/>
    </row>
    <row r="373" customHeight="1" spans="4:4">
      <c r="D373" s="37"/>
    </row>
    <row r="374" customHeight="1" spans="4:4">
      <c r="D374" s="37"/>
    </row>
    <row r="375" customHeight="1" spans="4:4">
      <c r="D375" s="37"/>
    </row>
    <row r="376" customHeight="1" spans="4:4">
      <c r="D376" s="37"/>
    </row>
    <row r="377" customHeight="1" spans="4:4">
      <c r="D377" s="37"/>
    </row>
    <row r="378" customHeight="1" spans="4:4">
      <c r="D378" s="37"/>
    </row>
    <row r="379" customHeight="1" spans="4:4">
      <c r="D379" s="37"/>
    </row>
    <row r="380" customHeight="1" spans="4:4">
      <c r="D380" s="37"/>
    </row>
    <row r="381" customHeight="1" spans="4:4">
      <c r="D381" s="37"/>
    </row>
    <row r="382" customHeight="1" spans="4:4">
      <c r="D382" s="37"/>
    </row>
    <row r="383" customHeight="1" spans="4:4">
      <c r="D383" s="37"/>
    </row>
    <row r="384" customHeight="1" spans="4:4">
      <c r="D384" s="37"/>
    </row>
    <row r="385" customHeight="1" spans="4:4">
      <c r="D385" s="37"/>
    </row>
    <row r="386" customHeight="1" spans="4:4">
      <c r="D386" s="37"/>
    </row>
    <row r="387" customHeight="1" spans="4:4">
      <c r="D387" s="37"/>
    </row>
    <row r="388" customHeight="1" spans="4:4">
      <c r="D388" s="37"/>
    </row>
    <row r="389" customHeight="1" spans="4:4">
      <c r="D389" s="37"/>
    </row>
    <row r="390" customHeight="1" spans="4:4">
      <c r="D390" s="37"/>
    </row>
    <row r="391" customHeight="1" spans="4:4">
      <c r="D391" s="37"/>
    </row>
    <row r="392" customHeight="1" spans="4:4">
      <c r="D392" s="37"/>
    </row>
    <row r="393" customHeight="1" spans="4:4">
      <c r="D393" s="37"/>
    </row>
    <row r="394" customHeight="1" spans="4:4">
      <c r="D394" s="37"/>
    </row>
    <row r="395" customHeight="1" spans="4:4">
      <c r="D395" s="37"/>
    </row>
    <row r="396" customHeight="1" spans="4:4">
      <c r="D396" s="37"/>
    </row>
    <row r="397" customHeight="1" spans="4:4">
      <c r="D397" s="37"/>
    </row>
    <row r="398" customHeight="1" spans="4:4">
      <c r="D398" s="37"/>
    </row>
    <row r="399" customHeight="1" spans="4:4">
      <c r="D399" s="37"/>
    </row>
    <row r="400" customHeight="1" spans="4:4">
      <c r="D400" s="37"/>
    </row>
    <row r="401" customHeight="1" spans="4:4">
      <c r="D401" s="37"/>
    </row>
    <row r="402" customHeight="1" spans="4:4">
      <c r="D402" s="37"/>
    </row>
    <row r="403" customHeight="1" spans="4:4">
      <c r="D403" s="37"/>
    </row>
    <row r="404" customHeight="1" spans="4:4">
      <c r="D404" s="37"/>
    </row>
    <row r="405" customHeight="1" spans="4:4">
      <c r="D405" s="37"/>
    </row>
    <row r="406" customHeight="1" spans="4:4">
      <c r="D406" s="37"/>
    </row>
    <row r="407" customHeight="1" spans="4:4">
      <c r="D407" s="37"/>
    </row>
    <row r="408" customHeight="1" spans="4:4">
      <c r="D408" s="37"/>
    </row>
    <row r="409" customHeight="1" spans="4:4">
      <c r="D409" s="37"/>
    </row>
    <row r="410" customHeight="1" spans="4:4">
      <c r="D410" s="37"/>
    </row>
    <row r="411" customHeight="1" spans="4:4">
      <c r="D411" s="37"/>
    </row>
    <row r="412" customHeight="1" spans="4:4">
      <c r="D412" s="37"/>
    </row>
    <row r="413" customHeight="1" spans="4:4">
      <c r="D413" s="37"/>
    </row>
    <row r="414" customHeight="1" spans="4:4">
      <c r="D414" s="37"/>
    </row>
    <row r="415" customHeight="1" spans="4:4">
      <c r="D415" s="37"/>
    </row>
    <row r="416" customHeight="1" spans="4:4">
      <c r="D416" s="37"/>
    </row>
    <row r="417" customHeight="1" spans="4:4">
      <c r="D417" s="37"/>
    </row>
    <row r="418" customHeight="1" spans="4:4">
      <c r="D418" s="37"/>
    </row>
    <row r="419" customHeight="1" spans="4:4">
      <c r="D419" s="37"/>
    </row>
    <row r="420" customHeight="1" spans="4:4">
      <c r="D420" s="37"/>
    </row>
    <row r="421" customHeight="1" spans="4:4">
      <c r="D421" s="37"/>
    </row>
    <row r="422" customHeight="1" spans="4:4">
      <c r="D422" s="37"/>
    </row>
    <row r="423" customHeight="1" spans="4:4">
      <c r="D423" s="37"/>
    </row>
    <row r="424" customHeight="1" spans="4:4">
      <c r="D424" s="37"/>
    </row>
    <row r="425" customHeight="1" spans="4:4">
      <c r="D425" s="37"/>
    </row>
    <row r="426" customHeight="1" spans="4:4">
      <c r="D426" s="37"/>
    </row>
    <row r="427" customHeight="1" spans="4:4">
      <c r="D427" s="37"/>
    </row>
    <row r="428" customHeight="1" spans="4:4">
      <c r="D428" s="37"/>
    </row>
    <row r="429" customHeight="1" spans="4:4">
      <c r="D429" s="37"/>
    </row>
    <row r="430" customHeight="1" spans="4:4">
      <c r="D430" s="37"/>
    </row>
    <row r="431" customHeight="1" spans="4:4">
      <c r="D431" s="37"/>
    </row>
    <row r="432" customHeight="1" spans="4:4">
      <c r="D432" s="37"/>
    </row>
    <row r="433" customHeight="1" spans="4:4">
      <c r="D433" s="37"/>
    </row>
    <row r="434" customHeight="1" spans="4:4">
      <c r="D434" s="37"/>
    </row>
    <row r="435" customHeight="1" spans="4:4">
      <c r="D435" s="37"/>
    </row>
    <row r="436" customHeight="1" spans="4:4">
      <c r="D436" s="37"/>
    </row>
    <row r="437" customHeight="1" spans="4:4">
      <c r="D437" s="37"/>
    </row>
    <row r="438" customHeight="1" spans="4:4">
      <c r="D438" s="37"/>
    </row>
    <row r="439" customHeight="1" spans="4:4">
      <c r="D439" s="37"/>
    </row>
    <row r="440" customHeight="1" spans="4:4">
      <c r="D440" s="37"/>
    </row>
    <row r="441" customHeight="1" spans="4:4">
      <c r="D441" s="37"/>
    </row>
    <row r="442" customHeight="1" spans="4:4">
      <c r="D442" s="37"/>
    </row>
    <row r="443" customHeight="1" spans="4:4">
      <c r="D443" s="37"/>
    </row>
    <row r="444" customHeight="1" spans="4:4">
      <c r="D444" s="37"/>
    </row>
    <row r="445" customHeight="1" spans="4:4">
      <c r="D445" s="37"/>
    </row>
    <row r="446" customHeight="1" spans="4:4">
      <c r="D446" s="37"/>
    </row>
    <row r="447" customHeight="1" spans="4:4">
      <c r="D447" s="37"/>
    </row>
    <row r="448" customHeight="1" spans="4:4">
      <c r="D448" s="37"/>
    </row>
    <row r="449" customHeight="1" spans="4:4">
      <c r="D449" s="37"/>
    </row>
    <row r="450" customHeight="1" spans="4:4">
      <c r="D450" s="37"/>
    </row>
    <row r="451" customHeight="1" spans="4:4">
      <c r="D451" s="37"/>
    </row>
    <row r="452" customHeight="1" spans="4:4">
      <c r="D452" s="37"/>
    </row>
    <row r="453" customHeight="1" spans="4:4">
      <c r="D453" s="37"/>
    </row>
    <row r="454" customHeight="1" spans="4:4">
      <c r="D454" s="37"/>
    </row>
    <row r="455" customHeight="1" spans="4:4">
      <c r="D455" s="37"/>
    </row>
    <row r="456" customHeight="1" spans="4:4">
      <c r="D456" s="37"/>
    </row>
    <row r="457" customHeight="1" spans="4:4">
      <c r="D457" s="37"/>
    </row>
    <row r="458" customHeight="1" spans="4:4">
      <c r="D458" s="37"/>
    </row>
    <row r="459" customHeight="1" spans="4:4">
      <c r="D459" s="37"/>
    </row>
    <row r="460" customHeight="1" spans="4:4">
      <c r="D460" s="37"/>
    </row>
    <row r="461" customHeight="1" spans="4:4">
      <c r="D461" s="37"/>
    </row>
    <row r="462" customHeight="1" spans="4:4">
      <c r="D462" s="37"/>
    </row>
    <row r="463" customHeight="1" spans="4:4">
      <c r="D463" s="37"/>
    </row>
    <row r="464" customHeight="1" spans="4:4">
      <c r="D464" s="37"/>
    </row>
    <row r="465" customHeight="1" spans="4:4">
      <c r="D465" s="37"/>
    </row>
    <row r="466" customHeight="1" spans="4:4">
      <c r="D466" s="37"/>
    </row>
    <row r="467" customHeight="1" spans="4:4">
      <c r="D467" s="37"/>
    </row>
    <row r="468" customHeight="1" spans="4:4">
      <c r="D468" s="37"/>
    </row>
    <row r="469" customHeight="1" spans="4:4">
      <c r="D469" s="37"/>
    </row>
    <row r="470" customHeight="1" spans="4:4">
      <c r="D470" s="37"/>
    </row>
    <row r="471" customHeight="1" spans="4:4">
      <c r="D471" s="37"/>
    </row>
    <row r="472" customHeight="1" spans="4:4">
      <c r="D472" s="37"/>
    </row>
    <row r="473" customHeight="1" spans="4:4">
      <c r="D473" s="37"/>
    </row>
    <row r="474" customHeight="1" spans="4:4">
      <c r="D474" s="37"/>
    </row>
    <row r="475" customHeight="1" spans="4:4">
      <c r="D475" s="37"/>
    </row>
    <row r="476" customHeight="1" spans="4:4">
      <c r="D476" s="37"/>
    </row>
    <row r="477" customHeight="1" spans="4:4">
      <c r="D477" s="37"/>
    </row>
    <row r="478" customHeight="1" spans="4:4">
      <c r="D478" s="37"/>
    </row>
    <row r="479" customHeight="1" spans="4:4">
      <c r="D479" s="37"/>
    </row>
    <row r="480" customHeight="1" spans="4:4">
      <c r="D480" s="37"/>
    </row>
    <row r="481" customHeight="1" spans="4:4">
      <c r="D481" s="37"/>
    </row>
    <row r="482" customHeight="1" spans="4:4">
      <c r="D482" s="37"/>
    </row>
    <row r="483" customHeight="1" spans="4:4">
      <c r="D483" s="37"/>
    </row>
    <row r="484" customHeight="1" spans="4:4">
      <c r="D484" s="37"/>
    </row>
    <row r="485" customHeight="1" spans="4:4">
      <c r="D485" s="37"/>
    </row>
    <row r="486" customHeight="1" spans="4:4">
      <c r="D486" s="37"/>
    </row>
    <row r="487" customHeight="1" spans="4:4">
      <c r="D487" s="37"/>
    </row>
    <row r="488" customHeight="1" spans="4:4">
      <c r="D488" s="37"/>
    </row>
    <row r="489" customHeight="1" spans="4:4">
      <c r="D489" s="37"/>
    </row>
    <row r="490" customHeight="1" spans="4:4">
      <c r="D490" s="37"/>
    </row>
    <row r="491" customHeight="1" spans="4:4">
      <c r="D491" s="37"/>
    </row>
    <row r="492" customHeight="1" spans="4:4">
      <c r="D492" s="37"/>
    </row>
    <row r="493" customHeight="1" spans="4:4">
      <c r="D493" s="37"/>
    </row>
    <row r="494" customHeight="1" spans="4:4">
      <c r="D494" s="37"/>
    </row>
    <row r="495" customHeight="1" spans="4:4">
      <c r="D495" s="37"/>
    </row>
    <row r="496" customHeight="1" spans="4:4">
      <c r="D496" s="37"/>
    </row>
    <row r="497" customHeight="1" spans="4:4">
      <c r="D497" s="37"/>
    </row>
    <row r="498" customHeight="1" spans="4:4">
      <c r="D498" s="37"/>
    </row>
    <row r="499" customHeight="1" spans="4:4">
      <c r="D499" s="37"/>
    </row>
    <row r="500" customHeight="1" spans="4:4">
      <c r="D500" s="37"/>
    </row>
    <row r="501" customHeight="1" spans="4:4">
      <c r="D501" s="37"/>
    </row>
    <row r="502" customHeight="1" spans="4:4">
      <c r="D502" s="37"/>
    </row>
    <row r="503" customHeight="1" spans="4:4">
      <c r="D503" s="37"/>
    </row>
    <row r="504" customHeight="1" spans="4:4">
      <c r="D504" s="37"/>
    </row>
    <row r="505" customHeight="1" spans="4:4">
      <c r="D505" s="37"/>
    </row>
    <row r="506" customHeight="1" spans="4:4">
      <c r="D506" s="37"/>
    </row>
    <row r="507" customHeight="1" spans="4:4">
      <c r="D507" s="37"/>
    </row>
    <row r="508" customHeight="1" spans="4:4">
      <c r="D508" s="37"/>
    </row>
    <row r="509" customHeight="1" spans="4:4">
      <c r="D509" s="37"/>
    </row>
    <row r="510" customHeight="1" spans="4:4">
      <c r="D510" s="37"/>
    </row>
    <row r="511" customHeight="1" spans="4:4">
      <c r="D511" s="37"/>
    </row>
    <row r="512" customHeight="1" spans="4:4">
      <c r="D512" s="37"/>
    </row>
    <row r="513" customHeight="1" spans="4:4">
      <c r="D513" s="37"/>
    </row>
    <row r="514" customHeight="1" spans="4:4">
      <c r="D514" s="37"/>
    </row>
    <row r="515" customHeight="1" spans="4:4">
      <c r="D515" s="37"/>
    </row>
    <row r="516" customHeight="1" spans="4:4">
      <c r="D516" s="37"/>
    </row>
    <row r="517" customHeight="1" spans="4:4">
      <c r="D517" s="37"/>
    </row>
    <row r="518" customHeight="1" spans="4:4">
      <c r="D518" s="37"/>
    </row>
    <row r="519" customHeight="1" spans="4:4">
      <c r="D519" s="37"/>
    </row>
    <row r="520" customHeight="1" spans="4:4">
      <c r="D520" s="37"/>
    </row>
    <row r="521" customHeight="1" spans="4:4">
      <c r="D521" s="37"/>
    </row>
    <row r="522" customHeight="1" spans="4:4">
      <c r="D522" s="37"/>
    </row>
    <row r="523" customHeight="1" spans="4:4">
      <c r="D523" s="37"/>
    </row>
    <row r="524" customHeight="1" spans="4:4">
      <c r="D524" s="37"/>
    </row>
    <row r="525" customHeight="1" spans="4:4">
      <c r="D525" s="37"/>
    </row>
    <row r="526" customHeight="1" spans="4:4">
      <c r="D526" s="37"/>
    </row>
    <row r="527" customHeight="1" spans="4:4">
      <c r="D527" s="37"/>
    </row>
    <row r="528" customHeight="1" spans="4:4">
      <c r="D528" s="37"/>
    </row>
    <row r="529" customHeight="1" spans="4:4">
      <c r="D529" s="37"/>
    </row>
    <row r="530" customHeight="1" spans="4:4">
      <c r="D530" s="37"/>
    </row>
    <row r="531" customHeight="1" spans="4:4">
      <c r="D531" s="37"/>
    </row>
    <row r="532" customHeight="1" spans="4:4">
      <c r="D532" s="37"/>
    </row>
    <row r="533" customHeight="1" spans="4:4">
      <c r="D533" s="37"/>
    </row>
    <row r="534" customHeight="1" spans="4:4">
      <c r="D534" s="37"/>
    </row>
    <row r="535" customHeight="1" spans="4:4">
      <c r="D535" s="37"/>
    </row>
    <row r="536" customHeight="1" spans="4:4">
      <c r="D536" s="37"/>
    </row>
    <row r="537" customHeight="1" spans="4:4">
      <c r="D537" s="37"/>
    </row>
    <row r="538" customHeight="1" spans="4:4">
      <c r="D538" s="37"/>
    </row>
    <row r="539" customHeight="1" spans="4:4">
      <c r="D539" s="37"/>
    </row>
    <row r="540" customHeight="1" spans="4:4">
      <c r="D540" s="37"/>
    </row>
    <row r="541" customHeight="1" spans="4:4">
      <c r="D541" s="37"/>
    </row>
    <row r="542" customHeight="1" spans="4:4">
      <c r="D542" s="37"/>
    </row>
    <row r="543" customHeight="1" spans="4:4">
      <c r="D543" s="37"/>
    </row>
    <row r="544" customHeight="1" spans="4:4">
      <c r="D544" s="37"/>
    </row>
    <row r="545" customHeight="1" spans="4:4">
      <c r="D545" s="37"/>
    </row>
    <row r="546" customHeight="1" spans="4:4">
      <c r="D546" s="37"/>
    </row>
    <row r="547" customHeight="1" spans="4:4">
      <c r="D547" s="37"/>
    </row>
    <row r="548" customHeight="1" spans="4:4">
      <c r="D548" s="37"/>
    </row>
    <row r="549" customHeight="1" spans="4:4">
      <c r="D549" s="37"/>
    </row>
    <row r="550" customHeight="1" spans="4:4">
      <c r="D550" s="37"/>
    </row>
    <row r="551" customHeight="1" spans="4:4">
      <c r="D551" s="37"/>
    </row>
    <row r="552" customHeight="1" spans="4:4">
      <c r="D552" s="37"/>
    </row>
    <row r="553" customHeight="1" spans="4:4">
      <c r="D553" s="37"/>
    </row>
    <row r="554" customHeight="1" spans="4:4">
      <c r="D554" s="37"/>
    </row>
    <row r="555" customHeight="1" spans="4:4">
      <c r="D555" s="37"/>
    </row>
    <row r="556" customHeight="1" spans="4:4">
      <c r="D556" s="37"/>
    </row>
    <row r="557" customHeight="1" spans="4:4">
      <c r="D557" s="37"/>
    </row>
    <row r="558" customHeight="1" spans="4:4">
      <c r="D558" s="37"/>
    </row>
    <row r="559" customHeight="1" spans="4:4">
      <c r="D559" s="37"/>
    </row>
    <row r="560" customHeight="1" spans="4:4">
      <c r="D560" s="37"/>
    </row>
    <row r="561" customHeight="1" spans="4:4">
      <c r="D561" s="37"/>
    </row>
    <row r="562" customHeight="1" spans="4:4">
      <c r="D562" s="37"/>
    </row>
    <row r="563" customHeight="1" spans="4:4">
      <c r="D563" s="37"/>
    </row>
    <row r="564" customHeight="1" spans="4:4">
      <c r="D564" s="37"/>
    </row>
    <row r="565" customHeight="1" spans="4:4">
      <c r="D565" s="37"/>
    </row>
    <row r="566" customHeight="1" spans="4:4">
      <c r="D566" s="37"/>
    </row>
    <row r="567" customHeight="1" spans="4:4">
      <c r="D567" s="37"/>
    </row>
    <row r="568" customHeight="1" spans="4:4">
      <c r="D568" s="37"/>
    </row>
    <row r="569" customHeight="1" spans="4:4">
      <c r="D569" s="37"/>
    </row>
    <row r="570" customHeight="1" spans="4:4">
      <c r="D570" s="37"/>
    </row>
    <row r="571" customHeight="1" spans="4:4">
      <c r="D571" s="37"/>
    </row>
    <row r="572" customHeight="1" spans="4:4">
      <c r="D572" s="37"/>
    </row>
    <row r="573" customHeight="1" spans="4:4">
      <c r="D573" s="37"/>
    </row>
    <row r="574" customHeight="1" spans="4:4">
      <c r="D574" s="37"/>
    </row>
    <row r="575" customHeight="1" spans="4:4">
      <c r="D575" s="37"/>
    </row>
    <row r="576" customHeight="1" spans="4:4">
      <c r="D576" s="37"/>
    </row>
    <row r="577" customHeight="1" spans="4:4">
      <c r="D577" s="37"/>
    </row>
    <row r="578" customHeight="1" spans="4:4">
      <c r="D578" s="37"/>
    </row>
    <row r="579" customHeight="1" spans="4:4">
      <c r="D579" s="37"/>
    </row>
    <row r="580" customHeight="1" spans="4:4">
      <c r="D580" s="37"/>
    </row>
    <row r="581" customHeight="1" spans="4:4">
      <c r="D581" s="37"/>
    </row>
    <row r="582" customHeight="1" spans="4:4">
      <c r="D582" s="37"/>
    </row>
    <row r="583" customHeight="1" spans="4:4">
      <c r="D583" s="37"/>
    </row>
    <row r="584" customHeight="1" spans="4:4">
      <c r="D584" s="37"/>
    </row>
    <row r="585" customHeight="1" spans="4:4">
      <c r="D585" s="37"/>
    </row>
    <row r="586" customHeight="1" spans="4:4">
      <c r="D586" s="37"/>
    </row>
    <row r="587" customHeight="1" spans="4:4">
      <c r="D587" s="37"/>
    </row>
    <row r="588" customHeight="1" spans="4:4">
      <c r="D588" s="37"/>
    </row>
    <row r="589" customHeight="1" spans="4:4">
      <c r="D589" s="37"/>
    </row>
    <row r="590" customHeight="1" spans="4:4">
      <c r="D590" s="37"/>
    </row>
    <row r="591" customHeight="1" spans="4:4">
      <c r="D591" s="37"/>
    </row>
    <row r="592" customHeight="1" spans="4:4">
      <c r="D592" s="37"/>
    </row>
    <row r="593" customHeight="1" spans="4:4">
      <c r="D593" s="37"/>
    </row>
    <row r="594" customHeight="1" spans="4:4">
      <c r="D594" s="37"/>
    </row>
    <row r="595" customHeight="1" spans="4:4">
      <c r="D595" s="37"/>
    </row>
    <row r="596" customHeight="1" spans="4:4">
      <c r="D596" s="37"/>
    </row>
    <row r="597" customHeight="1" spans="4:4">
      <c r="D597" s="37"/>
    </row>
    <row r="598" customHeight="1" spans="4:4">
      <c r="D598" s="37"/>
    </row>
    <row r="599" customHeight="1" spans="4:4">
      <c r="D599" s="37"/>
    </row>
    <row r="600" customHeight="1" spans="4:4">
      <c r="D600" s="37"/>
    </row>
    <row r="601" customHeight="1" spans="4:4">
      <c r="D601" s="37"/>
    </row>
    <row r="602" customHeight="1" spans="4:4">
      <c r="D602" s="37"/>
    </row>
    <row r="603" customHeight="1" spans="4:4">
      <c r="D603" s="37"/>
    </row>
    <row r="604" customHeight="1" spans="4:4">
      <c r="D604" s="37"/>
    </row>
    <row r="605" customHeight="1" spans="4:4">
      <c r="D605" s="37"/>
    </row>
    <row r="606" customHeight="1" spans="4:4">
      <c r="D606" s="37"/>
    </row>
    <row r="607" customHeight="1" spans="4:4">
      <c r="D607" s="37"/>
    </row>
    <row r="608" customHeight="1" spans="4:4">
      <c r="D608" s="37"/>
    </row>
    <row r="609" customHeight="1" spans="4:4">
      <c r="D609" s="37"/>
    </row>
    <row r="610" customHeight="1" spans="4:4">
      <c r="D610" s="37"/>
    </row>
    <row r="611" customHeight="1" spans="4:4">
      <c r="D611" s="37"/>
    </row>
    <row r="612" customHeight="1" spans="4:4">
      <c r="D612" s="37"/>
    </row>
    <row r="613" customHeight="1" spans="4:4">
      <c r="D613" s="37"/>
    </row>
    <row r="614" customHeight="1" spans="4:4">
      <c r="D614" s="37"/>
    </row>
    <row r="615" customHeight="1" spans="4:4">
      <c r="D615" s="37"/>
    </row>
    <row r="616" customHeight="1" spans="4:4">
      <c r="D616" s="37"/>
    </row>
    <row r="617" customHeight="1" spans="4:4">
      <c r="D617" s="37"/>
    </row>
    <row r="618" customHeight="1" spans="4:4">
      <c r="D618" s="37"/>
    </row>
    <row r="619" customHeight="1" spans="4:4">
      <c r="D619" s="37"/>
    </row>
    <row r="620" customHeight="1" spans="4:4">
      <c r="D620" s="37"/>
    </row>
    <row r="621" customHeight="1" spans="4:4">
      <c r="D621" s="37"/>
    </row>
    <row r="622" customHeight="1" spans="4:4">
      <c r="D622" s="37"/>
    </row>
    <row r="623" customHeight="1" spans="4:4">
      <c r="D623" s="37"/>
    </row>
    <row r="624" customHeight="1" spans="4:4">
      <c r="D624" s="37"/>
    </row>
    <row r="625" customHeight="1" spans="4:4">
      <c r="D625" s="37"/>
    </row>
    <row r="626" customHeight="1" spans="4:4">
      <c r="D626" s="37"/>
    </row>
    <row r="627" customHeight="1" spans="4:4">
      <c r="D627" s="37"/>
    </row>
    <row r="628" customHeight="1" spans="4:4">
      <c r="D628" s="37"/>
    </row>
    <row r="629" customHeight="1" spans="4:4">
      <c r="D629" s="37"/>
    </row>
    <row r="630" customHeight="1" spans="4:4">
      <c r="D630" s="37"/>
    </row>
    <row r="631" customHeight="1" spans="4:4">
      <c r="D631" s="37"/>
    </row>
    <row r="632" customHeight="1" spans="4:4">
      <c r="D632" s="37"/>
    </row>
    <row r="633" customHeight="1" spans="4:4">
      <c r="D633" s="37"/>
    </row>
    <row r="634" customHeight="1" spans="4:4">
      <c r="D634" s="37"/>
    </row>
    <row r="635" customHeight="1" spans="4:4">
      <c r="D635" s="37"/>
    </row>
    <row r="636" customHeight="1" spans="4:4">
      <c r="D636" s="37"/>
    </row>
    <row r="637" customHeight="1" spans="4:4">
      <c r="D637" s="37"/>
    </row>
    <row r="638" customHeight="1" spans="4:4">
      <c r="D638" s="37"/>
    </row>
    <row r="639" customHeight="1" spans="4:4">
      <c r="D639" s="37"/>
    </row>
    <row r="640" customHeight="1" spans="4:4">
      <c r="D640" s="37"/>
    </row>
    <row r="641" customHeight="1" spans="4:4">
      <c r="D641" s="37"/>
    </row>
    <row r="642" customHeight="1" spans="4:4">
      <c r="D642" s="37"/>
    </row>
    <row r="643" customHeight="1" spans="4:4">
      <c r="D643" s="37"/>
    </row>
    <row r="644" customHeight="1" spans="4:4">
      <c r="D644" s="37"/>
    </row>
    <row r="645" customHeight="1" spans="4:4">
      <c r="D645" s="37"/>
    </row>
    <row r="646" customHeight="1" spans="4:4">
      <c r="D646" s="37"/>
    </row>
    <row r="647" customHeight="1" spans="4:4">
      <c r="D647" s="37"/>
    </row>
    <row r="648" customHeight="1" spans="4:4">
      <c r="D648" s="37"/>
    </row>
    <row r="649" customHeight="1" spans="4:4">
      <c r="D649" s="37"/>
    </row>
    <row r="650" customHeight="1" spans="4:4">
      <c r="D650" s="37"/>
    </row>
    <row r="651" customHeight="1" spans="4:4">
      <c r="D651" s="37"/>
    </row>
    <row r="652" customHeight="1" spans="4:4">
      <c r="D652" s="37"/>
    </row>
    <row r="653" customHeight="1" spans="4:4">
      <c r="D653" s="37"/>
    </row>
    <row r="654" customHeight="1" spans="4:4">
      <c r="D654" s="37"/>
    </row>
    <row r="655" customHeight="1" spans="4:4">
      <c r="D655" s="37"/>
    </row>
    <row r="656" customHeight="1" spans="4:4">
      <c r="D656" s="37"/>
    </row>
    <row r="657" customHeight="1" spans="4:4">
      <c r="D657" s="37"/>
    </row>
    <row r="658" customHeight="1" spans="4:4">
      <c r="D658" s="37"/>
    </row>
    <row r="659" customHeight="1" spans="4:4">
      <c r="D659" s="37"/>
    </row>
    <row r="660" customHeight="1" spans="4:4">
      <c r="D660" s="37"/>
    </row>
    <row r="661" customHeight="1" spans="4:4">
      <c r="D661" s="37"/>
    </row>
    <row r="662" customHeight="1" spans="4:4">
      <c r="D662" s="37"/>
    </row>
    <row r="663" customHeight="1" spans="4:4">
      <c r="D663" s="37"/>
    </row>
    <row r="664" customHeight="1" spans="4:4">
      <c r="D664" s="37"/>
    </row>
    <row r="665" customHeight="1" spans="4:4">
      <c r="D665" s="37"/>
    </row>
    <row r="666" customHeight="1" spans="4:4">
      <c r="D666" s="37"/>
    </row>
    <row r="667" customHeight="1" spans="4:4">
      <c r="D667" s="37"/>
    </row>
    <row r="668" customHeight="1" spans="4:4">
      <c r="D668" s="37"/>
    </row>
    <row r="669" customHeight="1" spans="4:4">
      <c r="D669" s="37"/>
    </row>
    <row r="670" customHeight="1" spans="4:4">
      <c r="D670" s="37"/>
    </row>
    <row r="671" customHeight="1" spans="4:4">
      <c r="D671" s="37"/>
    </row>
    <row r="672" customHeight="1" spans="4:4">
      <c r="D672" s="37"/>
    </row>
    <row r="673" customHeight="1" spans="4:4">
      <c r="D673" s="37"/>
    </row>
    <row r="674" customHeight="1" spans="4:4">
      <c r="D674" s="37"/>
    </row>
    <row r="675" customHeight="1" spans="4:4">
      <c r="D675" s="37"/>
    </row>
    <row r="676" customHeight="1" spans="4:4">
      <c r="D676" s="37"/>
    </row>
    <row r="677" customHeight="1" spans="4:4">
      <c r="D677" s="37"/>
    </row>
    <row r="678" customHeight="1" spans="4:4">
      <c r="D678" s="37"/>
    </row>
    <row r="679" customHeight="1" spans="4:4">
      <c r="D679" s="37"/>
    </row>
    <row r="680" customHeight="1" spans="4:4">
      <c r="D680" s="37"/>
    </row>
    <row r="681" customHeight="1" spans="4:4">
      <c r="D681" s="37"/>
    </row>
    <row r="682" customHeight="1" spans="4:4">
      <c r="D682" s="37"/>
    </row>
    <row r="683" customHeight="1" spans="4:4">
      <c r="D683" s="37"/>
    </row>
    <row r="684" customHeight="1" spans="4:4">
      <c r="D684" s="37"/>
    </row>
    <row r="685" customHeight="1" spans="4:4">
      <c r="D685" s="37"/>
    </row>
    <row r="686" customHeight="1" spans="4:4">
      <c r="D686" s="37"/>
    </row>
    <row r="687" customHeight="1" spans="4:4">
      <c r="D687" s="37"/>
    </row>
    <row r="688" customHeight="1" spans="4:4">
      <c r="D688" s="37"/>
    </row>
    <row r="689" customHeight="1" spans="4:4">
      <c r="D689" s="37"/>
    </row>
    <row r="690" customHeight="1" spans="4:4">
      <c r="D690" s="37"/>
    </row>
    <row r="691" customHeight="1" spans="4:4">
      <c r="D691" s="37"/>
    </row>
    <row r="692" customHeight="1" spans="4:4">
      <c r="D692" s="37"/>
    </row>
    <row r="693" customHeight="1" spans="4:4">
      <c r="D693" s="37"/>
    </row>
    <row r="694" customHeight="1" spans="4:4">
      <c r="D694" s="37"/>
    </row>
    <row r="695" customHeight="1" spans="4:4">
      <c r="D695" s="37"/>
    </row>
    <row r="696" customHeight="1" spans="4:4">
      <c r="D696" s="37"/>
    </row>
    <row r="697" customHeight="1" spans="4:4">
      <c r="D697" s="37"/>
    </row>
    <row r="698" customHeight="1" spans="4:4">
      <c r="D698" s="37"/>
    </row>
    <row r="699" customHeight="1" spans="4:4">
      <c r="D699" s="37"/>
    </row>
    <row r="700" customHeight="1" spans="4:4">
      <c r="D700" s="37"/>
    </row>
    <row r="701" customHeight="1" spans="4:4">
      <c r="D701" s="37"/>
    </row>
    <row r="702" customHeight="1" spans="4:4">
      <c r="D702" s="37"/>
    </row>
    <row r="703" customHeight="1" spans="4:4">
      <c r="D703" s="37"/>
    </row>
    <row r="704" customHeight="1" spans="4:4">
      <c r="D704" s="37"/>
    </row>
    <row r="705" customHeight="1" spans="4:4">
      <c r="D705" s="37"/>
    </row>
    <row r="706" customHeight="1" spans="4:4">
      <c r="D706" s="37"/>
    </row>
    <row r="707" customHeight="1" spans="4:4">
      <c r="D707" s="37"/>
    </row>
    <row r="708" customHeight="1" spans="4:4">
      <c r="D708" s="37"/>
    </row>
    <row r="709" customHeight="1" spans="4:4">
      <c r="D709" s="37"/>
    </row>
    <row r="710" customHeight="1" spans="4:4">
      <c r="D710" s="37"/>
    </row>
    <row r="711" customHeight="1" spans="4:4">
      <c r="D711" s="37"/>
    </row>
    <row r="712" customHeight="1" spans="4:4">
      <c r="D712" s="37"/>
    </row>
    <row r="713" customHeight="1" spans="4:4">
      <c r="D713" s="37"/>
    </row>
    <row r="714" customHeight="1" spans="4:4">
      <c r="D714" s="37"/>
    </row>
    <row r="715" customHeight="1" spans="4:4">
      <c r="D715" s="37"/>
    </row>
    <row r="716" customHeight="1" spans="4:4">
      <c r="D716" s="37"/>
    </row>
    <row r="717" customHeight="1" spans="4:4">
      <c r="D717" s="37"/>
    </row>
    <row r="718" customHeight="1" spans="4:4">
      <c r="D718" s="37"/>
    </row>
    <row r="719" customHeight="1" spans="4:4">
      <c r="D719" s="37"/>
    </row>
    <row r="720" customHeight="1" spans="4:4">
      <c r="D720" s="37"/>
    </row>
    <row r="721" customHeight="1" spans="4:4">
      <c r="D721" s="37"/>
    </row>
    <row r="722" customHeight="1" spans="4:4">
      <c r="D722" s="37"/>
    </row>
    <row r="723" customHeight="1" spans="4:4">
      <c r="D723" s="37"/>
    </row>
    <row r="724" customHeight="1" spans="4:4">
      <c r="D724" s="37"/>
    </row>
    <row r="725" customHeight="1" spans="4:4">
      <c r="D725" s="37"/>
    </row>
    <row r="726" customHeight="1" spans="4:4">
      <c r="D726" s="37"/>
    </row>
    <row r="727" customHeight="1" spans="4:4">
      <c r="D727" s="37"/>
    </row>
    <row r="728" customHeight="1" spans="4:4">
      <c r="D728" s="37"/>
    </row>
    <row r="729" customHeight="1" spans="4:4">
      <c r="D729" s="37"/>
    </row>
    <row r="730" customHeight="1" spans="4:4">
      <c r="D730" s="37"/>
    </row>
    <row r="731" customHeight="1" spans="4:4">
      <c r="D731" s="37"/>
    </row>
    <row r="732" customHeight="1" spans="4:4">
      <c r="D732" s="37"/>
    </row>
    <row r="733" customHeight="1" spans="4:4">
      <c r="D733" s="37"/>
    </row>
    <row r="734" customHeight="1" spans="4:4">
      <c r="D734" s="37"/>
    </row>
    <row r="735" customHeight="1" spans="4:4">
      <c r="D735" s="37"/>
    </row>
    <row r="736" customHeight="1" spans="4:4">
      <c r="D736" s="37"/>
    </row>
    <row r="737" customHeight="1" spans="4:4">
      <c r="D737" s="37"/>
    </row>
    <row r="738" customHeight="1" spans="4:4">
      <c r="D738" s="37"/>
    </row>
    <row r="739" customHeight="1" spans="4:4">
      <c r="D739" s="37"/>
    </row>
    <row r="740" customHeight="1" spans="4:4">
      <c r="D740" s="37"/>
    </row>
    <row r="741" customHeight="1" spans="4:4">
      <c r="D741" s="37"/>
    </row>
    <row r="742" customHeight="1" spans="4:4">
      <c r="D742" s="37"/>
    </row>
    <row r="743" customHeight="1" spans="4:4">
      <c r="D743" s="37"/>
    </row>
    <row r="744" customHeight="1" spans="4:4">
      <c r="D744" s="37"/>
    </row>
    <row r="745" customHeight="1" spans="4:4">
      <c r="D745" s="37"/>
    </row>
    <row r="746" customHeight="1" spans="4:4">
      <c r="D746" s="37"/>
    </row>
    <row r="747" customHeight="1" spans="4:4">
      <c r="D747" s="37"/>
    </row>
    <row r="748" customHeight="1" spans="4:4">
      <c r="D748" s="37"/>
    </row>
    <row r="749" customHeight="1" spans="4:4">
      <c r="D749" s="37"/>
    </row>
    <row r="750" customHeight="1" spans="4:4">
      <c r="D750" s="37"/>
    </row>
    <row r="751" customHeight="1" spans="4:4">
      <c r="D751" s="37"/>
    </row>
    <row r="752" customHeight="1" spans="4:4">
      <c r="D752" s="37"/>
    </row>
    <row r="753" customHeight="1" spans="4:4">
      <c r="D753" s="37"/>
    </row>
    <row r="754" customHeight="1" spans="4:4">
      <c r="D754" s="37"/>
    </row>
    <row r="755" customHeight="1" spans="4:4">
      <c r="D755" s="37"/>
    </row>
    <row r="756" customHeight="1" spans="4:4">
      <c r="D756" s="37"/>
    </row>
    <row r="757" customHeight="1" spans="4:4">
      <c r="D757" s="37"/>
    </row>
    <row r="758" customHeight="1" spans="4:4">
      <c r="D758" s="37"/>
    </row>
    <row r="759" customHeight="1" spans="4:4">
      <c r="D759" s="37"/>
    </row>
    <row r="760" customHeight="1" spans="4:4">
      <c r="D760" s="37"/>
    </row>
    <row r="761" customHeight="1" spans="4:4">
      <c r="D761" s="37"/>
    </row>
    <row r="762" customHeight="1" spans="4:4">
      <c r="D762" s="37"/>
    </row>
    <row r="763" customHeight="1" spans="4:4">
      <c r="D763" s="37"/>
    </row>
    <row r="764" customHeight="1" spans="4:4">
      <c r="D764" s="37"/>
    </row>
    <row r="765" customHeight="1" spans="4:4">
      <c r="D765" s="37"/>
    </row>
    <row r="766" customHeight="1" spans="4:4">
      <c r="D766" s="37"/>
    </row>
    <row r="767" customHeight="1" spans="4:4">
      <c r="D767" s="37"/>
    </row>
    <row r="768" customHeight="1" spans="4:4">
      <c r="D768" s="37"/>
    </row>
    <row r="769" customHeight="1" spans="4:4">
      <c r="D769" s="37"/>
    </row>
    <row r="770" customHeight="1" spans="4:4">
      <c r="D770" s="37"/>
    </row>
    <row r="771" customHeight="1" spans="4:4">
      <c r="D771" s="37"/>
    </row>
    <row r="772" customHeight="1" spans="4:4">
      <c r="D772" s="37"/>
    </row>
    <row r="773" customHeight="1" spans="4:4">
      <c r="D773" s="37"/>
    </row>
    <row r="774" customHeight="1" spans="4:4">
      <c r="D774" s="37"/>
    </row>
    <row r="775" customHeight="1" spans="4:4">
      <c r="D775" s="37"/>
    </row>
    <row r="776" customHeight="1" spans="4:4">
      <c r="D776" s="37"/>
    </row>
    <row r="777" customHeight="1" spans="4:4">
      <c r="D777" s="37"/>
    </row>
    <row r="778" customHeight="1" spans="4:4">
      <c r="D778" s="37"/>
    </row>
    <row r="779" customHeight="1" spans="4:4">
      <c r="D779" s="37"/>
    </row>
    <row r="780" customHeight="1" spans="4:4">
      <c r="D780" s="37"/>
    </row>
    <row r="781" customHeight="1" spans="4:4">
      <c r="D781" s="37"/>
    </row>
    <row r="782" customHeight="1" spans="4:4">
      <c r="D782" s="37"/>
    </row>
    <row r="783" customHeight="1" spans="4:4">
      <c r="D783" s="37"/>
    </row>
    <row r="784" customHeight="1" spans="4:4">
      <c r="D784" s="37"/>
    </row>
    <row r="785" customHeight="1" spans="4:4">
      <c r="D785" s="37"/>
    </row>
    <row r="786" customHeight="1" spans="4:4">
      <c r="D786" s="37"/>
    </row>
    <row r="787" customHeight="1" spans="4:4">
      <c r="D787" s="37"/>
    </row>
    <row r="788" customHeight="1" spans="4:4">
      <c r="D788" s="37"/>
    </row>
    <row r="789" customHeight="1" spans="4:4">
      <c r="D789" s="37"/>
    </row>
    <row r="790" customHeight="1" spans="4:4">
      <c r="D790" s="37"/>
    </row>
    <row r="791" customHeight="1" spans="4:4">
      <c r="D791" s="37"/>
    </row>
    <row r="792" customHeight="1" spans="4:4">
      <c r="D792" s="37"/>
    </row>
    <row r="793" customHeight="1" spans="4:4">
      <c r="D793" s="37"/>
    </row>
    <row r="794" customHeight="1" spans="4:4">
      <c r="D794" s="37"/>
    </row>
    <row r="795" customHeight="1" spans="4:4">
      <c r="D795" s="37"/>
    </row>
    <row r="796" customHeight="1" spans="4:4">
      <c r="D796" s="37"/>
    </row>
    <row r="797" customHeight="1" spans="4:4">
      <c r="D797" s="37"/>
    </row>
    <row r="798" customHeight="1" spans="4:4">
      <c r="D798" s="37"/>
    </row>
    <row r="799" customHeight="1" spans="4:4">
      <c r="D799" s="37"/>
    </row>
    <row r="800" customHeight="1" spans="4:4">
      <c r="D800" s="37"/>
    </row>
    <row r="801" customHeight="1" spans="4:4">
      <c r="D801" s="37"/>
    </row>
    <row r="802" customHeight="1" spans="4:4">
      <c r="D802" s="37"/>
    </row>
    <row r="803" customHeight="1" spans="4:4">
      <c r="D803" s="37"/>
    </row>
    <row r="804" customHeight="1" spans="4:4">
      <c r="D804" s="37"/>
    </row>
    <row r="805" customHeight="1" spans="4:4">
      <c r="D805" s="37"/>
    </row>
    <row r="806" customHeight="1" spans="4:4">
      <c r="D806" s="37"/>
    </row>
    <row r="807" customHeight="1" spans="4:4">
      <c r="D807" s="37"/>
    </row>
    <row r="808" customHeight="1" spans="4:4">
      <c r="D808" s="37"/>
    </row>
    <row r="809" customHeight="1" spans="4:4">
      <c r="D809" s="37"/>
    </row>
    <row r="810" customHeight="1" spans="4:4">
      <c r="D810" s="37"/>
    </row>
    <row r="811" customHeight="1" spans="4:4">
      <c r="D811" s="37"/>
    </row>
    <row r="812" customHeight="1" spans="4:4">
      <c r="D812" s="37"/>
    </row>
    <row r="813" customHeight="1" spans="4:4">
      <c r="D813" s="37"/>
    </row>
    <row r="814" customHeight="1" spans="4:4">
      <c r="D814" s="37"/>
    </row>
    <row r="815" customHeight="1" spans="4:4">
      <c r="D815" s="37"/>
    </row>
    <row r="816" customHeight="1" spans="4:4">
      <c r="D816" s="37"/>
    </row>
    <row r="817" customHeight="1" spans="4:4">
      <c r="D817" s="37"/>
    </row>
    <row r="818" customHeight="1" spans="4:4">
      <c r="D818" s="37"/>
    </row>
    <row r="819" customHeight="1" spans="4:4">
      <c r="D819" s="37"/>
    </row>
    <row r="820" customHeight="1" spans="4:4">
      <c r="D820" s="37"/>
    </row>
    <row r="821" customHeight="1" spans="4:4">
      <c r="D821" s="37"/>
    </row>
    <row r="822" customHeight="1" spans="4:4">
      <c r="D822" s="37"/>
    </row>
    <row r="823" customHeight="1" spans="4:4">
      <c r="D823" s="37"/>
    </row>
    <row r="824" customHeight="1" spans="4:4">
      <c r="D824" s="37"/>
    </row>
    <row r="825" customHeight="1" spans="4:4">
      <c r="D825" s="37"/>
    </row>
    <row r="826" customHeight="1" spans="4:4">
      <c r="D826" s="37"/>
    </row>
    <row r="827" customHeight="1" spans="4:4">
      <c r="D827" s="37"/>
    </row>
    <row r="828" customHeight="1" spans="4:4">
      <c r="D828" s="37"/>
    </row>
    <row r="829" customHeight="1" spans="4:4">
      <c r="D829" s="37"/>
    </row>
    <row r="830" customHeight="1" spans="4:4">
      <c r="D830" s="37"/>
    </row>
    <row r="831" customHeight="1" spans="4:4">
      <c r="D831" s="37"/>
    </row>
    <row r="832" customHeight="1" spans="4:4">
      <c r="D832" s="37"/>
    </row>
    <row r="833" customHeight="1" spans="4:4">
      <c r="D833" s="37"/>
    </row>
    <row r="834" customHeight="1" spans="4:4">
      <c r="D834" s="37"/>
    </row>
    <row r="835" customHeight="1" spans="4:4">
      <c r="D835" s="37"/>
    </row>
    <row r="836" customHeight="1" spans="4:4">
      <c r="D836" s="37"/>
    </row>
    <row r="837" customHeight="1" spans="4:4">
      <c r="D837" s="37"/>
    </row>
    <row r="838" customHeight="1" spans="4:4">
      <c r="D838" s="37"/>
    </row>
    <row r="839" customHeight="1" spans="4:4">
      <c r="D839" s="37"/>
    </row>
    <row r="840" customHeight="1" spans="4:4">
      <c r="D840" s="37"/>
    </row>
    <row r="841" customHeight="1" spans="4:4">
      <c r="D841" s="37"/>
    </row>
    <row r="842" customHeight="1" spans="4:4">
      <c r="D842" s="37"/>
    </row>
    <row r="843" customHeight="1" spans="4:4">
      <c r="D843" s="37"/>
    </row>
    <row r="844" customHeight="1" spans="4:4">
      <c r="D844" s="37"/>
    </row>
    <row r="845" customHeight="1" spans="4:4">
      <c r="D845" s="37"/>
    </row>
    <row r="846" customHeight="1" spans="4:4">
      <c r="D846" s="37"/>
    </row>
    <row r="847" customHeight="1" spans="4:4">
      <c r="D847" s="37"/>
    </row>
    <row r="848" customHeight="1" spans="4:4">
      <c r="D848" s="37"/>
    </row>
    <row r="849" customHeight="1" spans="4:4">
      <c r="D849" s="37"/>
    </row>
    <row r="850" customHeight="1" spans="4:4">
      <c r="D850" s="37"/>
    </row>
    <row r="851" customHeight="1" spans="4:4">
      <c r="D851" s="37"/>
    </row>
    <row r="852" customHeight="1" spans="4:4">
      <c r="D852" s="37"/>
    </row>
    <row r="853" customHeight="1" spans="4:4">
      <c r="D853" s="37"/>
    </row>
    <row r="854" customHeight="1" spans="4:4">
      <c r="D854" s="37"/>
    </row>
    <row r="855" customHeight="1" spans="4:4">
      <c r="D855" s="37"/>
    </row>
    <row r="856" customHeight="1" spans="4:4">
      <c r="D856" s="37"/>
    </row>
    <row r="857" customHeight="1" spans="4:4">
      <c r="D857" s="37"/>
    </row>
    <row r="858" customHeight="1" spans="4:4">
      <c r="D858" s="37"/>
    </row>
    <row r="859" customHeight="1" spans="4:4">
      <c r="D859" s="37"/>
    </row>
    <row r="860" customHeight="1" spans="4:4">
      <c r="D860" s="37"/>
    </row>
    <row r="861" customHeight="1" spans="4:4">
      <c r="D861" s="37"/>
    </row>
    <row r="862" customHeight="1" spans="4:4">
      <c r="D862" s="37"/>
    </row>
    <row r="863" customHeight="1" spans="4:4">
      <c r="D863" s="37"/>
    </row>
    <row r="864" customHeight="1" spans="4:4">
      <c r="D864" s="37"/>
    </row>
    <row r="865" customHeight="1" spans="4:4">
      <c r="D865" s="37"/>
    </row>
    <row r="866" customHeight="1" spans="4:4">
      <c r="D866" s="37"/>
    </row>
    <row r="867" customHeight="1" spans="4:4">
      <c r="D867" s="37"/>
    </row>
    <row r="868" customHeight="1" spans="4:4">
      <c r="D868" s="37"/>
    </row>
    <row r="869" customHeight="1" spans="4:4">
      <c r="D869" s="37"/>
    </row>
    <row r="870" customHeight="1" spans="4:4">
      <c r="D870" s="37"/>
    </row>
    <row r="871" customHeight="1" spans="4:4">
      <c r="D871" s="37"/>
    </row>
    <row r="872" customHeight="1" spans="4:4">
      <c r="D872" s="37"/>
    </row>
    <row r="873" customHeight="1" spans="4:4">
      <c r="D873" s="37"/>
    </row>
    <row r="874" customHeight="1" spans="4:4">
      <c r="D874" s="37"/>
    </row>
    <row r="875" customHeight="1" spans="4:4">
      <c r="D875" s="37"/>
    </row>
    <row r="876" customHeight="1" spans="4:4">
      <c r="D876" s="37"/>
    </row>
    <row r="877" customHeight="1" spans="4:4">
      <c r="D877" s="37"/>
    </row>
    <row r="878" customHeight="1" spans="4:4">
      <c r="D878" s="37"/>
    </row>
    <row r="879" customHeight="1" spans="4:4">
      <c r="D879" s="37"/>
    </row>
    <row r="880" customHeight="1" spans="4:4">
      <c r="D880" s="37"/>
    </row>
    <row r="881" customHeight="1" spans="4:4">
      <c r="D881" s="37"/>
    </row>
    <row r="882" customHeight="1" spans="4:4">
      <c r="D882" s="37"/>
    </row>
    <row r="883" customHeight="1" spans="4:4">
      <c r="D883" s="37"/>
    </row>
    <row r="884" customHeight="1" spans="4:4">
      <c r="D884" s="37"/>
    </row>
    <row r="885" customHeight="1" spans="4:4">
      <c r="D885" s="37"/>
    </row>
    <row r="886" customHeight="1" spans="4:4">
      <c r="D886" s="37"/>
    </row>
    <row r="887" customHeight="1" spans="4:4">
      <c r="D887" s="37"/>
    </row>
    <row r="888" customHeight="1" spans="4:4">
      <c r="D888" s="37"/>
    </row>
    <row r="889" customHeight="1" spans="4:4">
      <c r="D889" s="37"/>
    </row>
    <row r="890" customHeight="1" spans="4:4">
      <c r="D890" s="37"/>
    </row>
    <row r="891" customHeight="1" spans="4:4">
      <c r="D891" s="37"/>
    </row>
    <row r="892" customHeight="1" spans="4:4">
      <c r="D892" s="37"/>
    </row>
    <row r="893" customHeight="1" spans="4:4">
      <c r="D893" s="37"/>
    </row>
    <row r="894" customHeight="1" spans="4:4">
      <c r="D894" s="37"/>
    </row>
    <row r="895" customHeight="1" spans="4:4">
      <c r="D895" s="37"/>
    </row>
    <row r="896" customHeight="1" spans="4:4">
      <c r="D896" s="37"/>
    </row>
    <row r="897" customHeight="1" spans="4:4">
      <c r="D897" s="37"/>
    </row>
    <row r="898" customHeight="1" spans="4:4">
      <c r="D898" s="37"/>
    </row>
    <row r="899" customHeight="1" spans="4:4">
      <c r="D899" s="37"/>
    </row>
    <row r="900" customHeight="1" spans="4:4">
      <c r="D900" s="37"/>
    </row>
    <row r="901" customHeight="1" spans="4:4">
      <c r="D901" s="37"/>
    </row>
    <row r="902" customHeight="1" spans="4:4">
      <c r="D902" s="37"/>
    </row>
    <row r="903" customHeight="1" spans="4:4">
      <c r="D903" s="37"/>
    </row>
    <row r="904" customHeight="1" spans="4:4">
      <c r="D904" s="37"/>
    </row>
    <row r="905" customHeight="1" spans="4:4">
      <c r="D905" s="37"/>
    </row>
    <row r="906" customHeight="1" spans="4:4">
      <c r="D906" s="37"/>
    </row>
    <row r="907" customHeight="1" spans="4:4">
      <c r="D907" s="37"/>
    </row>
    <row r="908" customHeight="1" spans="4:4">
      <c r="D908" s="37"/>
    </row>
    <row r="909" customHeight="1" spans="4:4">
      <c r="D909" s="37"/>
    </row>
    <row r="910" customHeight="1" spans="4:4">
      <c r="D910" s="37"/>
    </row>
    <row r="911" customHeight="1" spans="4:4">
      <c r="D911" s="37"/>
    </row>
    <row r="912" customHeight="1" spans="4:4">
      <c r="D912" s="37"/>
    </row>
    <row r="913" customHeight="1" spans="4:4">
      <c r="D913" s="37"/>
    </row>
    <row r="914" customHeight="1" spans="4:4">
      <c r="D914" s="37"/>
    </row>
    <row r="915" customHeight="1" spans="4:4">
      <c r="D915" s="37"/>
    </row>
    <row r="916" customHeight="1" spans="4:4">
      <c r="D916" s="37"/>
    </row>
    <row r="917" customHeight="1" spans="4:4">
      <c r="D917" s="37"/>
    </row>
    <row r="918" customHeight="1" spans="4:4">
      <c r="D918" s="37"/>
    </row>
    <row r="919" customHeight="1" spans="4:4">
      <c r="D919" s="37"/>
    </row>
    <row r="920" customHeight="1" spans="4:4">
      <c r="D920" s="37"/>
    </row>
    <row r="921" customHeight="1" spans="4:4">
      <c r="D921" s="37"/>
    </row>
    <row r="922" customHeight="1" spans="4:4">
      <c r="D922" s="37"/>
    </row>
    <row r="923" customHeight="1" spans="4:4">
      <c r="D923" s="37"/>
    </row>
    <row r="924" customHeight="1" spans="4:4">
      <c r="D924" s="37"/>
    </row>
    <row r="925" customHeight="1" spans="4:4">
      <c r="D925" s="37"/>
    </row>
    <row r="926" customHeight="1" spans="4:4">
      <c r="D926" s="37"/>
    </row>
    <row r="927" customHeight="1" spans="4:4">
      <c r="D927" s="37"/>
    </row>
    <row r="928" customHeight="1" spans="4:4">
      <c r="D928" s="37"/>
    </row>
    <row r="929" customHeight="1" spans="4:4">
      <c r="D929" s="37"/>
    </row>
    <row r="930" customHeight="1" spans="4:4">
      <c r="D930" s="37"/>
    </row>
    <row r="931" customHeight="1" spans="4:4">
      <c r="D931" s="37"/>
    </row>
    <row r="932" customHeight="1" spans="4:4">
      <c r="D932" s="37"/>
    </row>
    <row r="933" customHeight="1" spans="4:4">
      <c r="D933" s="37"/>
    </row>
    <row r="934" customHeight="1" spans="4:4">
      <c r="D934" s="37"/>
    </row>
    <row r="935" customHeight="1" spans="4:4">
      <c r="D935" s="37"/>
    </row>
    <row r="936" customHeight="1" spans="4:4">
      <c r="D936" s="37"/>
    </row>
    <row r="937" customHeight="1" spans="4:4">
      <c r="D937" s="37"/>
    </row>
    <row r="938" customHeight="1" spans="4:4">
      <c r="D938" s="37"/>
    </row>
    <row r="939" customHeight="1" spans="4:4">
      <c r="D939" s="37"/>
    </row>
    <row r="940" customHeight="1" spans="4:4">
      <c r="D940" s="37"/>
    </row>
    <row r="941" customHeight="1" spans="4:4">
      <c r="D941" s="37"/>
    </row>
    <row r="942" customHeight="1" spans="4:4">
      <c r="D942" s="37"/>
    </row>
    <row r="943" customHeight="1" spans="4:4">
      <c r="D943" s="37"/>
    </row>
    <row r="944" customHeight="1" spans="4:4">
      <c r="D944" s="37"/>
    </row>
    <row r="945" customHeight="1" spans="4:4">
      <c r="D945" s="37"/>
    </row>
    <row r="946" customHeight="1" spans="4:4">
      <c r="D946" s="37"/>
    </row>
    <row r="947" customHeight="1" spans="4:4">
      <c r="D947" s="37"/>
    </row>
    <row r="948" customHeight="1" spans="4:4">
      <c r="D948" s="37"/>
    </row>
    <row r="949" customHeight="1" spans="4:4">
      <c r="D949" s="37"/>
    </row>
    <row r="950" customHeight="1" spans="4:4">
      <c r="D950" s="37"/>
    </row>
    <row r="951" customHeight="1" spans="4:4">
      <c r="D951" s="37"/>
    </row>
    <row r="952" customHeight="1" spans="4:4">
      <c r="D952" s="37"/>
    </row>
    <row r="953" customHeight="1" spans="4:4">
      <c r="D953" s="37"/>
    </row>
    <row r="954" customHeight="1" spans="4:4">
      <c r="D954" s="37"/>
    </row>
    <row r="955" customHeight="1" spans="4:4">
      <c r="D955" s="37"/>
    </row>
    <row r="956" customHeight="1" spans="4:4">
      <c r="D956" s="37"/>
    </row>
    <row r="957" customHeight="1" spans="4:4">
      <c r="D957" s="37"/>
    </row>
    <row r="958" customHeight="1" spans="4:4">
      <c r="D958" s="37"/>
    </row>
    <row r="959" customHeight="1" spans="4:4">
      <c r="D959" s="37"/>
    </row>
    <row r="960" customHeight="1" spans="4:4">
      <c r="D960" s="37"/>
    </row>
    <row r="961" customHeight="1" spans="4:4">
      <c r="D961" s="37"/>
    </row>
    <row r="962" customHeight="1" spans="4:4">
      <c r="D962" s="37"/>
    </row>
    <row r="963" customHeight="1" spans="4:4">
      <c r="D963" s="37"/>
    </row>
    <row r="964" customHeight="1" spans="4:4">
      <c r="D964" s="37"/>
    </row>
    <row r="965" customHeight="1" spans="4:4">
      <c r="D965" s="37"/>
    </row>
    <row r="966" customHeight="1" spans="4:4">
      <c r="D966" s="37"/>
    </row>
    <row r="967" customHeight="1" spans="4:4">
      <c r="D967" s="37"/>
    </row>
    <row r="968" customHeight="1" spans="4:4">
      <c r="D968" s="37"/>
    </row>
    <row r="969" customHeight="1" spans="4:4">
      <c r="D969" s="37"/>
    </row>
    <row r="970" customHeight="1" spans="4:4">
      <c r="D970" s="37"/>
    </row>
    <row r="971" customHeight="1" spans="4:4">
      <c r="D971" s="37"/>
    </row>
    <row r="972" customHeight="1" spans="4:4">
      <c r="D972" s="37"/>
    </row>
    <row r="973" customHeight="1" spans="4:4">
      <c r="D973" s="37"/>
    </row>
    <row r="974" customHeight="1" spans="4:4">
      <c r="D974" s="37"/>
    </row>
    <row r="975" customHeight="1" spans="4:4">
      <c r="D975" s="37"/>
    </row>
    <row r="976" customHeight="1" spans="4:4">
      <c r="D976" s="37"/>
    </row>
    <row r="977" customHeight="1" spans="4:4">
      <c r="D977" s="37"/>
    </row>
    <row r="978" customHeight="1" spans="4:4">
      <c r="D978" s="37"/>
    </row>
    <row r="979" customHeight="1" spans="4:4">
      <c r="D979" s="37"/>
    </row>
    <row r="980" customHeight="1" spans="4:4">
      <c r="D980" s="37"/>
    </row>
    <row r="981" customHeight="1" spans="4:4">
      <c r="D981" s="37"/>
    </row>
    <row r="982" customHeight="1" spans="4:4">
      <c r="D982" s="37"/>
    </row>
    <row r="983" customHeight="1" spans="4:4">
      <c r="D983" s="37"/>
    </row>
    <row r="984" customHeight="1" spans="4:4">
      <c r="D984" s="37"/>
    </row>
    <row r="985" customHeight="1" spans="4:4">
      <c r="D985" s="37"/>
    </row>
    <row r="986" customHeight="1" spans="4:4">
      <c r="D986" s="37"/>
    </row>
    <row r="987" customHeight="1" spans="4:4">
      <c r="D987" s="37"/>
    </row>
    <row r="988" customHeight="1" spans="4:4">
      <c r="D988" s="37"/>
    </row>
    <row r="989" customHeight="1" spans="4:4">
      <c r="D989" s="37"/>
    </row>
    <row r="990" customHeight="1" spans="4:4">
      <c r="D990" s="37"/>
    </row>
    <row r="991" customHeight="1" spans="4:4">
      <c r="D991" s="37"/>
    </row>
    <row r="992" customHeight="1" spans="4:4">
      <c r="D992" s="37"/>
    </row>
    <row r="993" customHeight="1" spans="4:4">
      <c r="D993" s="37"/>
    </row>
    <row r="994" customHeight="1" spans="4:4">
      <c r="D994" s="37"/>
    </row>
    <row r="995" customHeight="1" spans="4:4">
      <c r="D995" s="37"/>
    </row>
    <row r="996" customHeight="1" spans="4:4">
      <c r="D996" s="37"/>
    </row>
    <row r="997" customHeight="1" spans="4:4">
      <c r="D997" s="37"/>
    </row>
    <row r="998" customHeight="1" spans="4:4">
      <c r="D998" s="37"/>
    </row>
    <row r="999" customHeight="1" spans="4:4">
      <c r="D999" s="37"/>
    </row>
  </sheetData>
  <mergeCells count="1">
    <mergeCell ref="F1:K1"/>
  </mergeCells>
  <conditionalFormatting sqref="A1:D51">
    <cfRule type="expression" dxfId="38" priority="1">
      <formula>MOD(ROW(),2)=1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99"/>
  <sheetViews>
    <sheetView workbookViewId="0">
      <selection activeCell="B2" sqref="B2"/>
    </sheetView>
  </sheetViews>
  <sheetFormatPr defaultColWidth="12.6285714285714" defaultRowHeight="15.75" customHeight="1"/>
  <cols>
    <col min="1" max="1" width="23.8571428571429" customWidth="1"/>
    <col min="2" max="2" width="9.28571428571429" customWidth="1"/>
    <col min="3" max="3" width="9.42857142857143" customWidth="1"/>
    <col min="4" max="4" width="54" customWidth="1"/>
  </cols>
  <sheetData>
    <row r="1" customHeight="1" spans="1:6">
      <c r="A1" s="13" t="s">
        <v>19</v>
      </c>
      <c r="B1" s="13" t="s">
        <v>23</v>
      </c>
      <c r="C1" s="13" t="s">
        <v>25</v>
      </c>
      <c r="D1" s="13" t="s">
        <v>169</v>
      </c>
      <c r="F1" s="17" t="s">
        <v>14</v>
      </c>
    </row>
    <row r="2" customHeight="1" spans="1:6">
      <c r="A2" s="35" t="s">
        <v>28</v>
      </c>
      <c r="B2" s="35">
        <v>83000</v>
      </c>
      <c r="C2" s="35">
        <v>2</v>
      </c>
    </row>
    <row r="3" customHeight="1" spans="1:6">
      <c r="A3" s="35" t="s">
        <v>33</v>
      </c>
      <c r="B3" s="35">
        <v>93000</v>
      </c>
      <c r="C3" s="35">
        <v>1.8</v>
      </c>
    </row>
    <row r="4" customHeight="1" spans="1:6">
      <c r="A4" s="35" t="s">
        <v>35</v>
      </c>
      <c r="B4" s="35">
        <v>78000</v>
      </c>
      <c r="C4" s="35">
        <v>4</v>
      </c>
    </row>
    <row r="5" customHeight="1" spans="1:6">
      <c r="A5" s="35" t="s">
        <v>38</v>
      </c>
      <c r="B5" s="35">
        <v>122000</v>
      </c>
      <c r="C5" s="35">
        <v>4.3</v>
      </c>
    </row>
    <row r="6" customHeight="1" spans="1:6">
      <c r="A6" s="35" t="s">
        <v>42</v>
      </c>
      <c r="B6" s="35">
        <v>79000</v>
      </c>
      <c r="C6" s="35">
        <v>2.7</v>
      </c>
    </row>
    <row r="7" customHeight="1" spans="1:6">
      <c r="A7" s="35" t="s">
        <v>44</v>
      </c>
      <c r="B7" s="35">
        <v>105000</v>
      </c>
      <c r="C7" s="35">
        <v>1.7</v>
      </c>
    </row>
    <row r="8" customHeight="1" spans="1:6">
      <c r="A8" s="35" t="s">
        <v>46</v>
      </c>
      <c r="B8" s="35">
        <v>101000</v>
      </c>
      <c r="C8" s="35">
        <v>3.7</v>
      </c>
    </row>
    <row r="9" customHeight="1" spans="1:6">
      <c r="A9" s="35" t="s">
        <v>49</v>
      </c>
      <c r="B9" s="35">
        <v>108000</v>
      </c>
      <c r="C9" s="35">
        <v>2.5</v>
      </c>
    </row>
    <row r="10" customHeight="1" spans="1:6">
      <c r="A10" s="35" t="s">
        <v>51</v>
      </c>
      <c r="B10" s="35">
        <v>95000</v>
      </c>
      <c r="C10" s="35">
        <v>2.8</v>
      </c>
    </row>
    <row r="11" customHeight="1" spans="1:6">
      <c r="A11" s="35" t="s">
        <v>53</v>
      </c>
      <c r="B11" s="35">
        <v>126000</v>
      </c>
      <c r="C11" s="35">
        <v>1.7</v>
      </c>
    </row>
    <row r="12" customHeight="1" spans="1:6">
      <c r="A12" s="35" t="s">
        <v>55</v>
      </c>
      <c r="B12" s="35">
        <v>75000</v>
      </c>
      <c r="C12" s="35">
        <v>5</v>
      </c>
    </row>
    <row r="13" customHeight="1" spans="1:6">
      <c r="A13" s="35" t="s">
        <v>59</v>
      </c>
      <c r="B13" s="35">
        <v>66000</v>
      </c>
      <c r="C13" s="35">
        <v>4.2</v>
      </c>
    </row>
    <row r="14" customHeight="1" spans="1:6">
      <c r="A14" s="35" t="s">
        <v>61</v>
      </c>
      <c r="B14" s="35">
        <v>49000</v>
      </c>
      <c r="C14" s="35">
        <v>4.8</v>
      </c>
    </row>
    <row r="15" customHeight="1" spans="1:6">
      <c r="A15" s="35" t="s">
        <v>64</v>
      </c>
      <c r="B15" s="35">
        <v>87000</v>
      </c>
      <c r="C15" s="35">
        <v>2.4</v>
      </c>
    </row>
    <row r="16" customHeight="1" spans="1:6">
      <c r="A16" s="35" t="s">
        <v>66</v>
      </c>
      <c r="B16" s="35">
        <v>83000</v>
      </c>
      <c r="C16" s="35">
        <v>3.5</v>
      </c>
    </row>
    <row r="17" customHeight="1" spans="1:3">
      <c r="A17" s="35" t="s">
        <v>69</v>
      </c>
      <c r="B17" s="35">
        <v>95000</v>
      </c>
      <c r="C17" s="35">
        <v>1.9</v>
      </c>
    </row>
    <row r="18" customHeight="1" spans="1:3">
      <c r="A18" s="35" t="s">
        <v>71</v>
      </c>
      <c r="B18" s="35">
        <v>49000</v>
      </c>
      <c r="C18" s="35">
        <v>3.6</v>
      </c>
    </row>
    <row r="19" customHeight="1" spans="1:3">
      <c r="A19" s="35" t="s">
        <v>73</v>
      </c>
      <c r="B19" s="35">
        <v>92000</v>
      </c>
      <c r="C19" s="35">
        <v>4.6</v>
      </c>
    </row>
    <row r="20" customHeight="1" spans="1:3">
      <c r="A20" s="35" t="s">
        <v>76</v>
      </c>
      <c r="B20" s="35">
        <v>64000</v>
      </c>
      <c r="C20" s="35">
        <v>3.1</v>
      </c>
    </row>
    <row r="21" customHeight="1" spans="1:3">
      <c r="A21" s="35" t="s">
        <v>78</v>
      </c>
      <c r="B21" s="35">
        <v>52000</v>
      </c>
      <c r="C21" s="35">
        <v>2.5</v>
      </c>
    </row>
    <row r="22" customHeight="1" spans="1:3">
      <c r="A22" s="35" t="s">
        <v>80</v>
      </c>
      <c r="B22" s="35">
        <v>53000</v>
      </c>
      <c r="C22" s="35">
        <v>4.2</v>
      </c>
    </row>
    <row r="23" customHeight="1" spans="1:3">
      <c r="A23" s="35" t="s">
        <v>84</v>
      </c>
      <c r="B23" s="35">
        <v>43000</v>
      </c>
      <c r="C23" s="35">
        <v>2.8</v>
      </c>
    </row>
    <row r="24" customHeight="1" spans="1:3">
      <c r="A24" s="35" t="s">
        <v>86</v>
      </c>
      <c r="B24" s="35">
        <v>47000</v>
      </c>
      <c r="C24" s="35">
        <v>3.2</v>
      </c>
    </row>
    <row r="25" customHeight="1" spans="1:3">
      <c r="A25" s="35" t="s">
        <v>89</v>
      </c>
      <c r="B25" s="35">
        <v>85000</v>
      </c>
      <c r="C25" s="35">
        <v>3.4</v>
      </c>
    </row>
    <row r="26" customHeight="1" spans="1:3">
      <c r="A26" s="35" t="s">
        <v>91</v>
      </c>
      <c r="B26" s="35">
        <v>77000</v>
      </c>
      <c r="C26" s="35">
        <v>3.9</v>
      </c>
    </row>
    <row r="27" customHeight="1" spans="1:3">
      <c r="A27" s="35" t="s">
        <v>94</v>
      </c>
      <c r="B27" s="35">
        <v>76000</v>
      </c>
      <c r="C27" s="35">
        <v>2.4</v>
      </c>
    </row>
    <row r="28" customHeight="1" spans="1:3">
      <c r="A28" s="35" t="s">
        <v>96</v>
      </c>
      <c r="B28" s="35">
        <v>56000</v>
      </c>
      <c r="C28" s="35">
        <v>4</v>
      </c>
    </row>
    <row r="29" customHeight="1" spans="1:3">
      <c r="A29" s="35" t="s">
        <v>98</v>
      </c>
      <c r="B29" s="35">
        <v>47000</v>
      </c>
      <c r="C29" s="35">
        <v>2.5</v>
      </c>
    </row>
    <row r="30" customHeight="1" spans="1:3">
      <c r="A30" s="35" t="s">
        <v>101</v>
      </c>
      <c r="B30" s="35">
        <v>79000</v>
      </c>
      <c r="C30" s="35">
        <v>2.4</v>
      </c>
    </row>
    <row r="31" customHeight="1" spans="1:3">
      <c r="A31" s="35" t="s">
        <v>103</v>
      </c>
      <c r="B31" s="35">
        <v>85000</v>
      </c>
      <c r="C31" s="35">
        <v>3</v>
      </c>
    </row>
    <row r="32" customHeight="1" spans="1:3">
      <c r="A32" s="35" t="s">
        <v>105</v>
      </c>
      <c r="B32" s="35">
        <v>66000</v>
      </c>
      <c r="C32" s="35">
        <v>4.3</v>
      </c>
    </row>
    <row r="33" customHeight="1" spans="1:3">
      <c r="A33" s="35" t="s">
        <v>109</v>
      </c>
      <c r="B33" s="35">
        <v>69000</v>
      </c>
      <c r="C33" s="35">
        <v>2.1</v>
      </c>
    </row>
    <row r="34" customHeight="1" spans="1:3">
      <c r="A34" s="35" t="s">
        <v>112</v>
      </c>
      <c r="B34" s="35">
        <v>76000</v>
      </c>
      <c r="C34" s="35">
        <v>3.8</v>
      </c>
    </row>
    <row r="35" customHeight="1" spans="1:3">
      <c r="A35" s="35" t="s">
        <v>115</v>
      </c>
      <c r="B35" s="35">
        <v>67000</v>
      </c>
      <c r="C35" s="35">
        <v>2.2</v>
      </c>
    </row>
    <row r="36" customHeight="1" spans="1:3">
      <c r="A36" s="35" t="s">
        <v>117</v>
      </c>
      <c r="B36" s="35">
        <v>66000</v>
      </c>
      <c r="C36" s="35">
        <v>4.2</v>
      </c>
    </row>
    <row r="37" customHeight="1" spans="1:3">
      <c r="A37" s="35" t="s">
        <v>119</v>
      </c>
      <c r="B37" s="35">
        <v>52000</v>
      </c>
      <c r="C37" s="35">
        <v>4.9</v>
      </c>
    </row>
    <row r="38" customHeight="1" spans="1:3">
      <c r="A38" s="35" t="s">
        <v>121</v>
      </c>
      <c r="B38" s="35">
        <v>61000</v>
      </c>
      <c r="C38" s="35">
        <v>3.5</v>
      </c>
    </row>
    <row r="39" customHeight="1" spans="1:3">
      <c r="A39" s="35" t="s">
        <v>123</v>
      </c>
      <c r="B39" s="35">
        <v>45000</v>
      </c>
      <c r="C39" s="35">
        <v>1.7</v>
      </c>
    </row>
    <row r="40" customHeight="1" spans="1:3">
      <c r="A40" s="35" t="s">
        <v>125</v>
      </c>
      <c r="B40" s="35">
        <v>77000</v>
      </c>
      <c r="C40" s="35">
        <v>3.6</v>
      </c>
    </row>
    <row r="41" customHeight="1" spans="1:3">
      <c r="A41" s="35" t="s">
        <v>127</v>
      </c>
      <c r="B41" s="35">
        <v>53000</v>
      </c>
      <c r="C41" s="35">
        <v>2.6</v>
      </c>
    </row>
    <row r="42" customHeight="1" spans="1:3">
      <c r="A42" s="35" t="s">
        <v>130</v>
      </c>
      <c r="B42" s="35">
        <v>59000</v>
      </c>
      <c r="C42" s="35">
        <v>4.8</v>
      </c>
    </row>
    <row r="43" customHeight="1" spans="1:3">
      <c r="A43" s="35" t="s">
        <v>134</v>
      </c>
      <c r="B43" s="35">
        <v>73000</v>
      </c>
      <c r="C43" s="35">
        <v>2.4</v>
      </c>
    </row>
    <row r="44" customHeight="1" spans="1:3">
      <c r="A44" s="35" t="s">
        <v>137</v>
      </c>
      <c r="B44" s="35">
        <v>48000</v>
      </c>
      <c r="C44" s="35">
        <v>3.4</v>
      </c>
    </row>
    <row r="45" customHeight="1" spans="1:3">
      <c r="A45" s="35" t="s">
        <v>139</v>
      </c>
      <c r="B45" s="35">
        <v>74000</v>
      </c>
      <c r="C45" s="35">
        <v>3.8</v>
      </c>
    </row>
    <row r="46" customHeight="1" spans="1:3">
      <c r="A46" s="35" t="s">
        <v>141</v>
      </c>
      <c r="B46" s="35">
        <v>74000</v>
      </c>
      <c r="C46" s="35">
        <v>2.5</v>
      </c>
    </row>
    <row r="47" customHeight="1" spans="1:3">
      <c r="A47" s="35" t="s">
        <v>143</v>
      </c>
      <c r="B47" s="35">
        <v>55000</v>
      </c>
      <c r="C47" s="35">
        <v>2.4</v>
      </c>
    </row>
    <row r="48" customHeight="1" spans="1:3">
      <c r="A48" s="35" t="s">
        <v>146</v>
      </c>
      <c r="B48" s="35">
        <v>56000</v>
      </c>
      <c r="C48" s="35">
        <v>2.7</v>
      </c>
    </row>
    <row r="49" customHeight="1" spans="1:3">
      <c r="A49" s="35" t="s">
        <v>149</v>
      </c>
      <c r="B49" s="35">
        <v>67000</v>
      </c>
      <c r="C49" s="35">
        <v>3</v>
      </c>
    </row>
    <row r="50" customHeight="1" spans="1:3">
      <c r="A50" s="35" t="s">
        <v>151</v>
      </c>
      <c r="B50" s="35">
        <v>40000</v>
      </c>
      <c r="C50" s="35">
        <v>3.5</v>
      </c>
    </row>
    <row r="51" customHeight="1" spans="1:3">
      <c r="A51" s="35" t="s">
        <v>153</v>
      </c>
      <c r="B51" s="35">
        <v>62000</v>
      </c>
      <c r="C51" s="35">
        <v>4.3</v>
      </c>
    </row>
    <row r="52" customHeight="1" spans="1:3">
      <c r="C52" s="36"/>
    </row>
    <row r="53" customHeight="1" spans="1:3">
      <c r="C53" s="36"/>
    </row>
    <row r="54" customHeight="1" spans="1:3">
      <c r="C54" s="36"/>
    </row>
    <row r="55" customHeight="1" spans="1:3">
      <c r="C55" s="36"/>
    </row>
    <row r="56" customHeight="1" spans="1:3">
      <c r="C56" s="36"/>
    </row>
    <row r="57" customHeight="1" spans="1:3">
      <c r="C57" s="36"/>
    </row>
    <row r="58" customHeight="1" spans="1:3">
      <c r="C58" s="36"/>
    </row>
    <row r="59" customHeight="1" spans="1:3">
      <c r="C59" s="36"/>
    </row>
    <row r="60" customHeight="1" spans="1:3">
      <c r="C60" s="36"/>
    </row>
    <row r="61" customHeight="1" spans="1:3">
      <c r="C61" s="36"/>
    </row>
    <row r="62" customHeight="1" spans="1:3">
      <c r="C62" s="36"/>
    </row>
    <row r="63" customHeight="1" spans="1:3">
      <c r="C63" s="36"/>
    </row>
    <row r="64" customHeight="1" spans="1:3">
      <c r="C64" s="36"/>
    </row>
    <row r="65" customHeight="1" spans="3:3">
      <c r="C65" s="36"/>
    </row>
    <row r="66" customHeight="1" spans="3:3">
      <c r="C66" s="36"/>
    </row>
    <row r="67" customHeight="1" spans="3:3">
      <c r="C67" s="36"/>
    </row>
    <row r="68" customHeight="1" spans="3:3">
      <c r="C68" s="36"/>
    </row>
    <row r="69" customHeight="1" spans="3:3">
      <c r="C69" s="36"/>
    </row>
    <row r="70" customHeight="1" spans="3:3">
      <c r="C70" s="36"/>
    </row>
    <row r="71" customHeight="1" spans="3:3">
      <c r="C71" s="36"/>
    </row>
    <row r="72" customHeight="1" spans="3:3">
      <c r="C72" s="36"/>
    </row>
    <row r="73" customHeight="1" spans="3:3">
      <c r="C73" s="36"/>
    </row>
    <row r="74" customHeight="1" spans="3:3">
      <c r="C74" s="36"/>
    </row>
    <row r="75" customHeight="1" spans="3:3">
      <c r="C75" s="36"/>
    </row>
    <row r="76" customHeight="1" spans="3:3">
      <c r="C76" s="36"/>
    </row>
    <row r="77" customHeight="1" spans="3:3">
      <c r="C77" s="36"/>
    </row>
    <row r="78" customHeight="1" spans="3:3">
      <c r="C78" s="36"/>
    </row>
    <row r="79" customHeight="1" spans="3:3">
      <c r="C79" s="36"/>
    </row>
    <row r="80" customHeight="1" spans="3:3">
      <c r="C80" s="36"/>
    </row>
    <row r="81" customHeight="1" spans="3:3">
      <c r="C81" s="36"/>
    </row>
    <row r="82" customHeight="1" spans="3:3">
      <c r="C82" s="36"/>
    </row>
    <row r="83" customHeight="1" spans="3:3">
      <c r="C83" s="36"/>
    </row>
    <row r="84" customHeight="1" spans="3:3">
      <c r="C84" s="36"/>
    </row>
    <row r="85" customHeight="1" spans="3:3">
      <c r="C85" s="36"/>
    </row>
    <row r="86" customHeight="1" spans="3:3">
      <c r="C86" s="36"/>
    </row>
    <row r="87" customHeight="1" spans="3:3">
      <c r="C87" s="36"/>
    </row>
    <row r="88" customHeight="1" spans="3:3">
      <c r="C88" s="36"/>
    </row>
    <row r="89" customHeight="1" spans="3:3">
      <c r="C89" s="36"/>
    </row>
    <row r="90" customHeight="1" spans="3:3">
      <c r="C90" s="36"/>
    </row>
    <row r="91" customHeight="1" spans="3:3">
      <c r="C91" s="36"/>
    </row>
    <row r="92" customHeight="1" spans="3:3">
      <c r="C92" s="36"/>
    </row>
    <row r="93" customHeight="1" spans="3:3">
      <c r="C93" s="36"/>
    </row>
    <row r="94" customHeight="1" spans="3:3">
      <c r="C94" s="36"/>
    </row>
    <row r="95" customHeight="1" spans="3:3">
      <c r="C95" s="36"/>
    </row>
    <row r="96" customHeight="1" spans="3:3">
      <c r="C96" s="36"/>
    </row>
    <row r="97" customHeight="1" spans="3:3">
      <c r="C97" s="36"/>
    </row>
    <row r="98" customHeight="1" spans="3:3">
      <c r="C98" s="36"/>
    </row>
    <row r="99" customHeight="1" spans="3:3">
      <c r="C99" s="36"/>
    </row>
    <row r="100" customHeight="1" spans="3:3">
      <c r="C100" s="36"/>
    </row>
    <row r="101" customHeight="1" spans="3:3">
      <c r="C101" s="36"/>
    </row>
    <row r="102" customHeight="1" spans="3:3">
      <c r="C102" s="36"/>
    </row>
    <row r="103" customHeight="1" spans="3:3">
      <c r="C103" s="36"/>
    </row>
    <row r="104" customHeight="1" spans="3:3">
      <c r="C104" s="36"/>
    </row>
    <row r="105" customHeight="1" spans="3:3">
      <c r="C105" s="36"/>
    </row>
    <row r="106" customHeight="1" spans="3:3">
      <c r="C106" s="36"/>
    </row>
    <row r="107" customHeight="1" spans="3:3">
      <c r="C107" s="36"/>
    </row>
    <row r="108" customHeight="1" spans="3:3">
      <c r="C108" s="36"/>
    </row>
    <row r="109" customHeight="1" spans="3:3">
      <c r="C109" s="36"/>
    </row>
    <row r="110" customHeight="1" spans="3:3">
      <c r="C110" s="36"/>
    </row>
    <row r="111" customHeight="1" spans="3:3">
      <c r="C111" s="36"/>
    </row>
    <row r="112" customHeight="1" spans="3:3">
      <c r="C112" s="36"/>
    </row>
    <row r="113" customHeight="1" spans="3:3">
      <c r="C113" s="36"/>
    </row>
    <row r="114" customHeight="1" spans="3:3">
      <c r="C114" s="36"/>
    </row>
    <row r="115" customHeight="1" spans="3:3">
      <c r="C115" s="36"/>
    </row>
    <row r="116" customHeight="1" spans="3:3">
      <c r="C116" s="36"/>
    </row>
    <row r="117" customHeight="1" spans="3:3">
      <c r="C117" s="36"/>
    </row>
    <row r="118" customHeight="1" spans="3:3">
      <c r="C118" s="36"/>
    </row>
    <row r="119" customHeight="1" spans="3:3">
      <c r="C119" s="36"/>
    </row>
    <row r="120" customHeight="1" spans="3:3">
      <c r="C120" s="36"/>
    </row>
    <row r="121" customHeight="1" spans="3:3">
      <c r="C121" s="36"/>
    </row>
    <row r="122" customHeight="1" spans="3:3">
      <c r="C122" s="36"/>
    </row>
    <row r="123" customHeight="1" spans="3:3">
      <c r="C123" s="36"/>
    </row>
    <row r="124" customHeight="1" spans="3:3">
      <c r="C124" s="36"/>
    </row>
    <row r="125" customHeight="1" spans="3:3">
      <c r="C125" s="36"/>
    </row>
    <row r="126" customHeight="1" spans="3:3">
      <c r="C126" s="36"/>
    </row>
    <row r="127" customHeight="1" spans="3:3">
      <c r="C127" s="36"/>
    </row>
    <row r="128" customHeight="1" spans="3:3">
      <c r="C128" s="36"/>
    </row>
    <row r="129" customHeight="1" spans="3:3">
      <c r="C129" s="36"/>
    </row>
    <row r="130" customHeight="1" spans="3:3">
      <c r="C130" s="36"/>
    </row>
    <row r="131" customHeight="1" spans="3:3">
      <c r="C131" s="36"/>
    </row>
    <row r="132" customHeight="1" spans="3:3">
      <c r="C132" s="36"/>
    </row>
    <row r="133" customHeight="1" spans="3:3">
      <c r="C133" s="36"/>
    </row>
    <row r="134" customHeight="1" spans="3:3">
      <c r="C134" s="36"/>
    </row>
    <row r="135" customHeight="1" spans="3:3">
      <c r="C135" s="36"/>
    </row>
    <row r="136" customHeight="1" spans="3:3">
      <c r="C136" s="36"/>
    </row>
    <row r="137" customHeight="1" spans="3:3">
      <c r="C137" s="36"/>
    </row>
    <row r="138" customHeight="1" spans="3:3">
      <c r="C138" s="36"/>
    </row>
    <row r="139" customHeight="1" spans="3:3">
      <c r="C139" s="36"/>
    </row>
    <row r="140" customHeight="1" spans="3:3">
      <c r="C140" s="36"/>
    </row>
    <row r="141" customHeight="1" spans="3:3">
      <c r="C141" s="36"/>
    </row>
    <row r="142" customHeight="1" spans="3:3">
      <c r="C142" s="36"/>
    </row>
    <row r="143" customHeight="1" spans="3:3">
      <c r="C143" s="36"/>
    </row>
    <row r="144" customHeight="1" spans="3:3">
      <c r="C144" s="36"/>
    </row>
    <row r="145" customHeight="1" spans="3:3">
      <c r="C145" s="36"/>
    </row>
    <row r="146" customHeight="1" spans="3:3">
      <c r="C146" s="36"/>
    </row>
    <row r="147" customHeight="1" spans="3:3">
      <c r="C147" s="36"/>
    </row>
    <row r="148" customHeight="1" spans="3:3">
      <c r="C148" s="36"/>
    </row>
    <row r="149" customHeight="1" spans="3:3">
      <c r="C149" s="36"/>
    </row>
    <row r="150" customHeight="1" spans="3:3">
      <c r="C150" s="36"/>
    </row>
    <row r="151" customHeight="1" spans="3:3">
      <c r="C151" s="36"/>
    </row>
    <row r="152" customHeight="1" spans="3:3">
      <c r="C152" s="36"/>
    </row>
    <row r="153" customHeight="1" spans="3:3">
      <c r="C153" s="36"/>
    </row>
    <row r="154" customHeight="1" spans="3:3">
      <c r="C154" s="36"/>
    </row>
    <row r="155" customHeight="1" spans="3:3">
      <c r="C155" s="36"/>
    </row>
    <row r="156" customHeight="1" spans="3:3">
      <c r="C156" s="36"/>
    </row>
    <row r="157" customHeight="1" spans="3:3">
      <c r="C157" s="36"/>
    </row>
    <row r="158" customHeight="1" spans="3:3">
      <c r="C158" s="36"/>
    </row>
    <row r="159" customHeight="1" spans="3:3">
      <c r="C159" s="36"/>
    </row>
    <row r="160" customHeight="1" spans="3:3">
      <c r="C160" s="36"/>
    </row>
    <row r="161" customHeight="1" spans="3:3">
      <c r="C161" s="36"/>
    </row>
    <row r="162" customHeight="1" spans="3:3">
      <c r="C162" s="36"/>
    </row>
    <row r="163" customHeight="1" spans="3:3">
      <c r="C163" s="36"/>
    </row>
    <row r="164" customHeight="1" spans="3:3">
      <c r="C164" s="36"/>
    </row>
    <row r="165" customHeight="1" spans="3:3">
      <c r="C165" s="36"/>
    </row>
    <row r="166" customHeight="1" spans="3:3">
      <c r="C166" s="36"/>
    </row>
    <row r="167" customHeight="1" spans="3:3">
      <c r="C167" s="36"/>
    </row>
    <row r="168" customHeight="1" spans="3:3">
      <c r="C168" s="36"/>
    </row>
    <row r="169" customHeight="1" spans="3:3">
      <c r="C169" s="36"/>
    </row>
    <row r="170" customHeight="1" spans="3:3">
      <c r="C170" s="36"/>
    </row>
    <row r="171" customHeight="1" spans="3:3">
      <c r="C171" s="36"/>
    </row>
    <row r="172" customHeight="1" spans="3:3">
      <c r="C172" s="36"/>
    </row>
    <row r="173" customHeight="1" spans="3:3">
      <c r="C173" s="36"/>
    </row>
    <row r="174" customHeight="1" spans="3:3">
      <c r="C174" s="36"/>
    </row>
    <row r="175" customHeight="1" spans="3:3">
      <c r="C175" s="36"/>
    </row>
    <row r="176" customHeight="1" spans="3:3">
      <c r="C176" s="36"/>
    </row>
    <row r="177" customHeight="1" spans="3:3">
      <c r="C177" s="36"/>
    </row>
    <row r="178" customHeight="1" spans="3:3">
      <c r="C178" s="36"/>
    </row>
    <row r="179" customHeight="1" spans="3:3">
      <c r="C179" s="36"/>
    </row>
    <row r="180" customHeight="1" spans="3:3">
      <c r="C180" s="36"/>
    </row>
    <row r="181" customHeight="1" spans="3:3">
      <c r="C181" s="36"/>
    </row>
    <row r="182" customHeight="1" spans="3:3">
      <c r="C182" s="36"/>
    </row>
    <row r="183" customHeight="1" spans="3:3">
      <c r="C183" s="36"/>
    </row>
    <row r="184" customHeight="1" spans="3:3">
      <c r="C184" s="36"/>
    </row>
    <row r="185" customHeight="1" spans="3:3">
      <c r="C185" s="36"/>
    </row>
    <row r="186" customHeight="1" spans="3:3">
      <c r="C186" s="36"/>
    </row>
    <row r="187" customHeight="1" spans="3:3">
      <c r="C187" s="36"/>
    </row>
    <row r="188" customHeight="1" spans="3:3">
      <c r="C188" s="36"/>
    </row>
    <row r="189" customHeight="1" spans="3:3">
      <c r="C189" s="36"/>
    </row>
    <row r="190" customHeight="1" spans="3:3">
      <c r="C190" s="36"/>
    </row>
    <row r="191" customHeight="1" spans="3:3">
      <c r="C191" s="36"/>
    </row>
    <row r="192" customHeight="1" spans="3:3">
      <c r="C192" s="36"/>
    </row>
    <row r="193" customHeight="1" spans="3:3">
      <c r="C193" s="36"/>
    </row>
    <row r="194" customHeight="1" spans="3:3">
      <c r="C194" s="36"/>
    </row>
    <row r="195" customHeight="1" spans="3:3">
      <c r="C195" s="36"/>
    </row>
    <row r="196" customHeight="1" spans="3:3">
      <c r="C196" s="36"/>
    </row>
    <row r="197" customHeight="1" spans="3:3">
      <c r="C197" s="36"/>
    </row>
    <row r="198" customHeight="1" spans="3:3">
      <c r="C198" s="36"/>
    </row>
    <row r="199" customHeight="1" spans="3:3">
      <c r="C199" s="36"/>
    </row>
    <row r="200" customHeight="1" spans="3:3">
      <c r="C200" s="36"/>
    </row>
    <row r="201" customHeight="1" spans="3:3">
      <c r="C201" s="36"/>
    </row>
    <row r="202" customHeight="1" spans="3:3">
      <c r="C202" s="36"/>
    </row>
    <row r="203" customHeight="1" spans="3:3">
      <c r="C203" s="36"/>
    </row>
    <row r="204" customHeight="1" spans="3:3">
      <c r="C204" s="36"/>
    </row>
    <row r="205" customHeight="1" spans="3:3">
      <c r="C205" s="36"/>
    </row>
    <row r="206" customHeight="1" spans="3:3">
      <c r="C206" s="36"/>
    </row>
    <row r="207" customHeight="1" spans="3:3">
      <c r="C207" s="36"/>
    </row>
    <row r="208" customHeight="1" spans="3:3">
      <c r="C208" s="36"/>
    </row>
    <row r="209" customHeight="1" spans="3:3">
      <c r="C209" s="36"/>
    </row>
    <row r="210" customHeight="1" spans="3:3">
      <c r="C210" s="36"/>
    </row>
    <row r="211" customHeight="1" spans="3:3">
      <c r="C211" s="36"/>
    </row>
    <row r="212" customHeight="1" spans="3:3">
      <c r="C212" s="36"/>
    </row>
    <row r="213" customHeight="1" spans="3:3">
      <c r="C213" s="36"/>
    </row>
    <row r="214" customHeight="1" spans="3:3">
      <c r="C214" s="36"/>
    </row>
    <row r="215" customHeight="1" spans="3:3">
      <c r="C215" s="36"/>
    </row>
    <row r="216" customHeight="1" spans="3:3">
      <c r="C216" s="36"/>
    </row>
    <row r="217" customHeight="1" spans="3:3">
      <c r="C217" s="36"/>
    </row>
    <row r="218" customHeight="1" spans="3:3">
      <c r="C218" s="36"/>
    </row>
    <row r="219" customHeight="1" spans="3:3">
      <c r="C219" s="36"/>
    </row>
    <row r="220" customHeight="1" spans="3:3">
      <c r="C220" s="36"/>
    </row>
    <row r="221" customHeight="1" spans="3:3">
      <c r="C221" s="36"/>
    </row>
    <row r="222" customHeight="1" spans="3:3">
      <c r="C222" s="36"/>
    </row>
    <row r="223" customHeight="1" spans="3:3">
      <c r="C223" s="36"/>
    </row>
    <row r="224" customHeight="1" spans="3:3">
      <c r="C224" s="36"/>
    </row>
    <row r="225" customHeight="1" spans="3:3">
      <c r="C225" s="36"/>
    </row>
    <row r="226" customHeight="1" spans="3:3">
      <c r="C226" s="36"/>
    </row>
    <row r="227" customHeight="1" spans="3:3">
      <c r="C227" s="36"/>
    </row>
    <row r="228" customHeight="1" spans="3:3">
      <c r="C228" s="36"/>
    </row>
    <row r="229" customHeight="1" spans="3:3">
      <c r="C229" s="36"/>
    </row>
    <row r="230" customHeight="1" spans="3:3">
      <c r="C230" s="36"/>
    </row>
    <row r="231" customHeight="1" spans="3:3">
      <c r="C231" s="36"/>
    </row>
    <row r="232" customHeight="1" spans="3:3">
      <c r="C232" s="36"/>
    </row>
    <row r="233" customHeight="1" spans="3:3">
      <c r="C233" s="36"/>
    </row>
    <row r="234" customHeight="1" spans="3:3">
      <c r="C234" s="36"/>
    </row>
    <row r="235" customHeight="1" spans="3:3">
      <c r="C235" s="36"/>
    </row>
    <row r="236" customHeight="1" spans="3:3">
      <c r="C236" s="36"/>
    </row>
    <row r="237" customHeight="1" spans="3:3">
      <c r="C237" s="36"/>
    </row>
    <row r="238" customHeight="1" spans="3:3">
      <c r="C238" s="36"/>
    </row>
    <row r="239" customHeight="1" spans="3:3">
      <c r="C239" s="36"/>
    </row>
    <row r="240" customHeight="1" spans="3:3">
      <c r="C240" s="36"/>
    </row>
    <row r="241" customHeight="1" spans="3:3">
      <c r="C241" s="36"/>
    </row>
    <row r="242" customHeight="1" spans="3:3">
      <c r="C242" s="36"/>
    </row>
    <row r="243" customHeight="1" spans="3:3">
      <c r="C243" s="36"/>
    </row>
    <row r="244" customHeight="1" spans="3:3">
      <c r="C244" s="36"/>
    </row>
    <row r="245" customHeight="1" spans="3:3">
      <c r="C245" s="36"/>
    </row>
    <row r="246" customHeight="1" spans="3:3">
      <c r="C246" s="36"/>
    </row>
    <row r="247" customHeight="1" spans="3:3">
      <c r="C247" s="36"/>
    </row>
    <row r="248" customHeight="1" spans="3:3">
      <c r="C248" s="36"/>
    </row>
    <row r="249" customHeight="1" spans="3:3">
      <c r="C249" s="36"/>
    </row>
    <row r="250" customHeight="1" spans="3:3">
      <c r="C250" s="36"/>
    </row>
    <row r="251" customHeight="1" spans="3:3">
      <c r="C251" s="36"/>
    </row>
    <row r="252" customHeight="1" spans="3:3">
      <c r="C252" s="36"/>
    </row>
    <row r="253" customHeight="1" spans="3:3">
      <c r="C253" s="36"/>
    </row>
    <row r="254" customHeight="1" spans="3:3">
      <c r="C254" s="36"/>
    </row>
    <row r="255" customHeight="1" spans="3:3">
      <c r="C255" s="36"/>
    </row>
    <row r="256" customHeight="1" spans="3:3">
      <c r="C256" s="36"/>
    </row>
    <row r="257" customHeight="1" spans="3:3">
      <c r="C257" s="36"/>
    </row>
    <row r="258" customHeight="1" spans="3:3">
      <c r="C258" s="36"/>
    </row>
    <row r="259" customHeight="1" spans="3:3">
      <c r="C259" s="36"/>
    </row>
    <row r="260" customHeight="1" spans="3:3">
      <c r="C260" s="36"/>
    </row>
    <row r="261" customHeight="1" spans="3:3">
      <c r="C261" s="36"/>
    </row>
    <row r="262" customHeight="1" spans="3:3">
      <c r="C262" s="36"/>
    </row>
    <row r="263" customHeight="1" spans="3:3">
      <c r="C263" s="36"/>
    </row>
    <row r="264" customHeight="1" spans="3:3">
      <c r="C264" s="36"/>
    </row>
    <row r="265" customHeight="1" spans="3:3">
      <c r="C265" s="36"/>
    </row>
    <row r="266" customHeight="1" spans="3:3">
      <c r="C266" s="36"/>
    </row>
    <row r="267" customHeight="1" spans="3:3">
      <c r="C267" s="36"/>
    </row>
    <row r="268" customHeight="1" spans="3:3">
      <c r="C268" s="36"/>
    </row>
    <row r="269" customHeight="1" spans="3:3">
      <c r="C269" s="36"/>
    </row>
    <row r="270" customHeight="1" spans="3:3">
      <c r="C270" s="36"/>
    </row>
    <row r="271" customHeight="1" spans="3:3">
      <c r="C271" s="36"/>
    </row>
    <row r="272" customHeight="1" spans="3:3">
      <c r="C272" s="36"/>
    </row>
    <row r="273" customHeight="1" spans="3:3">
      <c r="C273" s="36"/>
    </row>
    <row r="274" customHeight="1" spans="3:3">
      <c r="C274" s="36"/>
    </row>
    <row r="275" customHeight="1" spans="3:3">
      <c r="C275" s="36"/>
    </row>
    <row r="276" customHeight="1" spans="3:3">
      <c r="C276" s="36"/>
    </row>
    <row r="277" customHeight="1" spans="3:3">
      <c r="C277" s="36"/>
    </row>
    <row r="278" customHeight="1" spans="3:3">
      <c r="C278" s="36"/>
    </row>
    <row r="279" customHeight="1" spans="3:3">
      <c r="C279" s="36"/>
    </row>
    <row r="280" customHeight="1" spans="3:3">
      <c r="C280" s="36"/>
    </row>
    <row r="281" customHeight="1" spans="3:3">
      <c r="C281" s="36"/>
    </row>
    <row r="282" customHeight="1" spans="3:3">
      <c r="C282" s="36"/>
    </row>
    <row r="283" customHeight="1" spans="3:3">
      <c r="C283" s="36"/>
    </row>
    <row r="284" customHeight="1" spans="3:3">
      <c r="C284" s="36"/>
    </row>
    <row r="285" customHeight="1" spans="3:3">
      <c r="C285" s="36"/>
    </row>
    <row r="286" customHeight="1" spans="3:3">
      <c r="C286" s="36"/>
    </row>
    <row r="287" customHeight="1" spans="3:3">
      <c r="C287" s="36"/>
    </row>
    <row r="288" customHeight="1" spans="3:3">
      <c r="C288" s="36"/>
    </row>
    <row r="289" customHeight="1" spans="3:3">
      <c r="C289" s="36"/>
    </row>
    <row r="290" customHeight="1" spans="3:3">
      <c r="C290" s="36"/>
    </row>
    <row r="291" customHeight="1" spans="3:3">
      <c r="C291" s="36"/>
    </row>
    <row r="292" customHeight="1" spans="3:3">
      <c r="C292" s="36"/>
    </row>
    <row r="293" customHeight="1" spans="3:3">
      <c r="C293" s="36"/>
    </row>
    <row r="294" customHeight="1" spans="3:3">
      <c r="C294" s="36"/>
    </row>
    <row r="295" customHeight="1" spans="3:3">
      <c r="C295" s="36"/>
    </row>
    <row r="296" customHeight="1" spans="3:3">
      <c r="C296" s="36"/>
    </row>
    <row r="297" customHeight="1" spans="3:3">
      <c r="C297" s="36"/>
    </row>
    <row r="298" customHeight="1" spans="3:3">
      <c r="C298" s="36"/>
    </row>
    <row r="299" customHeight="1" spans="3:3">
      <c r="C299" s="36"/>
    </row>
    <row r="300" customHeight="1" spans="3:3">
      <c r="C300" s="36"/>
    </row>
    <row r="301" customHeight="1" spans="3:3">
      <c r="C301" s="36"/>
    </row>
    <row r="302" customHeight="1" spans="3:3">
      <c r="C302" s="36"/>
    </row>
    <row r="303" customHeight="1" spans="3:3">
      <c r="C303" s="36"/>
    </row>
    <row r="304" customHeight="1" spans="3:3">
      <c r="C304" s="36"/>
    </row>
    <row r="305" customHeight="1" spans="3:3">
      <c r="C305" s="36"/>
    </row>
    <row r="306" customHeight="1" spans="3:3">
      <c r="C306" s="36"/>
    </row>
    <row r="307" customHeight="1" spans="3:3">
      <c r="C307" s="36"/>
    </row>
    <row r="308" customHeight="1" spans="3:3">
      <c r="C308" s="36"/>
    </row>
    <row r="309" customHeight="1" spans="3:3">
      <c r="C309" s="36"/>
    </row>
    <row r="310" customHeight="1" spans="3:3">
      <c r="C310" s="36"/>
    </row>
    <row r="311" customHeight="1" spans="3:3">
      <c r="C311" s="36"/>
    </row>
    <row r="312" customHeight="1" spans="3:3">
      <c r="C312" s="36"/>
    </row>
    <row r="313" customHeight="1" spans="3:3">
      <c r="C313" s="36"/>
    </row>
    <row r="314" customHeight="1" spans="3:3">
      <c r="C314" s="36"/>
    </row>
    <row r="315" customHeight="1" spans="3:3">
      <c r="C315" s="36"/>
    </row>
    <row r="316" customHeight="1" spans="3:3">
      <c r="C316" s="36"/>
    </row>
    <row r="317" customHeight="1" spans="3:3">
      <c r="C317" s="36"/>
    </row>
    <row r="318" customHeight="1" spans="3:3">
      <c r="C318" s="36"/>
    </row>
    <row r="319" customHeight="1" spans="3:3">
      <c r="C319" s="36"/>
    </row>
    <row r="320" customHeight="1" spans="3:3">
      <c r="C320" s="36"/>
    </row>
    <row r="321" customHeight="1" spans="3:3">
      <c r="C321" s="36"/>
    </row>
    <row r="322" customHeight="1" spans="3:3">
      <c r="C322" s="36"/>
    </row>
    <row r="323" customHeight="1" spans="3:3">
      <c r="C323" s="36"/>
    </row>
    <row r="324" customHeight="1" spans="3:3">
      <c r="C324" s="36"/>
    </row>
    <row r="325" customHeight="1" spans="3:3">
      <c r="C325" s="36"/>
    </row>
    <row r="326" customHeight="1" spans="3:3">
      <c r="C326" s="36"/>
    </row>
    <row r="327" customHeight="1" spans="3:3">
      <c r="C327" s="36"/>
    </row>
    <row r="328" customHeight="1" spans="3:3">
      <c r="C328" s="36"/>
    </row>
    <row r="329" customHeight="1" spans="3:3">
      <c r="C329" s="36"/>
    </row>
    <row r="330" customHeight="1" spans="3:3">
      <c r="C330" s="36"/>
    </row>
    <row r="331" customHeight="1" spans="3:3">
      <c r="C331" s="36"/>
    </row>
    <row r="332" customHeight="1" spans="3:3">
      <c r="C332" s="36"/>
    </row>
    <row r="333" customHeight="1" spans="3:3">
      <c r="C333" s="36"/>
    </row>
    <row r="334" customHeight="1" spans="3:3">
      <c r="C334" s="36"/>
    </row>
    <row r="335" customHeight="1" spans="3:3">
      <c r="C335" s="36"/>
    </row>
    <row r="336" customHeight="1" spans="3:3">
      <c r="C336" s="36"/>
    </row>
    <row r="337" customHeight="1" spans="3:3">
      <c r="C337" s="36"/>
    </row>
    <row r="338" customHeight="1" spans="3:3">
      <c r="C338" s="36"/>
    </row>
    <row r="339" customHeight="1" spans="3:3">
      <c r="C339" s="36"/>
    </row>
    <row r="340" customHeight="1" spans="3:3">
      <c r="C340" s="36"/>
    </row>
    <row r="341" customHeight="1" spans="3:3">
      <c r="C341" s="36"/>
    </row>
    <row r="342" customHeight="1" spans="3:3">
      <c r="C342" s="36"/>
    </row>
    <row r="343" customHeight="1" spans="3:3">
      <c r="C343" s="36"/>
    </row>
    <row r="344" customHeight="1" spans="3:3">
      <c r="C344" s="36"/>
    </row>
    <row r="345" customHeight="1" spans="3:3">
      <c r="C345" s="36"/>
    </row>
    <row r="346" customHeight="1" spans="3:3">
      <c r="C346" s="36"/>
    </row>
    <row r="347" customHeight="1" spans="3:3">
      <c r="C347" s="36"/>
    </row>
    <row r="348" customHeight="1" spans="3:3">
      <c r="C348" s="36"/>
    </row>
    <row r="349" customHeight="1" spans="3:3">
      <c r="C349" s="36"/>
    </row>
    <row r="350" customHeight="1" spans="3:3">
      <c r="C350" s="36"/>
    </row>
    <row r="351" customHeight="1" spans="3:3">
      <c r="C351" s="36"/>
    </row>
    <row r="352" customHeight="1" spans="3:3">
      <c r="C352" s="36"/>
    </row>
    <row r="353" customHeight="1" spans="3:3">
      <c r="C353" s="36"/>
    </row>
    <row r="354" customHeight="1" spans="3:3">
      <c r="C354" s="36"/>
    </row>
    <row r="355" customHeight="1" spans="3:3">
      <c r="C355" s="36"/>
    </row>
    <row r="356" customHeight="1" spans="3:3">
      <c r="C356" s="36"/>
    </row>
    <row r="357" customHeight="1" spans="3:3">
      <c r="C357" s="36"/>
    </row>
    <row r="358" customHeight="1" spans="3:3">
      <c r="C358" s="36"/>
    </row>
    <row r="359" customHeight="1" spans="3:3">
      <c r="C359" s="36"/>
    </row>
    <row r="360" customHeight="1" spans="3:3">
      <c r="C360" s="36"/>
    </row>
    <row r="361" customHeight="1" spans="3:3">
      <c r="C361" s="36"/>
    </row>
    <row r="362" customHeight="1" spans="3:3">
      <c r="C362" s="36"/>
    </row>
    <row r="363" customHeight="1" spans="3:3">
      <c r="C363" s="36"/>
    </row>
    <row r="364" customHeight="1" spans="3:3">
      <c r="C364" s="36"/>
    </row>
    <row r="365" customHeight="1" spans="3:3">
      <c r="C365" s="36"/>
    </row>
    <row r="366" customHeight="1" spans="3:3">
      <c r="C366" s="36"/>
    </row>
    <row r="367" customHeight="1" spans="3:3">
      <c r="C367" s="36"/>
    </row>
    <row r="368" customHeight="1" spans="3:3">
      <c r="C368" s="36"/>
    </row>
    <row r="369" customHeight="1" spans="3:3">
      <c r="C369" s="36"/>
    </row>
    <row r="370" customHeight="1" spans="3:3">
      <c r="C370" s="36"/>
    </row>
    <row r="371" customHeight="1" spans="3:3">
      <c r="C371" s="36"/>
    </row>
    <row r="372" customHeight="1" spans="3:3">
      <c r="C372" s="36"/>
    </row>
    <row r="373" customHeight="1" spans="3:3">
      <c r="C373" s="36"/>
    </row>
    <row r="374" customHeight="1" spans="3:3">
      <c r="C374" s="36"/>
    </row>
    <row r="375" customHeight="1" spans="3:3">
      <c r="C375" s="36"/>
    </row>
    <row r="376" customHeight="1" spans="3:3">
      <c r="C376" s="36"/>
    </row>
    <row r="377" customHeight="1" spans="3:3">
      <c r="C377" s="36"/>
    </row>
    <row r="378" customHeight="1" spans="3:3">
      <c r="C378" s="36"/>
    </row>
    <row r="379" customHeight="1" spans="3:3">
      <c r="C379" s="36"/>
    </row>
    <row r="380" customHeight="1" spans="3:3">
      <c r="C380" s="36"/>
    </row>
    <row r="381" customHeight="1" spans="3:3">
      <c r="C381" s="36"/>
    </row>
    <row r="382" customHeight="1" spans="3:3">
      <c r="C382" s="36"/>
    </row>
    <row r="383" customHeight="1" spans="3:3">
      <c r="C383" s="36"/>
    </row>
    <row r="384" customHeight="1" spans="3:3">
      <c r="C384" s="36"/>
    </row>
    <row r="385" customHeight="1" spans="3:3">
      <c r="C385" s="36"/>
    </row>
    <row r="386" customHeight="1" spans="3:3">
      <c r="C386" s="36"/>
    </row>
    <row r="387" customHeight="1" spans="3:3">
      <c r="C387" s="36"/>
    </row>
    <row r="388" customHeight="1" spans="3:3">
      <c r="C388" s="36"/>
    </row>
    <row r="389" customHeight="1" spans="3:3">
      <c r="C389" s="36"/>
    </row>
    <row r="390" customHeight="1" spans="3:3">
      <c r="C390" s="36"/>
    </row>
    <row r="391" customHeight="1" spans="3:3">
      <c r="C391" s="36"/>
    </row>
    <row r="392" customHeight="1" spans="3:3">
      <c r="C392" s="36"/>
    </row>
    <row r="393" customHeight="1" spans="3:3">
      <c r="C393" s="36"/>
    </row>
    <row r="394" customHeight="1" spans="3:3">
      <c r="C394" s="36"/>
    </row>
    <row r="395" customHeight="1" spans="3:3">
      <c r="C395" s="36"/>
    </row>
    <row r="396" customHeight="1" spans="3:3">
      <c r="C396" s="36"/>
    </row>
    <row r="397" customHeight="1" spans="3:3">
      <c r="C397" s="36"/>
    </row>
    <row r="398" customHeight="1" spans="3:3">
      <c r="C398" s="36"/>
    </row>
    <row r="399" customHeight="1" spans="3:3">
      <c r="C399" s="36"/>
    </row>
    <row r="400" customHeight="1" spans="3:3">
      <c r="C400" s="36"/>
    </row>
    <row r="401" customHeight="1" spans="3:3">
      <c r="C401" s="36"/>
    </row>
    <row r="402" customHeight="1" spans="3:3">
      <c r="C402" s="36"/>
    </row>
    <row r="403" customHeight="1" spans="3:3">
      <c r="C403" s="36"/>
    </row>
    <row r="404" customHeight="1" spans="3:3">
      <c r="C404" s="36"/>
    </row>
    <row r="405" customHeight="1" spans="3:3">
      <c r="C405" s="36"/>
    </row>
    <row r="406" customHeight="1" spans="3:3">
      <c r="C406" s="36"/>
    </row>
    <row r="407" customHeight="1" spans="3:3">
      <c r="C407" s="36"/>
    </row>
    <row r="408" customHeight="1" spans="3:3">
      <c r="C408" s="36"/>
    </row>
    <row r="409" customHeight="1" spans="3:3">
      <c r="C409" s="36"/>
    </row>
    <row r="410" customHeight="1" spans="3:3">
      <c r="C410" s="36"/>
    </row>
    <row r="411" customHeight="1" spans="3:3">
      <c r="C411" s="36"/>
    </row>
    <row r="412" customHeight="1" spans="3:3">
      <c r="C412" s="36"/>
    </row>
    <row r="413" customHeight="1" spans="3:3">
      <c r="C413" s="36"/>
    </row>
    <row r="414" customHeight="1" spans="3:3">
      <c r="C414" s="36"/>
    </row>
    <row r="415" customHeight="1" spans="3:3">
      <c r="C415" s="36"/>
    </row>
    <row r="416" customHeight="1" spans="3:3">
      <c r="C416" s="36"/>
    </row>
    <row r="417" customHeight="1" spans="3:3">
      <c r="C417" s="36"/>
    </row>
    <row r="418" customHeight="1" spans="3:3">
      <c r="C418" s="36"/>
    </row>
    <row r="419" customHeight="1" spans="3:3">
      <c r="C419" s="36"/>
    </row>
    <row r="420" customHeight="1" spans="3:3">
      <c r="C420" s="36"/>
    </row>
    <row r="421" customHeight="1" spans="3:3">
      <c r="C421" s="36"/>
    </row>
    <row r="422" customHeight="1" spans="3:3">
      <c r="C422" s="36"/>
    </row>
    <row r="423" customHeight="1" spans="3:3">
      <c r="C423" s="36"/>
    </row>
    <row r="424" customHeight="1" spans="3:3">
      <c r="C424" s="36"/>
    </row>
    <row r="425" customHeight="1" spans="3:3">
      <c r="C425" s="36"/>
    </row>
    <row r="426" customHeight="1" spans="3:3">
      <c r="C426" s="36"/>
    </row>
    <row r="427" customHeight="1" spans="3:3">
      <c r="C427" s="36"/>
    </row>
    <row r="428" customHeight="1" spans="3:3">
      <c r="C428" s="36"/>
    </row>
    <row r="429" customHeight="1" spans="3:3">
      <c r="C429" s="36"/>
    </row>
    <row r="430" customHeight="1" spans="3:3">
      <c r="C430" s="36"/>
    </row>
    <row r="431" customHeight="1" spans="3:3">
      <c r="C431" s="36"/>
    </row>
    <row r="432" customHeight="1" spans="3:3">
      <c r="C432" s="36"/>
    </row>
    <row r="433" customHeight="1" spans="3:3">
      <c r="C433" s="36"/>
    </row>
    <row r="434" customHeight="1" spans="3:3">
      <c r="C434" s="36"/>
    </row>
    <row r="435" customHeight="1" spans="3:3">
      <c r="C435" s="36"/>
    </row>
    <row r="436" customHeight="1" spans="3:3">
      <c r="C436" s="36"/>
    </row>
    <row r="437" customHeight="1" spans="3:3">
      <c r="C437" s="36"/>
    </row>
    <row r="438" customHeight="1" spans="3:3">
      <c r="C438" s="36"/>
    </row>
    <row r="439" customHeight="1" spans="3:3">
      <c r="C439" s="36"/>
    </row>
    <row r="440" customHeight="1" spans="3:3">
      <c r="C440" s="36"/>
    </row>
    <row r="441" customHeight="1" spans="3:3">
      <c r="C441" s="36"/>
    </row>
    <row r="442" customHeight="1" spans="3:3">
      <c r="C442" s="36"/>
    </row>
    <row r="443" customHeight="1" spans="3:3">
      <c r="C443" s="36"/>
    </row>
    <row r="444" customHeight="1" spans="3:3">
      <c r="C444" s="36"/>
    </row>
    <row r="445" customHeight="1" spans="3:3">
      <c r="C445" s="36"/>
    </row>
    <row r="446" customHeight="1" spans="3:3">
      <c r="C446" s="36"/>
    </row>
    <row r="447" customHeight="1" spans="3:3">
      <c r="C447" s="36"/>
    </row>
    <row r="448" customHeight="1" spans="3:3">
      <c r="C448" s="36"/>
    </row>
    <row r="449" customHeight="1" spans="3:3">
      <c r="C449" s="36"/>
    </row>
    <row r="450" customHeight="1" spans="3:3">
      <c r="C450" s="36"/>
    </row>
    <row r="451" customHeight="1" spans="3:3">
      <c r="C451" s="36"/>
    </row>
    <row r="452" customHeight="1" spans="3:3">
      <c r="C452" s="36"/>
    </row>
    <row r="453" customHeight="1" spans="3:3">
      <c r="C453" s="36"/>
    </row>
    <row r="454" customHeight="1" spans="3:3">
      <c r="C454" s="36"/>
    </row>
    <row r="455" customHeight="1" spans="3:3">
      <c r="C455" s="36"/>
    </row>
    <row r="456" customHeight="1" spans="3:3">
      <c r="C456" s="36"/>
    </row>
    <row r="457" customHeight="1" spans="3:3">
      <c r="C457" s="36"/>
    </row>
    <row r="458" customHeight="1" spans="3:3">
      <c r="C458" s="36"/>
    </row>
    <row r="459" customHeight="1" spans="3:3">
      <c r="C459" s="36"/>
    </row>
    <row r="460" customHeight="1" spans="3:3">
      <c r="C460" s="36"/>
    </row>
    <row r="461" customHeight="1" spans="3:3">
      <c r="C461" s="36"/>
    </row>
    <row r="462" customHeight="1" spans="3:3">
      <c r="C462" s="36"/>
    </row>
    <row r="463" customHeight="1" spans="3:3">
      <c r="C463" s="36"/>
    </row>
    <row r="464" customHeight="1" spans="3:3">
      <c r="C464" s="36"/>
    </row>
    <row r="465" customHeight="1" spans="3:3">
      <c r="C465" s="36"/>
    </row>
    <row r="466" customHeight="1" spans="3:3">
      <c r="C466" s="36"/>
    </row>
    <row r="467" customHeight="1" spans="3:3">
      <c r="C467" s="36"/>
    </row>
    <row r="468" customHeight="1" spans="3:3">
      <c r="C468" s="36"/>
    </row>
    <row r="469" customHeight="1" spans="3:3">
      <c r="C469" s="36"/>
    </row>
    <row r="470" customHeight="1" spans="3:3">
      <c r="C470" s="36"/>
    </row>
    <row r="471" customHeight="1" spans="3:3">
      <c r="C471" s="36"/>
    </row>
    <row r="472" customHeight="1" spans="3:3">
      <c r="C472" s="36"/>
    </row>
    <row r="473" customHeight="1" spans="3:3">
      <c r="C473" s="36"/>
    </row>
    <row r="474" customHeight="1" spans="3:3">
      <c r="C474" s="36"/>
    </row>
    <row r="475" customHeight="1" spans="3:3">
      <c r="C475" s="36"/>
    </row>
    <row r="476" customHeight="1" spans="3:3">
      <c r="C476" s="36"/>
    </row>
    <row r="477" customHeight="1" spans="3:3">
      <c r="C477" s="36"/>
    </row>
    <row r="478" customHeight="1" spans="3:3">
      <c r="C478" s="36"/>
    </row>
    <row r="479" customHeight="1" spans="3:3">
      <c r="C479" s="36"/>
    </row>
    <row r="480" customHeight="1" spans="3:3">
      <c r="C480" s="36"/>
    </row>
    <row r="481" customHeight="1" spans="3:3">
      <c r="C481" s="36"/>
    </row>
    <row r="482" customHeight="1" spans="3:3">
      <c r="C482" s="36"/>
    </row>
    <row r="483" customHeight="1" spans="3:3">
      <c r="C483" s="36"/>
    </row>
    <row r="484" customHeight="1" spans="3:3">
      <c r="C484" s="36"/>
    </row>
    <row r="485" customHeight="1" spans="3:3">
      <c r="C485" s="36"/>
    </row>
    <row r="486" customHeight="1" spans="3:3">
      <c r="C486" s="36"/>
    </row>
    <row r="487" customHeight="1" spans="3:3">
      <c r="C487" s="36"/>
    </row>
    <row r="488" customHeight="1" spans="3:3">
      <c r="C488" s="36"/>
    </row>
    <row r="489" customHeight="1" spans="3:3">
      <c r="C489" s="36"/>
    </row>
    <row r="490" customHeight="1" spans="3:3">
      <c r="C490" s="36"/>
    </row>
    <row r="491" customHeight="1" spans="3:3">
      <c r="C491" s="36"/>
    </row>
    <row r="492" customHeight="1" spans="3:3">
      <c r="C492" s="36"/>
    </row>
    <row r="493" customHeight="1" spans="3:3">
      <c r="C493" s="36"/>
    </row>
    <row r="494" customHeight="1" spans="3:3">
      <c r="C494" s="36"/>
    </row>
    <row r="495" customHeight="1" spans="3:3">
      <c r="C495" s="36"/>
    </row>
    <row r="496" customHeight="1" spans="3:3">
      <c r="C496" s="36"/>
    </row>
    <row r="497" customHeight="1" spans="3:3">
      <c r="C497" s="36"/>
    </row>
    <row r="498" customHeight="1" spans="3:3">
      <c r="C498" s="36"/>
    </row>
    <row r="499" customHeight="1" spans="3:3">
      <c r="C499" s="36"/>
    </row>
    <row r="500" customHeight="1" spans="3:3">
      <c r="C500" s="36"/>
    </row>
    <row r="501" customHeight="1" spans="3:3">
      <c r="C501" s="36"/>
    </row>
    <row r="502" customHeight="1" spans="3:3">
      <c r="C502" s="36"/>
    </row>
    <row r="503" customHeight="1" spans="3:3">
      <c r="C503" s="36"/>
    </row>
    <row r="504" customHeight="1" spans="3:3">
      <c r="C504" s="36"/>
    </row>
    <row r="505" customHeight="1" spans="3:3">
      <c r="C505" s="36"/>
    </row>
    <row r="506" customHeight="1" spans="3:3">
      <c r="C506" s="36"/>
    </row>
    <row r="507" customHeight="1" spans="3:3">
      <c r="C507" s="36"/>
    </row>
    <row r="508" customHeight="1" spans="3:3">
      <c r="C508" s="36"/>
    </row>
    <row r="509" customHeight="1" spans="3:3">
      <c r="C509" s="36"/>
    </row>
    <row r="510" customHeight="1" spans="3:3">
      <c r="C510" s="36"/>
    </row>
    <row r="511" customHeight="1" spans="3:3">
      <c r="C511" s="36"/>
    </row>
    <row r="512" customHeight="1" spans="3:3">
      <c r="C512" s="36"/>
    </row>
    <row r="513" customHeight="1" spans="3:3">
      <c r="C513" s="36"/>
    </row>
    <row r="514" customHeight="1" spans="3:3">
      <c r="C514" s="36"/>
    </row>
    <row r="515" customHeight="1" spans="3:3">
      <c r="C515" s="36"/>
    </row>
    <row r="516" customHeight="1" spans="3:3">
      <c r="C516" s="36"/>
    </row>
    <row r="517" customHeight="1" spans="3:3">
      <c r="C517" s="36"/>
    </row>
    <row r="518" customHeight="1" spans="3:3">
      <c r="C518" s="36"/>
    </row>
    <row r="519" customHeight="1" spans="3:3">
      <c r="C519" s="36"/>
    </row>
    <row r="520" customHeight="1" spans="3:3">
      <c r="C520" s="36"/>
    </row>
    <row r="521" customHeight="1" spans="3:3">
      <c r="C521" s="36"/>
    </row>
    <row r="522" customHeight="1" spans="3:3">
      <c r="C522" s="36"/>
    </row>
    <row r="523" customHeight="1" spans="3:3">
      <c r="C523" s="36"/>
    </row>
    <row r="524" customHeight="1" spans="3:3">
      <c r="C524" s="36"/>
    </row>
    <row r="525" customHeight="1" spans="3:3">
      <c r="C525" s="36"/>
    </row>
    <row r="526" customHeight="1" spans="3:3">
      <c r="C526" s="36"/>
    </row>
    <row r="527" customHeight="1" spans="3:3">
      <c r="C527" s="36"/>
    </row>
    <row r="528" customHeight="1" spans="3:3">
      <c r="C528" s="36"/>
    </row>
    <row r="529" customHeight="1" spans="3:3">
      <c r="C529" s="36"/>
    </row>
    <row r="530" customHeight="1" spans="3:3">
      <c r="C530" s="36"/>
    </row>
    <row r="531" customHeight="1" spans="3:3">
      <c r="C531" s="36"/>
    </row>
    <row r="532" customHeight="1" spans="3:3">
      <c r="C532" s="36"/>
    </row>
    <row r="533" customHeight="1" spans="3:3">
      <c r="C533" s="36"/>
    </row>
    <row r="534" customHeight="1" spans="3:3">
      <c r="C534" s="36"/>
    </row>
    <row r="535" customHeight="1" spans="3:3">
      <c r="C535" s="36"/>
    </row>
    <row r="536" customHeight="1" spans="3:3">
      <c r="C536" s="36"/>
    </row>
    <row r="537" customHeight="1" spans="3:3">
      <c r="C537" s="36"/>
    </row>
    <row r="538" customHeight="1" spans="3:3">
      <c r="C538" s="36"/>
    </row>
    <row r="539" customHeight="1" spans="3:3">
      <c r="C539" s="36"/>
    </row>
    <row r="540" customHeight="1" spans="3:3">
      <c r="C540" s="36"/>
    </row>
    <row r="541" customHeight="1" spans="3:3">
      <c r="C541" s="36"/>
    </row>
    <row r="542" customHeight="1" spans="3:3">
      <c r="C542" s="36"/>
    </row>
    <row r="543" customHeight="1" spans="3:3">
      <c r="C543" s="36"/>
    </row>
    <row r="544" customHeight="1" spans="3:3">
      <c r="C544" s="36"/>
    </row>
    <row r="545" customHeight="1" spans="3:3">
      <c r="C545" s="36"/>
    </row>
    <row r="546" customHeight="1" spans="3:3">
      <c r="C546" s="36"/>
    </row>
    <row r="547" customHeight="1" spans="3:3">
      <c r="C547" s="36"/>
    </row>
    <row r="548" customHeight="1" spans="3:3">
      <c r="C548" s="36"/>
    </row>
    <row r="549" customHeight="1" spans="3:3">
      <c r="C549" s="36"/>
    </row>
    <row r="550" customHeight="1" spans="3:3">
      <c r="C550" s="36"/>
    </row>
    <row r="551" customHeight="1" spans="3:3">
      <c r="C551" s="36"/>
    </row>
    <row r="552" customHeight="1" spans="3:3">
      <c r="C552" s="36"/>
    </row>
    <row r="553" customHeight="1" spans="3:3">
      <c r="C553" s="36"/>
    </row>
    <row r="554" customHeight="1" spans="3:3">
      <c r="C554" s="36"/>
    </row>
    <row r="555" customHeight="1" spans="3:3">
      <c r="C555" s="36"/>
    </row>
    <row r="556" customHeight="1" spans="3:3">
      <c r="C556" s="36"/>
    </row>
    <row r="557" customHeight="1" spans="3:3">
      <c r="C557" s="36"/>
    </row>
    <row r="558" customHeight="1" spans="3:3">
      <c r="C558" s="36"/>
    </row>
    <row r="559" customHeight="1" spans="3:3">
      <c r="C559" s="36"/>
    </row>
    <row r="560" customHeight="1" spans="3:3">
      <c r="C560" s="36"/>
    </row>
    <row r="561" customHeight="1" spans="3:3">
      <c r="C561" s="36"/>
    </row>
    <row r="562" customHeight="1" spans="3:3">
      <c r="C562" s="36"/>
    </row>
    <row r="563" customHeight="1" spans="3:3">
      <c r="C563" s="36"/>
    </row>
    <row r="564" customHeight="1" spans="3:3">
      <c r="C564" s="36"/>
    </row>
    <row r="565" customHeight="1" spans="3:3">
      <c r="C565" s="36"/>
    </row>
    <row r="566" customHeight="1" spans="3:3">
      <c r="C566" s="36"/>
    </row>
    <row r="567" customHeight="1" spans="3:3">
      <c r="C567" s="36"/>
    </row>
    <row r="568" customHeight="1" spans="3:3">
      <c r="C568" s="36"/>
    </row>
    <row r="569" customHeight="1" spans="3:3">
      <c r="C569" s="36"/>
    </row>
    <row r="570" customHeight="1" spans="3:3">
      <c r="C570" s="36"/>
    </row>
    <row r="571" customHeight="1" spans="3:3">
      <c r="C571" s="36"/>
    </row>
    <row r="572" customHeight="1" spans="3:3">
      <c r="C572" s="36"/>
    </row>
    <row r="573" customHeight="1" spans="3:3">
      <c r="C573" s="36"/>
    </row>
    <row r="574" customHeight="1" spans="3:3">
      <c r="C574" s="36"/>
    </row>
    <row r="575" customHeight="1" spans="3:3">
      <c r="C575" s="36"/>
    </row>
    <row r="576" customHeight="1" spans="3:3">
      <c r="C576" s="36"/>
    </row>
    <row r="577" customHeight="1" spans="3:3">
      <c r="C577" s="36"/>
    </row>
    <row r="578" customHeight="1" spans="3:3">
      <c r="C578" s="36"/>
    </row>
    <row r="579" customHeight="1" spans="3:3">
      <c r="C579" s="36"/>
    </row>
    <row r="580" customHeight="1" spans="3:3">
      <c r="C580" s="36"/>
    </row>
    <row r="581" customHeight="1" spans="3:3">
      <c r="C581" s="36"/>
    </row>
    <row r="582" customHeight="1" spans="3:3">
      <c r="C582" s="36"/>
    </row>
    <row r="583" customHeight="1" spans="3:3">
      <c r="C583" s="36"/>
    </row>
    <row r="584" customHeight="1" spans="3:3">
      <c r="C584" s="36"/>
    </row>
    <row r="585" customHeight="1" spans="3:3">
      <c r="C585" s="36"/>
    </row>
    <row r="586" customHeight="1" spans="3:3">
      <c r="C586" s="36"/>
    </row>
    <row r="587" customHeight="1" spans="3:3">
      <c r="C587" s="36"/>
    </row>
    <row r="588" customHeight="1" spans="3:3">
      <c r="C588" s="36"/>
    </row>
    <row r="589" customHeight="1" spans="3:3">
      <c r="C589" s="36"/>
    </row>
    <row r="590" customHeight="1" spans="3:3">
      <c r="C590" s="36"/>
    </row>
    <row r="591" customHeight="1" spans="3:3">
      <c r="C591" s="36"/>
    </row>
    <row r="592" customHeight="1" spans="3:3">
      <c r="C592" s="36"/>
    </row>
    <row r="593" customHeight="1" spans="3:3">
      <c r="C593" s="36"/>
    </row>
    <row r="594" customHeight="1" spans="3:3">
      <c r="C594" s="36"/>
    </row>
    <row r="595" customHeight="1" spans="3:3">
      <c r="C595" s="36"/>
    </row>
    <row r="596" customHeight="1" spans="3:3">
      <c r="C596" s="36"/>
    </row>
    <row r="597" customHeight="1" spans="3:3">
      <c r="C597" s="36"/>
    </row>
    <row r="598" customHeight="1" spans="3:3">
      <c r="C598" s="36"/>
    </row>
    <row r="599" customHeight="1" spans="3:3">
      <c r="C599" s="36"/>
    </row>
    <row r="600" customHeight="1" spans="3:3">
      <c r="C600" s="36"/>
    </row>
    <row r="601" customHeight="1" spans="3:3">
      <c r="C601" s="36"/>
    </row>
    <row r="602" customHeight="1" spans="3:3">
      <c r="C602" s="36"/>
    </row>
    <row r="603" customHeight="1" spans="3:3">
      <c r="C603" s="36"/>
    </row>
    <row r="604" customHeight="1" spans="3:3">
      <c r="C604" s="36"/>
    </row>
    <row r="605" customHeight="1" spans="3:3">
      <c r="C605" s="36"/>
    </row>
    <row r="606" customHeight="1" spans="3:3">
      <c r="C606" s="36"/>
    </row>
    <row r="607" customHeight="1" spans="3:3">
      <c r="C607" s="36"/>
    </row>
    <row r="608" customHeight="1" spans="3:3">
      <c r="C608" s="36"/>
    </row>
    <row r="609" customHeight="1" spans="3:3">
      <c r="C609" s="36"/>
    </row>
    <row r="610" customHeight="1" spans="3:3">
      <c r="C610" s="36"/>
    </row>
    <row r="611" customHeight="1" spans="3:3">
      <c r="C611" s="36"/>
    </row>
    <row r="612" customHeight="1" spans="3:3">
      <c r="C612" s="36"/>
    </row>
    <row r="613" customHeight="1" spans="3:3">
      <c r="C613" s="36"/>
    </row>
    <row r="614" customHeight="1" spans="3:3">
      <c r="C614" s="36"/>
    </row>
    <row r="615" customHeight="1" spans="3:3">
      <c r="C615" s="36"/>
    </row>
    <row r="616" customHeight="1" spans="3:3">
      <c r="C616" s="36"/>
    </row>
    <row r="617" customHeight="1" spans="3:3">
      <c r="C617" s="36"/>
    </row>
    <row r="618" customHeight="1" spans="3:3">
      <c r="C618" s="36"/>
    </row>
    <row r="619" customHeight="1" spans="3:3">
      <c r="C619" s="36"/>
    </row>
    <row r="620" customHeight="1" spans="3:3">
      <c r="C620" s="36"/>
    </row>
    <row r="621" customHeight="1" spans="3:3">
      <c r="C621" s="36"/>
    </row>
    <row r="622" customHeight="1" spans="3:3">
      <c r="C622" s="36"/>
    </row>
    <row r="623" customHeight="1" spans="3:3">
      <c r="C623" s="36"/>
    </row>
    <row r="624" customHeight="1" spans="3:3">
      <c r="C624" s="36"/>
    </row>
    <row r="625" customHeight="1" spans="3:3">
      <c r="C625" s="36"/>
    </row>
    <row r="626" customHeight="1" spans="3:3">
      <c r="C626" s="36"/>
    </row>
    <row r="627" customHeight="1" spans="3:3">
      <c r="C627" s="36"/>
    </row>
    <row r="628" customHeight="1" spans="3:3">
      <c r="C628" s="36"/>
    </row>
    <row r="629" customHeight="1" spans="3:3">
      <c r="C629" s="36"/>
    </row>
    <row r="630" customHeight="1" spans="3:3">
      <c r="C630" s="36"/>
    </row>
    <row r="631" customHeight="1" spans="3:3">
      <c r="C631" s="36"/>
    </row>
    <row r="632" customHeight="1" spans="3:3">
      <c r="C632" s="36"/>
    </row>
    <row r="633" customHeight="1" spans="3:3">
      <c r="C633" s="36"/>
    </row>
    <row r="634" customHeight="1" spans="3:3">
      <c r="C634" s="36"/>
    </row>
    <row r="635" customHeight="1" spans="3:3">
      <c r="C635" s="36"/>
    </row>
    <row r="636" customHeight="1" spans="3:3">
      <c r="C636" s="36"/>
    </row>
    <row r="637" customHeight="1" spans="3:3">
      <c r="C637" s="36"/>
    </row>
    <row r="638" customHeight="1" spans="3:3">
      <c r="C638" s="36"/>
    </row>
    <row r="639" customHeight="1" spans="3:3">
      <c r="C639" s="36"/>
    </row>
    <row r="640" customHeight="1" spans="3:3">
      <c r="C640" s="36"/>
    </row>
    <row r="641" customHeight="1" spans="3:3">
      <c r="C641" s="36"/>
    </row>
    <row r="642" customHeight="1" spans="3:3">
      <c r="C642" s="36"/>
    </row>
    <row r="643" customHeight="1" spans="3:3">
      <c r="C643" s="36"/>
    </row>
    <row r="644" customHeight="1" spans="3:3">
      <c r="C644" s="36"/>
    </row>
    <row r="645" customHeight="1" spans="3:3">
      <c r="C645" s="36"/>
    </row>
    <row r="646" customHeight="1" spans="3:3">
      <c r="C646" s="36"/>
    </row>
    <row r="647" customHeight="1" spans="3:3">
      <c r="C647" s="36"/>
    </row>
    <row r="648" customHeight="1" spans="3:3">
      <c r="C648" s="36"/>
    </row>
    <row r="649" customHeight="1" spans="3:3">
      <c r="C649" s="36"/>
    </row>
    <row r="650" customHeight="1" spans="3:3">
      <c r="C650" s="36"/>
    </row>
    <row r="651" customHeight="1" spans="3:3">
      <c r="C651" s="36"/>
    </row>
    <row r="652" customHeight="1" spans="3:3">
      <c r="C652" s="36"/>
    </row>
    <row r="653" customHeight="1" spans="3:3">
      <c r="C653" s="36"/>
    </row>
    <row r="654" customHeight="1" spans="3:3">
      <c r="C654" s="36"/>
    </row>
    <row r="655" customHeight="1" spans="3:3">
      <c r="C655" s="36"/>
    </row>
    <row r="656" customHeight="1" spans="3:3">
      <c r="C656" s="36"/>
    </row>
    <row r="657" customHeight="1" spans="3:3">
      <c r="C657" s="36"/>
    </row>
    <row r="658" customHeight="1" spans="3:3">
      <c r="C658" s="36"/>
    </row>
    <row r="659" customHeight="1" spans="3:3">
      <c r="C659" s="36"/>
    </row>
    <row r="660" customHeight="1" spans="3:3">
      <c r="C660" s="36"/>
    </row>
    <row r="661" customHeight="1" spans="3:3">
      <c r="C661" s="36"/>
    </row>
    <row r="662" customHeight="1" spans="3:3">
      <c r="C662" s="36"/>
    </row>
    <row r="663" customHeight="1" spans="3:3">
      <c r="C663" s="36"/>
    </row>
    <row r="664" customHeight="1" spans="3:3">
      <c r="C664" s="36"/>
    </row>
    <row r="665" customHeight="1" spans="3:3">
      <c r="C665" s="36"/>
    </row>
    <row r="666" customHeight="1" spans="3:3">
      <c r="C666" s="36"/>
    </row>
    <row r="667" customHeight="1" spans="3:3">
      <c r="C667" s="36"/>
    </row>
    <row r="668" customHeight="1" spans="3:3">
      <c r="C668" s="36"/>
    </row>
    <row r="669" customHeight="1" spans="3:3">
      <c r="C669" s="36"/>
    </row>
    <row r="670" customHeight="1" spans="3:3">
      <c r="C670" s="36"/>
    </row>
    <row r="671" customHeight="1" spans="3:3">
      <c r="C671" s="36"/>
    </row>
    <row r="672" customHeight="1" spans="3:3">
      <c r="C672" s="36"/>
    </row>
    <row r="673" customHeight="1" spans="3:3">
      <c r="C673" s="36"/>
    </row>
    <row r="674" customHeight="1" spans="3:3">
      <c r="C674" s="36"/>
    </row>
    <row r="675" customHeight="1" spans="3:3">
      <c r="C675" s="36"/>
    </row>
    <row r="676" customHeight="1" spans="3:3">
      <c r="C676" s="36"/>
    </row>
    <row r="677" customHeight="1" spans="3:3">
      <c r="C677" s="36"/>
    </row>
    <row r="678" customHeight="1" spans="3:3">
      <c r="C678" s="36"/>
    </row>
    <row r="679" customHeight="1" spans="3:3">
      <c r="C679" s="36"/>
    </row>
    <row r="680" customHeight="1" spans="3:3">
      <c r="C680" s="36"/>
    </row>
    <row r="681" customHeight="1" spans="3:3">
      <c r="C681" s="36"/>
    </row>
    <row r="682" customHeight="1" spans="3:3">
      <c r="C682" s="36"/>
    </row>
    <row r="683" customHeight="1" spans="3:3">
      <c r="C683" s="36"/>
    </row>
    <row r="684" customHeight="1" spans="3:3">
      <c r="C684" s="36"/>
    </row>
    <row r="685" customHeight="1" spans="3:3">
      <c r="C685" s="36"/>
    </row>
    <row r="686" customHeight="1" spans="3:3">
      <c r="C686" s="36"/>
    </row>
    <row r="687" customHeight="1" spans="3:3">
      <c r="C687" s="36"/>
    </row>
    <row r="688" customHeight="1" spans="3:3">
      <c r="C688" s="36"/>
    </row>
    <row r="689" customHeight="1" spans="3:3">
      <c r="C689" s="36"/>
    </row>
    <row r="690" customHeight="1" spans="3:3">
      <c r="C690" s="36"/>
    </row>
    <row r="691" customHeight="1" spans="3:3">
      <c r="C691" s="36"/>
    </row>
    <row r="692" customHeight="1" spans="3:3">
      <c r="C692" s="36"/>
    </row>
    <row r="693" customHeight="1" spans="3:3">
      <c r="C693" s="36"/>
    </row>
    <row r="694" customHeight="1" spans="3:3">
      <c r="C694" s="36"/>
    </row>
    <row r="695" customHeight="1" spans="3:3">
      <c r="C695" s="36"/>
    </row>
    <row r="696" customHeight="1" spans="3:3">
      <c r="C696" s="36"/>
    </row>
    <row r="697" customHeight="1" spans="3:3">
      <c r="C697" s="36"/>
    </row>
    <row r="698" customHeight="1" spans="3:3">
      <c r="C698" s="36"/>
    </row>
    <row r="699" customHeight="1" spans="3:3">
      <c r="C699" s="36"/>
    </row>
    <row r="700" customHeight="1" spans="3:3">
      <c r="C700" s="36"/>
    </row>
    <row r="701" customHeight="1" spans="3:3">
      <c r="C701" s="36"/>
    </row>
    <row r="702" customHeight="1" spans="3:3">
      <c r="C702" s="36"/>
    </row>
    <row r="703" customHeight="1" spans="3:3">
      <c r="C703" s="36"/>
    </row>
    <row r="704" customHeight="1" spans="3:3">
      <c r="C704" s="36"/>
    </row>
    <row r="705" customHeight="1" spans="3:3">
      <c r="C705" s="36"/>
    </row>
    <row r="706" customHeight="1" spans="3:3">
      <c r="C706" s="36"/>
    </row>
    <row r="707" customHeight="1" spans="3:3">
      <c r="C707" s="36"/>
    </row>
    <row r="708" customHeight="1" spans="3:3">
      <c r="C708" s="36"/>
    </row>
    <row r="709" customHeight="1" spans="3:3">
      <c r="C709" s="36"/>
    </row>
    <row r="710" customHeight="1" spans="3:3">
      <c r="C710" s="36"/>
    </row>
    <row r="711" customHeight="1" spans="3:3">
      <c r="C711" s="36"/>
    </row>
    <row r="712" customHeight="1" spans="3:3">
      <c r="C712" s="36"/>
    </row>
    <row r="713" customHeight="1" spans="3:3">
      <c r="C713" s="36"/>
    </row>
    <row r="714" customHeight="1" spans="3:3">
      <c r="C714" s="36"/>
    </row>
    <row r="715" customHeight="1" spans="3:3">
      <c r="C715" s="36"/>
    </row>
    <row r="716" customHeight="1" spans="3:3">
      <c r="C716" s="36"/>
    </row>
    <row r="717" customHeight="1" spans="3:3">
      <c r="C717" s="36"/>
    </row>
    <row r="718" customHeight="1" spans="3:3">
      <c r="C718" s="36"/>
    </row>
    <row r="719" customHeight="1" spans="3:3">
      <c r="C719" s="36"/>
    </row>
    <row r="720" customHeight="1" spans="3:3">
      <c r="C720" s="36"/>
    </row>
    <row r="721" customHeight="1" spans="3:3">
      <c r="C721" s="36"/>
    </row>
    <row r="722" customHeight="1" spans="3:3">
      <c r="C722" s="36"/>
    </row>
    <row r="723" customHeight="1" spans="3:3">
      <c r="C723" s="36"/>
    </row>
    <row r="724" customHeight="1" spans="3:3">
      <c r="C724" s="36"/>
    </row>
    <row r="725" customHeight="1" spans="3:3">
      <c r="C725" s="36"/>
    </row>
    <row r="726" customHeight="1" spans="3:3">
      <c r="C726" s="36"/>
    </row>
    <row r="727" customHeight="1" spans="3:3">
      <c r="C727" s="36"/>
    </row>
    <row r="728" customHeight="1" spans="3:3">
      <c r="C728" s="36"/>
    </row>
    <row r="729" customHeight="1" spans="3:3">
      <c r="C729" s="36"/>
    </row>
    <row r="730" customHeight="1" spans="3:3">
      <c r="C730" s="36"/>
    </row>
    <row r="731" customHeight="1" spans="3:3">
      <c r="C731" s="36"/>
    </row>
    <row r="732" customHeight="1" spans="3:3">
      <c r="C732" s="36"/>
    </row>
    <row r="733" customHeight="1" spans="3:3">
      <c r="C733" s="36"/>
    </row>
    <row r="734" customHeight="1" spans="3:3">
      <c r="C734" s="36"/>
    </row>
    <row r="735" customHeight="1" spans="3:3">
      <c r="C735" s="36"/>
    </row>
    <row r="736" customHeight="1" spans="3:3">
      <c r="C736" s="36"/>
    </row>
    <row r="737" customHeight="1" spans="3:3">
      <c r="C737" s="36"/>
    </row>
    <row r="738" customHeight="1" spans="3:3">
      <c r="C738" s="36"/>
    </row>
    <row r="739" customHeight="1" spans="3:3">
      <c r="C739" s="36"/>
    </row>
    <row r="740" customHeight="1" spans="3:3">
      <c r="C740" s="36"/>
    </row>
    <row r="741" customHeight="1" spans="3:3">
      <c r="C741" s="36"/>
    </row>
    <row r="742" customHeight="1" spans="3:3">
      <c r="C742" s="36"/>
    </row>
    <row r="743" customHeight="1" spans="3:3">
      <c r="C743" s="36"/>
    </row>
    <row r="744" customHeight="1" spans="3:3">
      <c r="C744" s="36"/>
    </row>
    <row r="745" customHeight="1" spans="3:3">
      <c r="C745" s="36"/>
    </row>
    <row r="746" customHeight="1" spans="3:3">
      <c r="C746" s="36"/>
    </row>
    <row r="747" customHeight="1" spans="3:3">
      <c r="C747" s="36"/>
    </row>
    <row r="748" customHeight="1" spans="3:3">
      <c r="C748" s="36"/>
    </row>
    <row r="749" customHeight="1" spans="3:3">
      <c r="C749" s="36"/>
    </row>
    <row r="750" customHeight="1" spans="3:3">
      <c r="C750" s="36"/>
    </row>
    <row r="751" customHeight="1" spans="3:3">
      <c r="C751" s="36"/>
    </row>
    <row r="752" customHeight="1" spans="3:3">
      <c r="C752" s="36"/>
    </row>
    <row r="753" customHeight="1" spans="3:3">
      <c r="C753" s="36"/>
    </row>
    <row r="754" customHeight="1" spans="3:3">
      <c r="C754" s="36"/>
    </row>
    <row r="755" customHeight="1" spans="3:3">
      <c r="C755" s="36"/>
    </row>
    <row r="756" customHeight="1" spans="3:3">
      <c r="C756" s="36"/>
    </row>
    <row r="757" customHeight="1" spans="3:3">
      <c r="C757" s="36"/>
    </row>
    <row r="758" customHeight="1" spans="3:3">
      <c r="C758" s="36"/>
    </row>
    <row r="759" customHeight="1" spans="3:3">
      <c r="C759" s="36"/>
    </row>
    <row r="760" customHeight="1" spans="3:3">
      <c r="C760" s="36"/>
    </row>
    <row r="761" customHeight="1" spans="3:3">
      <c r="C761" s="36"/>
    </row>
    <row r="762" customHeight="1" spans="3:3">
      <c r="C762" s="36"/>
    </row>
    <row r="763" customHeight="1" spans="3:3">
      <c r="C763" s="36"/>
    </row>
    <row r="764" customHeight="1" spans="3:3">
      <c r="C764" s="36"/>
    </row>
    <row r="765" customHeight="1" spans="3:3">
      <c r="C765" s="36"/>
    </row>
    <row r="766" customHeight="1" spans="3:3">
      <c r="C766" s="36"/>
    </row>
    <row r="767" customHeight="1" spans="3:3">
      <c r="C767" s="36"/>
    </row>
    <row r="768" customHeight="1" spans="3:3">
      <c r="C768" s="36"/>
    </row>
    <row r="769" customHeight="1" spans="3:3">
      <c r="C769" s="36"/>
    </row>
    <row r="770" customHeight="1" spans="3:3">
      <c r="C770" s="36"/>
    </row>
    <row r="771" customHeight="1" spans="3:3">
      <c r="C771" s="36"/>
    </row>
    <row r="772" customHeight="1" spans="3:3">
      <c r="C772" s="36"/>
    </row>
    <row r="773" customHeight="1" spans="3:3">
      <c r="C773" s="36"/>
    </row>
    <row r="774" customHeight="1" spans="3:3">
      <c r="C774" s="36"/>
    </row>
    <row r="775" customHeight="1" spans="3:3">
      <c r="C775" s="36"/>
    </row>
    <row r="776" customHeight="1" spans="3:3">
      <c r="C776" s="36"/>
    </row>
    <row r="777" customHeight="1" spans="3:3">
      <c r="C777" s="36"/>
    </row>
    <row r="778" customHeight="1" spans="3:3">
      <c r="C778" s="36"/>
    </row>
    <row r="779" customHeight="1" spans="3:3">
      <c r="C779" s="36"/>
    </row>
    <row r="780" customHeight="1" spans="3:3">
      <c r="C780" s="36"/>
    </row>
    <row r="781" customHeight="1" spans="3:3">
      <c r="C781" s="36"/>
    </row>
    <row r="782" customHeight="1" spans="3:3">
      <c r="C782" s="36"/>
    </row>
    <row r="783" customHeight="1" spans="3:3">
      <c r="C783" s="36"/>
    </row>
    <row r="784" customHeight="1" spans="3:3">
      <c r="C784" s="36"/>
    </row>
    <row r="785" customHeight="1" spans="3:3">
      <c r="C785" s="36"/>
    </row>
    <row r="786" customHeight="1" spans="3:3">
      <c r="C786" s="36"/>
    </row>
    <row r="787" customHeight="1" spans="3:3">
      <c r="C787" s="36"/>
    </row>
    <row r="788" customHeight="1" spans="3:3">
      <c r="C788" s="36"/>
    </row>
    <row r="789" customHeight="1" spans="3:3">
      <c r="C789" s="36"/>
    </row>
    <row r="790" customHeight="1" spans="3:3">
      <c r="C790" s="36"/>
    </row>
    <row r="791" customHeight="1" spans="3:3">
      <c r="C791" s="36"/>
    </row>
    <row r="792" customHeight="1" spans="3:3">
      <c r="C792" s="36"/>
    </row>
    <row r="793" customHeight="1" spans="3:3">
      <c r="C793" s="36"/>
    </row>
    <row r="794" customHeight="1" spans="3:3">
      <c r="C794" s="36"/>
    </row>
    <row r="795" customHeight="1" spans="3:3">
      <c r="C795" s="36"/>
    </row>
    <row r="796" customHeight="1" spans="3:3">
      <c r="C796" s="36"/>
    </row>
    <row r="797" customHeight="1" spans="3:3">
      <c r="C797" s="36"/>
    </row>
    <row r="798" customHeight="1" spans="3:3">
      <c r="C798" s="36"/>
    </row>
    <row r="799" customHeight="1" spans="3:3">
      <c r="C799" s="36"/>
    </row>
    <row r="800" customHeight="1" spans="3:3">
      <c r="C800" s="36"/>
    </row>
    <row r="801" customHeight="1" spans="3:3">
      <c r="C801" s="36"/>
    </row>
    <row r="802" customHeight="1" spans="3:3">
      <c r="C802" s="36"/>
    </row>
    <row r="803" customHeight="1" spans="3:3">
      <c r="C803" s="36"/>
    </row>
    <row r="804" customHeight="1" spans="3:3">
      <c r="C804" s="36"/>
    </row>
    <row r="805" customHeight="1" spans="3:3">
      <c r="C805" s="36"/>
    </row>
    <row r="806" customHeight="1" spans="3:3">
      <c r="C806" s="36"/>
    </row>
    <row r="807" customHeight="1" spans="3:3">
      <c r="C807" s="36"/>
    </row>
    <row r="808" customHeight="1" spans="3:3">
      <c r="C808" s="36"/>
    </row>
    <row r="809" customHeight="1" spans="3:3">
      <c r="C809" s="36"/>
    </row>
    <row r="810" customHeight="1" spans="3:3">
      <c r="C810" s="36"/>
    </row>
    <row r="811" customHeight="1" spans="3:3">
      <c r="C811" s="36"/>
    </row>
    <row r="812" customHeight="1" spans="3:3">
      <c r="C812" s="36"/>
    </row>
    <row r="813" customHeight="1" spans="3:3">
      <c r="C813" s="36"/>
    </row>
    <row r="814" customHeight="1" spans="3:3">
      <c r="C814" s="36"/>
    </row>
    <row r="815" customHeight="1" spans="3:3">
      <c r="C815" s="36"/>
    </row>
    <row r="816" customHeight="1" spans="3:3">
      <c r="C816" s="36"/>
    </row>
    <row r="817" customHeight="1" spans="3:3">
      <c r="C817" s="36"/>
    </row>
    <row r="818" customHeight="1" spans="3:3">
      <c r="C818" s="36"/>
    </row>
    <row r="819" customHeight="1" spans="3:3">
      <c r="C819" s="36"/>
    </row>
    <row r="820" customHeight="1" spans="3:3">
      <c r="C820" s="36"/>
    </row>
    <row r="821" customHeight="1" spans="3:3">
      <c r="C821" s="36"/>
    </row>
    <row r="822" customHeight="1" spans="3:3">
      <c r="C822" s="36"/>
    </row>
    <row r="823" customHeight="1" spans="3:3">
      <c r="C823" s="36"/>
    </row>
    <row r="824" customHeight="1" spans="3:3">
      <c r="C824" s="36"/>
    </row>
    <row r="825" customHeight="1" spans="3:3">
      <c r="C825" s="36"/>
    </row>
    <row r="826" customHeight="1" spans="3:3">
      <c r="C826" s="36"/>
    </row>
    <row r="827" customHeight="1" spans="3:3">
      <c r="C827" s="36"/>
    </row>
    <row r="828" customHeight="1" spans="3:3">
      <c r="C828" s="36"/>
    </row>
    <row r="829" customHeight="1" spans="3:3">
      <c r="C829" s="36"/>
    </row>
    <row r="830" customHeight="1" spans="3:3">
      <c r="C830" s="36"/>
    </row>
    <row r="831" customHeight="1" spans="3:3">
      <c r="C831" s="36"/>
    </row>
    <row r="832" customHeight="1" spans="3:3">
      <c r="C832" s="36"/>
    </row>
    <row r="833" customHeight="1" spans="3:3">
      <c r="C833" s="36"/>
    </row>
    <row r="834" customHeight="1" spans="3:3">
      <c r="C834" s="36"/>
    </row>
    <row r="835" customHeight="1" spans="3:3">
      <c r="C835" s="36"/>
    </row>
    <row r="836" customHeight="1" spans="3:3">
      <c r="C836" s="36"/>
    </row>
    <row r="837" customHeight="1" spans="3:3">
      <c r="C837" s="36"/>
    </row>
    <row r="838" customHeight="1" spans="3:3">
      <c r="C838" s="36"/>
    </row>
    <row r="839" customHeight="1" spans="3:3">
      <c r="C839" s="36"/>
    </row>
    <row r="840" customHeight="1" spans="3:3">
      <c r="C840" s="36"/>
    </row>
    <row r="841" customHeight="1" spans="3:3">
      <c r="C841" s="36"/>
    </row>
    <row r="842" customHeight="1" spans="3:3">
      <c r="C842" s="36"/>
    </row>
    <row r="843" customHeight="1" spans="3:3">
      <c r="C843" s="36"/>
    </row>
    <row r="844" customHeight="1" spans="3:3">
      <c r="C844" s="36"/>
    </row>
    <row r="845" customHeight="1" spans="3:3">
      <c r="C845" s="36"/>
    </row>
    <row r="846" customHeight="1" spans="3:3">
      <c r="C846" s="36"/>
    </row>
    <row r="847" customHeight="1" spans="3:3">
      <c r="C847" s="36"/>
    </row>
    <row r="848" customHeight="1" spans="3:3">
      <c r="C848" s="36"/>
    </row>
    <row r="849" customHeight="1" spans="3:3">
      <c r="C849" s="36"/>
    </row>
    <row r="850" customHeight="1" spans="3:3">
      <c r="C850" s="36"/>
    </row>
    <row r="851" customHeight="1" spans="3:3">
      <c r="C851" s="36"/>
    </row>
    <row r="852" customHeight="1" spans="3:3">
      <c r="C852" s="36"/>
    </row>
    <row r="853" customHeight="1" spans="3:3">
      <c r="C853" s="36"/>
    </row>
    <row r="854" customHeight="1" spans="3:3">
      <c r="C854" s="36"/>
    </row>
    <row r="855" customHeight="1" spans="3:3">
      <c r="C855" s="36"/>
    </row>
    <row r="856" customHeight="1" spans="3:3">
      <c r="C856" s="36"/>
    </row>
    <row r="857" customHeight="1" spans="3:3">
      <c r="C857" s="36"/>
    </row>
    <row r="858" customHeight="1" spans="3:3">
      <c r="C858" s="36"/>
    </row>
    <row r="859" customHeight="1" spans="3:3">
      <c r="C859" s="36"/>
    </row>
    <row r="860" customHeight="1" spans="3:3">
      <c r="C860" s="36"/>
    </row>
    <row r="861" customHeight="1" spans="3:3">
      <c r="C861" s="36"/>
    </row>
    <row r="862" customHeight="1" spans="3:3">
      <c r="C862" s="36"/>
    </row>
    <row r="863" customHeight="1" spans="3:3">
      <c r="C863" s="36"/>
    </row>
    <row r="864" customHeight="1" spans="3:3">
      <c r="C864" s="36"/>
    </row>
    <row r="865" customHeight="1" spans="3:3">
      <c r="C865" s="36"/>
    </row>
    <row r="866" customHeight="1" spans="3:3">
      <c r="C866" s="36"/>
    </row>
    <row r="867" customHeight="1" spans="3:3">
      <c r="C867" s="36"/>
    </row>
    <row r="868" customHeight="1" spans="3:3">
      <c r="C868" s="36"/>
    </row>
    <row r="869" customHeight="1" spans="3:3">
      <c r="C869" s="36"/>
    </row>
    <row r="870" customHeight="1" spans="3:3">
      <c r="C870" s="36"/>
    </row>
    <row r="871" customHeight="1" spans="3:3">
      <c r="C871" s="36"/>
    </row>
    <row r="872" customHeight="1" spans="3:3">
      <c r="C872" s="36"/>
    </row>
    <row r="873" customHeight="1" spans="3:3">
      <c r="C873" s="36"/>
    </row>
    <row r="874" customHeight="1" spans="3:3">
      <c r="C874" s="36"/>
    </row>
    <row r="875" customHeight="1" spans="3:3">
      <c r="C875" s="36"/>
    </row>
    <row r="876" customHeight="1" spans="3:3">
      <c r="C876" s="36"/>
    </row>
    <row r="877" customHeight="1" spans="3:3">
      <c r="C877" s="36"/>
    </row>
    <row r="878" customHeight="1" spans="3:3">
      <c r="C878" s="36"/>
    </row>
    <row r="879" customHeight="1" spans="3:3">
      <c r="C879" s="36"/>
    </row>
    <row r="880" customHeight="1" spans="3:3">
      <c r="C880" s="36"/>
    </row>
    <row r="881" customHeight="1" spans="3:3">
      <c r="C881" s="36"/>
    </row>
    <row r="882" customHeight="1" spans="3:3">
      <c r="C882" s="36"/>
    </row>
    <row r="883" customHeight="1" spans="3:3">
      <c r="C883" s="36"/>
    </row>
    <row r="884" customHeight="1" spans="3:3">
      <c r="C884" s="36"/>
    </row>
    <row r="885" customHeight="1" spans="3:3">
      <c r="C885" s="36"/>
    </row>
    <row r="886" customHeight="1" spans="3:3">
      <c r="C886" s="36"/>
    </row>
    <row r="887" customHeight="1" spans="3:3">
      <c r="C887" s="36"/>
    </row>
    <row r="888" customHeight="1" spans="3:3">
      <c r="C888" s="36"/>
    </row>
    <row r="889" customHeight="1" spans="3:3">
      <c r="C889" s="36"/>
    </row>
    <row r="890" customHeight="1" spans="3:3">
      <c r="C890" s="36"/>
    </row>
    <row r="891" customHeight="1" spans="3:3">
      <c r="C891" s="36"/>
    </row>
    <row r="892" customHeight="1" spans="3:3">
      <c r="C892" s="36"/>
    </row>
    <row r="893" customHeight="1" spans="3:3">
      <c r="C893" s="36"/>
    </row>
    <row r="894" customHeight="1" spans="3:3">
      <c r="C894" s="36"/>
    </row>
    <row r="895" customHeight="1" spans="3:3">
      <c r="C895" s="36"/>
    </row>
    <row r="896" customHeight="1" spans="3:3">
      <c r="C896" s="36"/>
    </row>
    <row r="897" customHeight="1" spans="3:3">
      <c r="C897" s="36"/>
    </row>
    <row r="898" customHeight="1" spans="3:3">
      <c r="C898" s="36"/>
    </row>
    <row r="899" customHeight="1" spans="3:3">
      <c r="C899" s="36"/>
    </row>
    <row r="900" customHeight="1" spans="3:3">
      <c r="C900" s="36"/>
    </row>
    <row r="901" customHeight="1" spans="3:3">
      <c r="C901" s="36"/>
    </row>
    <row r="902" customHeight="1" spans="3:3">
      <c r="C902" s="36"/>
    </row>
    <row r="903" customHeight="1" spans="3:3">
      <c r="C903" s="36"/>
    </row>
    <row r="904" customHeight="1" spans="3:3">
      <c r="C904" s="36"/>
    </row>
    <row r="905" customHeight="1" spans="3:3">
      <c r="C905" s="36"/>
    </row>
    <row r="906" customHeight="1" spans="3:3">
      <c r="C906" s="36"/>
    </row>
    <row r="907" customHeight="1" spans="3:3">
      <c r="C907" s="36"/>
    </row>
    <row r="908" customHeight="1" spans="3:3">
      <c r="C908" s="36"/>
    </row>
    <row r="909" customHeight="1" spans="3:3">
      <c r="C909" s="36"/>
    </row>
    <row r="910" customHeight="1" spans="3:3">
      <c r="C910" s="36"/>
    </row>
    <row r="911" customHeight="1" spans="3:3">
      <c r="C911" s="36"/>
    </row>
    <row r="912" customHeight="1" spans="3:3">
      <c r="C912" s="36"/>
    </row>
    <row r="913" customHeight="1" spans="3:3">
      <c r="C913" s="36"/>
    </row>
    <row r="914" customHeight="1" spans="3:3">
      <c r="C914" s="36"/>
    </row>
    <row r="915" customHeight="1" spans="3:3">
      <c r="C915" s="36"/>
    </row>
    <row r="916" customHeight="1" spans="3:3">
      <c r="C916" s="36"/>
    </row>
    <row r="917" customHeight="1" spans="3:3">
      <c r="C917" s="36"/>
    </row>
    <row r="918" customHeight="1" spans="3:3">
      <c r="C918" s="36"/>
    </row>
    <row r="919" customHeight="1" spans="3:3">
      <c r="C919" s="36"/>
    </row>
    <row r="920" customHeight="1" spans="3:3">
      <c r="C920" s="36"/>
    </row>
    <row r="921" customHeight="1" spans="3:3">
      <c r="C921" s="36"/>
    </row>
    <row r="922" customHeight="1" spans="3:3">
      <c r="C922" s="36"/>
    </row>
    <row r="923" customHeight="1" spans="3:3">
      <c r="C923" s="36"/>
    </row>
    <row r="924" customHeight="1" spans="3:3">
      <c r="C924" s="36"/>
    </row>
    <row r="925" customHeight="1" spans="3:3">
      <c r="C925" s="36"/>
    </row>
    <row r="926" customHeight="1" spans="3:3">
      <c r="C926" s="36"/>
    </row>
    <row r="927" customHeight="1" spans="3:3">
      <c r="C927" s="36"/>
    </row>
    <row r="928" customHeight="1" spans="3:3">
      <c r="C928" s="36"/>
    </row>
    <row r="929" customHeight="1" spans="3:3">
      <c r="C929" s="36"/>
    </row>
    <row r="930" customHeight="1" spans="3:3">
      <c r="C930" s="36"/>
    </row>
    <row r="931" customHeight="1" spans="3:3">
      <c r="C931" s="36"/>
    </row>
    <row r="932" customHeight="1" spans="3:3">
      <c r="C932" s="36"/>
    </row>
    <row r="933" customHeight="1" spans="3:3">
      <c r="C933" s="36"/>
    </row>
    <row r="934" customHeight="1" spans="3:3">
      <c r="C934" s="36"/>
    </row>
    <row r="935" customHeight="1" spans="3:3">
      <c r="C935" s="36"/>
    </row>
    <row r="936" customHeight="1" spans="3:3">
      <c r="C936" s="36"/>
    </row>
    <row r="937" customHeight="1" spans="3:3">
      <c r="C937" s="36"/>
    </row>
    <row r="938" customHeight="1" spans="3:3">
      <c r="C938" s="36"/>
    </row>
    <row r="939" customHeight="1" spans="3:3">
      <c r="C939" s="36"/>
    </row>
    <row r="940" customHeight="1" spans="3:3">
      <c r="C940" s="36"/>
    </row>
    <row r="941" customHeight="1" spans="3:3">
      <c r="C941" s="36"/>
    </row>
    <row r="942" customHeight="1" spans="3:3">
      <c r="C942" s="36"/>
    </row>
    <row r="943" customHeight="1" spans="3:3">
      <c r="C943" s="36"/>
    </row>
    <row r="944" customHeight="1" spans="3:3">
      <c r="C944" s="36"/>
    </row>
    <row r="945" customHeight="1" spans="3:3">
      <c r="C945" s="36"/>
    </row>
    <row r="946" customHeight="1" spans="3:3">
      <c r="C946" s="36"/>
    </row>
    <row r="947" customHeight="1" spans="3:3">
      <c r="C947" s="36"/>
    </row>
    <row r="948" customHeight="1" spans="3:3">
      <c r="C948" s="36"/>
    </row>
    <row r="949" customHeight="1" spans="3:3">
      <c r="C949" s="36"/>
    </row>
    <row r="950" customHeight="1" spans="3:3">
      <c r="C950" s="36"/>
    </row>
    <row r="951" customHeight="1" spans="3:3">
      <c r="C951" s="36"/>
    </row>
    <row r="952" customHeight="1" spans="3:3">
      <c r="C952" s="36"/>
    </row>
    <row r="953" customHeight="1" spans="3:3">
      <c r="C953" s="36"/>
    </row>
    <row r="954" customHeight="1" spans="3:3">
      <c r="C954" s="36"/>
    </row>
    <row r="955" customHeight="1" spans="3:3">
      <c r="C955" s="36"/>
    </row>
    <row r="956" customHeight="1" spans="3:3">
      <c r="C956" s="36"/>
    </row>
    <row r="957" customHeight="1" spans="3:3">
      <c r="C957" s="36"/>
    </row>
    <row r="958" customHeight="1" spans="3:3">
      <c r="C958" s="36"/>
    </row>
    <row r="959" customHeight="1" spans="3:3">
      <c r="C959" s="36"/>
    </row>
    <row r="960" customHeight="1" spans="3:3">
      <c r="C960" s="36"/>
    </row>
    <row r="961" customHeight="1" spans="3:3">
      <c r="C961" s="36"/>
    </row>
    <row r="962" customHeight="1" spans="3:3">
      <c r="C962" s="36"/>
    </row>
    <row r="963" customHeight="1" spans="3:3">
      <c r="C963" s="36"/>
    </row>
    <row r="964" customHeight="1" spans="3:3">
      <c r="C964" s="36"/>
    </row>
    <row r="965" customHeight="1" spans="3:3">
      <c r="C965" s="36"/>
    </row>
    <row r="966" customHeight="1" spans="3:3">
      <c r="C966" s="36"/>
    </row>
    <row r="967" customHeight="1" spans="3:3">
      <c r="C967" s="36"/>
    </row>
    <row r="968" customHeight="1" spans="3:3">
      <c r="C968" s="36"/>
    </row>
    <row r="969" customHeight="1" spans="3:3">
      <c r="C969" s="36"/>
    </row>
    <row r="970" customHeight="1" spans="3:3">
      <c r="C970" s="36"/>
    </row>
    <row r="971" customHeight="1" spans="3:3">
      <c r="C971" s="36"/>
    </row>
    <row r="972" customHeight="1" spans="3:3">
      <c r="C972" s="36"/>
    </row>
    <row r="973" customHeight="1" spans="3:3">
      <c r="C973" s="36"/>
    </row>
    <row r="974" customHeight="1" spans="3:3">
      <c r="C974" s="36"/>
    </row>
    <row r="975" customHeight="1" spans="3:3">
      <c r="C975" s="36"/>
    </row>
    <row r="976" customHeight="1" spans="3:3">
      <c r="C976" s="36"/>
    </row>
    <row r="977" customHeight="1" spans="3:3">
      <c r="C977" s="36"/>
    </row>
    <row r="978" customHeight="1" spans="3:3">
      <c r="C978" s="36"/>
    </row>
    <row r="979" customHeight="1" spans="3:3">
      <c r="C979" s="36"/>
    </row>
    <row r="980" customHeight="1" spans="3:3">
      <c r="C980" s="36"/>
    </row>
    <row r="981" customHeight="1" spans="3:3">
      <c r="C981" s="36"/>
    </row>
    <row r="982" customHeight="1" spans="3:3">
      <c r="C982" s="36"/>
    </row>
    <row r="983" customHeight="1" spans="3:3">
      <c r="C983" s="36"/>
    </row>
    <row r="984" customHeight="1" spans="3:3">
      <c r="C984" s="36"/>
    </row>
    <row r="985" customHeight="1" spans="3:3">
      <c r="C985" s="36"/>
    </row>
    <row r="986" customHeight="1" spans="3:3">
      <c r="C986" s="36"/>
    </row>
    <row r="987" customHeight="1" spans="3:3">
      <c r="C987" s="36"/>
    </row>
    <row r="988" customHeight="1" spans="3:3">
      <c r="C988" s="36"/>
    </row>
    <row r="989" customHeight="1" spans="3:3">
      <c r="C989" s="36"/>
    </row>
    <row r="990" customHeight="1" spans="3:3">
      <c r="C990" s="36"/>
    </row>
    <row r="991" customHeight="1" spans="3:3">
      <c r="C991" s="36"/>
    </row>
    <row r="992" customHeight="1" spans="3:3">
      <c r="C992" s="36"/>
    </row>
    <row r="993" customHeight="1" spans="3:3">
      <c r="C993" s="36"/>
    </row>
    <row r="994" customHeight="1" spans="3:3">
      <c r="C994" s="36"/>
    </row>
    <row r="995" customHeight="1" spans="3:3">
      <c r="C995" s="36"/>
    </row>
    <row r="996" customHeight="1" spans="3:3">
      <c r="C996" s="36"/>
    </row>
    <row r="997" customHeight="1" spans="3:3">
      <c r="C997" s="36"/>
    </row>
    <row r="998" customHeight="1" spans="3:3">
      <c r="C998" s="36"/>
    </row>
    <row r="999" customHeight="1" spans="3:3">
      <c r="C999" s="36"/>
    </row>
  </sheetData>
  <mergeCells count="1">
    <mergeCell ref="F1:K1"/>
  </mergeCells>
  <conditionalFormatting sqref="B1:D1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  <cfRule type="expression" dxfId="38" priority="1">
      <formula>MOD(ROW(),2)=1</formula>
    </cfRule>
  </conditionalFormatting>
  <conditionalFormatting sqref="A1:A51">
    <cfRule type="expression" dxfId="38" priority="3">
      <formula>MOD(ROW(),2)=1</formula>
    </cfRule>
  </conditionalFormatting>
  <conditionalFormatting sqref="C2:C51">
    <cfRule type="cellIs" dxfId="39" priority="4" operator="lessThan">
      <formula>2</formula>
    </cfRule>
    <cfRule type="cellIs" dxfId="40" priority="5" operator="greaterThan">
      <formula>4</formula>
    </cfRule>
    <cfRule type="cellIs" dxfId="41" priority="6" operator="between">
      <formula>2</formula>
      <formula>4</formula>
    </cfRule>
  </conditionalFormatting>
  <conditionalFormatting sqref="A1 A2:B51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M1000"/>
  <sheetViews>
    <sheetView workbookViewId="0">
      <selection activeCell="D19" sqref="D19"/>
    </sheetView>
  </sheetViews>
  <sheetFormatPr defaultColWidth="12.6285714285714" defaultRowHeight="15.75" customHeight="1"/>
  <cols>
    <col min="1" max="1" width="20.4285714285714" customWidth="1"/>
    <col min="2" max="2" width="14.2857142857143" customWidth="1"/>
    <col min="3" max="3" width="23.2857142857143" customWidth="1"/>
    <col min="4" max="4" width="16.1333333333333" customWidth="1"/>
  </cols>
  <sheetData>
    <row r="2" customHeight="1" spans="1:8">
      <c r="A2" s="25" t="s">
        <v>20</v>
      </c>
      <c r="B2" s="25" t="s">
        <v>26</v>
      </c>
      <c r="C2" s="12" t="s">
        <v>170</v>
      </c>
    </row>
    <row r="3" customHeight="1" spans="1:8">
      <c r="A3" s="14" t="s">
        <v>29</v>
      </c>
      <c r="B3" s="14" t="s">
        <v>31</v>
      </c>
      <c r="C3" s="26">
        <v>90750</v>
      </c>
      <c r="H3" s="17" t="s">
        <v>15</v>
      </c>
    </row>
    <row r="4" customHeight="1" spans="1:8">
      <c r="A4" s="27"/>
      <c r="B4" s="18" t="s">
        <v>36</v>
      </c>
      <c r="C4" s="28">
        <v>94750</v>
      </c>
    </row>
    <row r="5" customHeight="1" spans="1:8">
      <c r="A5" s="27"/>
      <c r="B5" s="18" t="s">
        <v>40</v>
      </c>
      <c r="C5" s="28">
        <v>124000</v>
      </c>
    </row>
    <row r="6" customHeight="1" spans="1:8">
      <c r="A6" s="29" t="s">
        <v>171</v>
      </c>
      <c r="B6" s="30"/>
      <c r="C6" s="26">
        <v>99000</v>
      </c>
    </row>
    <row r="7" customHeight="1" spans="1:8">
      <c r="A7" s="14" t="s">
        <v>131</v>
      </c>
      <c r="B7" s="14" t="s">
        <v>31</v>
      </c>
      <c r="C7" s="26">
        <v>60875</v>
      </c>
    </row>
    <row r="8" customHeight="1" spans="1:8">
      <c r="A8" s="27"/>
      <c r="B8" s="18" t="s">
        <v>36</v>
      </c>
      <c r="C8" s="28">
        <v>60500</v>
      </c>
    </row>
    <row r="9" customHeight="1" spans="1:8">
      <c r="A9" s="29" t="s">
        <v>172</v>
      </c>
      <c r="B9" s="30"/>
      <c r="C9" s="26">
        <v>60800</v>
      </c>
    </row>
    <row r="10" customHeight="1" spans="1:8">
      <c r="A10" s="14" t="s">
        <v>81</v>
      </c>
      <c r="B10" s="14" t="s">
        <v>31</v>
      </c>
      <c r="C10" s="26">
        <v>59666.6666666667</v>
      </c>
    </row>
    <row r="11" customHeight="1" spans="1:8">
      <c r="A11" s="27"/>
      <c r="B11" s="18" t="s">
        <v>36</v>
      </c>
      <c r="C11" s="28">
        <v>67800</v>
      </c>
    </row>
    <row r="12" customHeight="1" spans="1:8">
      <c r="A12" s="27"/>
      <c r="B12" s="18" t="s">
        <v>40</v>
      </c>
      <c r="C12" s="28">
        <v>65000</v>
      </c>
    </row>
    <row r="13" customHeight="1" spans="1:8">
      <c r="A13" s="29" t="s">
        <v>173</v>
      </c>
      <c r="B13" s="30"/>
      <c r="C13" s="26">
        <v>64800</v>
      </c>
    </row>
    <row r="14" customHeight="1" spans="1:8">
      <c r="A14" s="14" t="s">
        <v>106</v>
      </c>
      <c r="B14" s="14" t="s">
        <v>31</v>
      </c>
      <c r="C14" s="26">
        <v>55500</v>
      </c>
    </row>
    <row r="15" customHeight="1" spans="1:8">
      <c r="A15" s="27"/>
      <c r="B15" s="18" t="s">
        <v>36</v>
      </c>
      <c r="C15" s="28">
        <v>63750</v>
      </c>
    </row>
    <row r="16" customHeight="1" spans="1:8">
      <c r="A16" s="27"/>
      <c r="B16" s="18" t="s">
        <v>40</v>
      </c>
      <c r="C16" s="28">
        <v>66500</v>
      </c>
    </row>
    <row r="17" customHeight="1" spans="1:3">
      <c r="A17" s="29" t="s">
        <v>174</v>
      </c>
      <c r="B17" s="30"/>
      <c r="C17" s="26">
        <v>63200</v>
      </c>
    </row>
    <row r="18" customHeight="1" spans="1:3">
      <c r="A18" s="14" t="s">
        <v>56</v>
      </c>
      <c r="B18" s="14" t="s">
        <v>31</v>
      </c>
      <c r="C18" s="26">
        <v>76500</v>
      </c>
    </row>
    <row r="19" customHeight="1" spans="1:3">
      <c r="A19" s="27"/>
      <c r="B19" s="18" t="s">
        <v>36</v>
      </c>
      <c r="C19" s="28">
        <v>74666.6666666667</v>
      </c>
    </row>
    <row r="20" customHeight="1" spans="1:3">
      <c r="A20" s="27"/>
      <c r="B20" s="18" t="s">
        <v>40</v>
      </c>
      <c r="C20" s="28">
        <v>67000</v>
      </c>
    </row>
    <row r="21" customHeight="1" spans="1:3">
      <c r="A21" s="29" t="s">
        <v>175</v>
      </c>
      <c r="B21" s="30"/>
      <c r="C21" s="26">
        <v>71200</v>
      </c>
    </row>
    <row r="22" customHeight="1" spans="1:3">
      <c r="A22" s="31" t="s">
        <v>176</v>
      </c>
      <c r="B22" s="32"/>
      <c r="C22" s="33">
        <v>71800</v>
      </c>
    </row>
    <row r="23" customHeight="1" spans="1:3">
      <c r="B23" s="34"/>
      <c r="C23" s="34"/>
    </row>
    <row r="24" customHeight="1" spans="1:3">
      <c r="B24" s="34"/>
      <c r="C24" s="34"/>
    </row>
    <row r="25" customHeight="1" spans="1:3">
      <c r="B25" s="34"/>
      <c r="C25" s="34"/>
    </row>
    <row r="26" customHeight="1" spans="1:3">
      <c r="B26" s="34"/>
      <c r="C26" s="34"/>
    </row>
    <row r="27" customHeight="1" spans="1:3">
      <c r="B27" s="34"/>
      <c r="C27" s="34"/>
    </row>
    <row r="28" customHeight="1" spans="1:3">
      <c r="B28" s="34"/>
      <c r="C28" s="34"/>
    </row>
    <row r="29" customHeight="1" spans="1:3">
      <c r="B29" s="34"/>
      <c r="C29" s="34"/>
    </row>
    <row r="30" customHeight="1" spans="1:3">
      <c r="B30" s="34"/>
      <c r="C30" s="34"/>
    </row>
    <row r="31" customHeight="1" spans="1:3">
      <c r="B31" s="34"/>
      <c r="C31" s="34"/>
    </row>
    <row r="32" customHeight="1" spans="1:3">
      <c r="B32" s="34"/>
      <c r="C32" s="34"/>
    </row>
    <row r="33" customHeight="1" spans="2:3">
      <c r="B33" s="34"/>
      <c r="C33" s="34"/>
    </row>
    <row r="34" customHeight="1" spans="2:3">
      <c r="B34" s="34"/>
      <c r="C34" s="34"/>
    </row>
    <row r="35" customHeight="1" spans="2:3">
      <c r="B35" s="34"/>
      <c r="C35" s="34"/>
    </row>
    <row r="36" customHeight="1" spans="2:3">
      <c r="B36" s="34"/>
      <c r="C36" s="34"/>
    </row>
    <row r="37" customHeight="1" spans="2:3">
      <c r="B37" s="34"/>
      <c r="C37" s="34"/>
    </row>
    <row r="38" customHeight="1" spans="2:3">
      <c r="B38" s="34"/>
      <c r="C38" s="34"/>
    </row>
    <row r="39" customHeight="1" spans="2:3">
      <c r="B39" s="34"/>
      <c r="C39" s="34"/>
    </row>
    <row r="40" customHeight="1" spans="2:3">
      <c r="B40" s="34"/>
      <c r="C40" s="34"/>
    </row>
    <row r="41" customHeight="1" spans="2:3">
      <c r="B41" s="34"/>
      <c r="C41" s="34"/>
    </row>
    <row r="42" customHeight="1" spans="2:3">
      <c r="B42" s="34"/>
      <c r="C42" s="34"/>
    </row>
    <row r="43" customHeight="1" spans="2:3">
      <c r="B43" s="34"/>
      <c r="C43" s="34"/>
    </row>
    <row r="44" customHeight="1" spans="2:3">
      <c r="B44" s="34"/>
      <c r="C44" s="34"/>
    </row>
    <row r="45" customHeight="1" spans="2:3">
      <c r="B45" s="34"/>
      <c r="C45" s="34"/>
    </row>
    <row r="46" customHeight="1" spans="2:3">
      <c r="B46" s="34"/>
      <c r="C46" s="34"/>
    </row>
    <row r="47" customHeight="1" spans="2:3">
      <c r="B47" s="34"/>
      <c r="C47" s="34"/>
    </row>
    <row r="48" customHeight="1" spans="2:3">
      <c r="B48" s="34"/>
      <c r="C48" s="34"/>
    </row>
    <row r="49" customHeight="1" spans="2:3">
      <c r="B49" s="34"/>
      <c r="C49" s="34"/>
    </row>
    <row r="50" customHeight="1" spans="2:3">
      <c r="B50" s="34"/>
      <c r="C50" s="34"/>
    </row>
    <row r="51" customHeight="1" spans="2:3">
      <c r="B51" s="34"/>
      <c r="C51" s="34"/>
    </row>
    <row r="52" customHeight="1" spans="2:3">
      <c r="B52" s="34"/>
      <c r="C52" s="34"/>
    </row>
    <row r="53" customHeight="1" spans="2:3">
      <c r="B53" s="34"/>
      <c r="C53" s="34"/>
    </row>
    <row r="54" customHeight="1" spans="2:3">
      <c r="B54" s="34"/>
      <c r="C54" s="34"/>
    </row>
    <row r="55" customHeight="1" spans="2:3">
      <c r="B55" s="34"/>
      <c r="C55" s="34"/>
    </row>
    <row r="56" customHeight="1" spans="2:3">
      <c r="B56" s="34"/>
      <c r="C56" s="34"/>
    </row>
    <row r="57" customHeight="1" spans="2:3">
      <c r="B57" s="34"/>
      <c r="C57" s="34"/>
    </row>
    <row r="58" customHeight="1" spans="2:3">
      <c r="B58" s="34"/>
      <c r="C58" s="34"/>
    </row>
    <row r="59" customHeight="1" spans="2:3">
      <c r="B59" s="34"/>
      <c r="C59" s="34"/>
    </row>
    <row r="60" customHeight="1" spans="2:3">
      <c r="B60" s="34"/>
      <c r="C60" s="34"/>
    </row>
    <row r="61" customHeight="1" spans="2:3">
      <c r="B61" s="34"/>
      <c r="C61" s="34"/>
    </row>
    <row r="62" customHeight="1" spans="2:3">
      <c r="B62" s="34"/>
      <c r="C62" s="34"/>
    </row>
    <row r="63" customHeight="1" spans="2:3">
      <c r="B63" s="34"/>
      <c r="C63" s="34"/>
    </row>
    <row r="64" customHeight="1" spans="2:3">
      <c r="B64" s="34"/>
      <c r="C64" s="34"/>
    </row>
    <row r="65" customHeight="1" spans="2:3">
      <c r="B65" s="34"/>
      <c r="C65" s="34"/>
    </row>
    <row r="66" customHeight="1" spans="2:3">
      <c r="B66" s="34"/>
      <c r="C66" s="34"/>
    </row>
    <row r="67" customHeight="1" spans="2:3">
      <c r="B67" s="34"/>
      <c r="C67" s="34"/>
    </row>
    <row r="68" customHeight="1" spans="2:3">
      <c r="B68" s="34"/>
      <c r="C68" s="34"/>
    </row>
    <row r="69" customHeight="1" spans="2:3">
      <c r="B69" s="34"/>
      <c r="C69" s="34"/>
    </row>
    <row r="70" customHeight="1" spans="2:3">
      <c r="B70" s="34"/>
      <c r="C70" s="34"/>
    </row>
    <row r="71" customHeight="1" spans="2:3">
      <c r="B71" s="34"/>
      <c r="C71" s="34"/>
    </row>
    <row r="72" customHeight="1" spans="2:3">
      <c r="B72" s="34"/>
      <c r="C72" s="34"/>
    </row>
    <row r="73" customHeight="1" spans="2:3">
      <c r="B73" s="34"/>
      <c r="C73" s="34"/>
    </row>
    <row r="74" customHeight="1" spans="2:3">
      <c r="B74" s="34"/>
      <c r="C74" s="34"/>
    </row>
    <row r="75" customHeight="1" spans="2:3">
      <c r="B75" s="34"/>
      <c r="C75" s="34"/>
    </row>
    <row r="76" customHeight="1" spans="2:3">
      <c r="B76" s="34"/>
      <c r="C76" s="34"/>
    </row>
    <row r="77" customHeight="1" spans="2:3">
      <c r="B77" s="34"/>
      <c r="C77" s="34"/>
    </row>
    <row r="78" customHeight="1" spans="2:3">
      <c r="B78" s="34"/>
      <c r="C78" s="34"/>
    </row>
    <row r="79" customHeight="1" spans="2:3">
      <c r="B79" s="34"/>
      <c r="C79" s="34"/>
    </row>
    <row r="80" customHeight="1" spans="2:3">
      <c r="B80" s="34"/>
      <c r="C80" s="34"/>
    </row>
    <row r="81" customHeight="1" spans="2:3">
      <c r="B81" s="34"/>
      <c r="C81" s="34"/>
    </row>
    <row r="82" customHeight="1" spans="2:3">
      <c r="B82" s="34"/>
      <c r="C82" s="34"/>
    </row>
    <row r="83" customHeight="1" spans="2:3">
      <c r="B83" s="34"/>
      <c r="C83" s="34"/>
    </row>
    <row r="84" customHeight="1" spans="2:3">
      <c r="B84" s="34"/>
      <c r="C84" s="34"/>
    </row>
    <row r="85" customHeight="1" spans="2:3">
      <c r="B85" s="34"/>
      <c r="C85" s="34"/>
    </row>
    <row r="86" customHeight="1" spans="2:3">
      <c r="B86" s="34"/>
      <c r="C86" s="34"/>
    </row>
    <row r="87" customHeight="1" spans="2:3">
      <c r="B87" s="34"/>
      <c r="C87" s="34"/>
    </row>
    <row r="88" customHeight="1" spans="2:3">
      <c r="B88" s="34"/>
      <c r="C88" s="34"/>
    </row>
    <row r="89" customHeight="1" spans="2:3">
      <c r="B89" s="34"/>
      <c r="C89" s="34"/>
    </row>
    <row r="90" customHeight="1" spans="2:3">
      <c r="B90" s="34"/>
      <c r="C90" s="34"/>
    </row>
    <row r="91" customHeight="1" spans="2:3">
      <c r="B91" s="34"/>
      <c r="C91" s="34"/>
    </row>
    <row r="92" customHeight="1" spans="2:3">
      <c r="B92" s="34"/>
      <c r="C92" s="34"/>
    </row>
    <row r="93" customHeight="1" spans="2:3">
      <c r="B93" s="34"/>
      <c r="C93" s="34"/>
    </row>
    <row r="94" customHeight="1" spans="2:3">
      <c r="B94" s="34"/>
      <c r="C94" s="34"/>
    </row>
    <row r="95" customHeight="1" spans="2:3">
      <c r="B95" s="34"/>
      <c r="C95" s="34"/>
    </row>
    <row r="96" customHeight="1" spans="2:3">
      <c r="B96" s="34"/>
      <c r="C96" s="34"/>
    </row>
    <row r="97" customHeight="1" spans="2:3">
      <c r="B97" s="34"/>
      <c r="C97" s="34"/>
    </row>
    <row r="98" customHeight="1" spans="2:3">
      <c r="B98" s="34"/>
      <c r="C98" s="34"/>
    </row>
    <row r="99" customHeight="1" spans="2:3">
      <c r="B99" s="34"/>
      <c r="C99" s="34"/>
    </row>
    <row r="100" customHeight="1" spans="2:3">
      <c r="B100" s="34"/>
      <c r="C100" s="34"/>
    </row>
    <row r="101" customHeight="1" spans="2:3">
      <c r="B101" s="34"/>
      <c r="C101" s="34"/>
    </row>
    <row r="102" customHeight="1" spans="2:3">
      <c r="B102" s="34"/>
      <c r="C102" s="34"/>
    </row>
    <row r="103" customHeight="1" spans="2:3">
      <c r="B103" s="34"/>
      <c r="C103" s="34"/>
    </row>
    <row r="104" customHeight="1" spans="2:3">
      <c r="B104" s="34"/>
      <c r="C104" s="34"/>
    </row>
    <row r="105" customHeight="1" spans="2:3">
      <c r="B105" s="34"/>
      <c r="C105" s="34"/>
    </row>
    <row r="106" customHeight="1" spans="2:3">
      <c r="B106" s="34"/>
      <c r="C106" s="34"/>
    </row>
    <row r="107" customHeight="1" spans="2:3">
      <c r="B107" s="34"/>
      <c r="C107" s="34"/>
    </row>
    <row r="108" customHeight="1" spans="2:3">
      <c r="B108" s="34"/>
      <c r="C108" s="34"/>
    </row>
    <row r="109" customHeight="1" spans="2:3">
      <c r="B109" s="34"/>
      <c r="C109" s="34"/>
    </row>
    <row r="110" customHeight="1" spans="2:3">
      <c r="B110" s="34"/>
      <c r="C110" s="34"/>
    </row>
    <row r="111" customHeight="1" spans="2:3">
      <c r="B111" s="34"/>
      <c r="C111" s="34"/>
    </row>
    <row r="112" customHeight="1" spans="2:3">
      <c r="B112" s="34"/>
      <c r="C112" s="34"/>
    </row>
    <row r="113" customHeight="1" spans="2:3">
      <c r="B113" s="34"/>
      <c r="C113" s="34"/>
    </row>
    <row r="114" customHeight="1" spans="2:3">
      <c r="B114" s="34"/>
      <c r="C114" s="34"/>
    </row>
    <row r="115" customHeight="1" spans="2:3">
      <c r="B115" s="34"/>
      <c r="C115" s="34"/>
    </row>
    <row r="116" customHeight="1" spans="2:3">
      <c r="B116" s="34"/>
      <c r="C116" s="34"/>
    </row>
    <row r="117" customHeight="1" spans="2:3">
      <c r="B117" s="34"/>
      <c r="C117" s="34"/>
    </row>
    <row r="118" customHeight="1" spans="2:3">
      <c r="B118" s="34"/>
      <c r="C118" s="34"/>
    </row>
    <row r="119" customHeight="1" spans="2:3">
      <c r="B119" s="34"/>
      <c r="C119" s="34"/>
    </row>
    <row r="120" customHeight="1" spans="2:3">
      <c r="B120" s="34"/>
      <c r="C120" s="34"/>
    </row>
    <row r="121" customHeight="1" spans="2:3">
      <c r="B121" s="34"/>
      <c r="C121" s="34"/>
    </row>
    <row r="122" customHeight="1" spans="2:3">
      <c r="B122" s="34"/>
      <c r="C122" s="34"/>
    </row>
    <row r="123" customHeight="1" spans="2:3">
      <c r="B123" s="34"/>
      <c r="C123" s="34"/>
    </row>
    <row r="124" customHeight="1" spans="2:3">
      <c r="B124" s="34"/>
      <c r="C124" s="34"/>
    </row>
    <row r="125" customHeight="1" spans="2:3">
      <c r="B125" s="34"/>
      <c r="C125" s="34"/>
    </row>
    <row r="126" customHeight="1" spans="2:3">
      <c r="B126" s="34"/>
      <c r="C126" s="34"/>
    </row>
    <row r="127" customHeight="1" spans="2:3">
      <c r="B127" s="34"/>
      <c r="C127" s="34"/>
    </row>
    <row r="128" customHeight="1" spans="2:3">
      <c r="B128" s="34"/>
      <c r="C128" s="34"/>
    </row>
    <row r="129" customHeight="1" spans="2:3">
      <c r="B129" s="34"/>
      <c r="C129" s="34"/>
    </row>
    <row r="130" customHeight="1" spans="2:3">
      <c r="B130" s="34"/>
      <c r="C130" s="34"/>
    </row>
    <row r="131" customHeight="1" spans="2:3">
      <c r="B131" s="34"/>
      <c r="C131" s="34"/>
    </row>
    <row r="132" customHeight="1" spans="2:3">
      <c r="B132" s="34"/>
      <c r="C132" s="34"/>
    </row>
    <row r="133" customHeight="1" spans="2:3">
      <c r="B133" s="34"/>
      <c r="C133" s="34"/>
    </row>
    <row r="134" customHeight="1" spans="2:3">
      <c r="B134" s="34"/>
      <c r="C134" s="34"/>
    </row>
    <row r="135" customHeight="1" spans="2:3">
      <c r="B135" s="34"/>
      <c r="C135" s="34"/>
    </row>
    <row r="136" customHeight="1" spans="2:3">
      <c r="B136" s="34"/>
      <c r="C136" s="34"/>
    </row>
    <row r="137" customHeight="1" spans="2:3">
      <c r="B137" s="34"/>
      <c r="C137" s="34"/>
    </row>
    <row r="138" customHeight="1" spans="2:3">
      <c r="B138" s="34"/>
      <c r="C138" s="34"/>
    </row>
    <row r="139" customHeight="1" spans="2:3">
      <c r="B139" s="34"/>
      <c r="C139" s="34"/>
    </row>
    <row r="140" customHeight="1" spans="2:3">
      <c r="B140" s="34"/>
      <c r="C140" s="34"/>
    </row>
    <row r="141" customHeight="1" spans="2:3">
      <c r="B141" s="34"/>
      <c r="C141" s="34"/>
    </row>
    <row r="142" customHeight="1" spans="2:3">
      <c r="B142" s="34"/>
      <c r="C142" s="34"/>
    </row>
    <row r="143" customHeight="1" spans="2:3">
      <c r="B143" s="34"/>
      <c r="C143" s="34"/>
    </row>
    <row r="144" customHeight="1" spans="2:3">
      <c r="B144" s="34"/>
      <c r="C144" s="34"/>
    </row>
    <row r="145" customHeight="1" spans="2:3">
      <c r="B145" s="34"/>
      <c r="C145" s="34"/>
    </row>
    <row r="146" customHeight="1" spans="2:3">
      <c r="B146" s="34"/>
      <c r="C146" s="34"/>
    </row>
    <row r="147" customHeight="1" spans="2:3">
      <c r="B147" s="34"/>
      <c r="C147" s="34"/>
    </row>
    <row r="148" customHeight="1" spans="2:3">
      <c r="B148" s="34"/>
      <c r="C148" s="34"/>
    </row>
    <row r="149" customHeight="1" spans="2:3">
      <c r="B149" s="34"/>
      <c r="C149" s="34"/>
    </row>
    <row r="150" customHeight="1" spans="2:3">
      <c r="B150" s="34"/>
      <c r="C150" s="34"/>
    </row>
    <row r="151" customHeight="1" spans="2:3">
      <c r="B151" s="34"/>
      <c r="C151" s="34"/>
    </row>
    <row r="152" customHeight="1" spans="2:3">
      <c r="B152" s="34"/>
      <c r="C152" s="34"/>
    </row>
    <row r="153" customHeight="1" spans="2:3">
      <c r="B153" s="34"/>
      <c r="C153" s="34"/>
    </row>
    <row r="154" customHeight="1" spans="2:3">
      <c r="B154" s="34"/>
      <c r="C154" s="34"/>
    </row>
    <row r="155" customHeight="1" spans="2:3">
      <c r="B155" s="34"/>
      <c r="C155" s="34"/>
    </row>
    <row r="156" customHeight="1" spans="2:3">
      <c r="B156" s="34"/>
      <c r="C156" s="34"/>
    </row>
    <row r="157" customHeight="1" spans="2:3">
      <c r="B157" s="34"/>
      <c r="C157" s="34"/>
    </row>
    <row r="158" customHeight="1" spans="2:3">
      <c r="B158" s="34"/>
      <c r="C158" s="34"/>
    </row>
    <row r="159" customHeight="1" spans="2:3">
      <c r="B159" s="34"/>
      <c r="C159" s="34"/>
    </row>
    <row r="160" customHeight="1" spans="2:3">
      <c r="B160" s="34"/>
      <c r="C160" s="34"/>
    </row>
    <row r="161" customHeight="1" spans="2:3">
      <c r="B161" s="34"/>
      <c r="C161" s="34"/>
    </row>
    <row r="162" customHeight="1" spans="2:3">
      <c r="B162" s="34"/>
      <c r="C162" s="34"/>
    </row>
    <row r="163" customHeight="1" spans="2:3">
      <c r="B163" s="34"/>
      <c r="C163" s="34"/>
    </row>
    <row r="164" customHeight="1" spans="2:3">
      <c r="B164" s="34"/>
      <c r="C164" s="34"/>
    </row>
    <row r="165" customHeight="1" spans="2:3">
      <c r="B165" s="34"/>
      <c r="C165" s="34"/>
    </row>
    <row r="166" customHeight="1" spans="2:3">
      <c r="B166" s="34"/>
      <c r="C166" s="34"/>
    </row>
    <row r="167" customHeight="1" spans="2:3">
      <c r="B167" s="34"/>
      <c r="C167" s="34"/>
    </row>
    <row r="168" customHeight="1" spans="2:3">
      <c r="B168" s="34"/>
      <c r="C168" s="34"/>
    </row>
    <row r="169" customHeight="1" spans="2:3">
      <c r="B169" s="34"/>
      <c r="C169" s="34"/>
    </row>
    <row r="170" customHeight="1" spans="2:3">
      <c r="B170" s="34"/>
      <c r="C170" s="34"/>
    </row>
    <row r="171" customHeight="1" spans="2:3">
      <c r="B171" s="34"/>
      <c r="C171" s="34"/>
    </row>
    <row r="172" customHeight="1" spans="2:3">
      <c r="B172" s="34"/>
      <c r="C172" s="34"/>
    </row>
    <row r="173" customHeight="1" spans="2:3">
      <c r="B173" s="34"/>
      <c r="C173" s="34"/>
    </row>
    <row r="174" customHeight="1" spans="2:3">
      <c r="B174" s="34"/>
      <c r="C174" s="34"/>
    </row>
    <row r="175" customHeight="1" spans="2:3">
      <c r="B175" s="34"/>
      <c r="C175" s="34"/>
    </row>
    <row r="176" customHeight="1" spans="2:3">
      <c r="B176" s="34"/>
      <c r="C176" s="34"/>
    </row>
    <row r="177" customHeight="1" spans="2:3">
      <c r="B177" s="34"/>
      <c r="C177" s="34"/>
    </row>
    <row r="178" customHeight="1" spans="2:3">
      <c r="B178" s="34"/>
      <c r="C178" s="34"/>
    </row>
    <row r="179" customHeight="1" spans="2:3">
      <c r="B179" s="34"/>
      <c r="C179" s="34"/>
    </row>
    <row r="180" customHeight="1" spans="2:3">
      <c r="B180" s="34"/>
      <c r="C180" s="34"/>
    </row>
    <row r="181" customHeight="1" spans="2:3">
      <c r="B181" s="34"/>
      <c r="C181" s="34"/>
    </row>
    <row r="182" customHeight="1" spans="2:3">
      <c r="B182" s="34"/>
      <c r="C182" s="34"/>
    </row>
    <row r="183" customHeight="1" spans="2:3">
      <c r="B183" s="34"/>
      <c r="C183" s="34"/>
    </row>
    <row r="184" customHeight="1" spans="2:3">
      <c r="B184" s="34"/>
      <c r="C184" s="34"/>
    </row>
    <row r="185" customHeight="1" spans="2:3">
      <c r="B185" s="34"/>
      <c r="C185" s="34"/>
    </row>
    <row r="186" customHeight="1" spans="2:3">
      <c r="B186" s="34"/>
      <c r="C186" s="34"/>
    </row>
    <row r="187" customHeight="1" spans="2:3">
      <c r="B187" s="34"/>
      <c r="C187" s="34"/>
    </row>
    <row r="188" customHeight="1" spans="2:3">
      <c r="B188" s="34"/>
      <c r="C188" s="34"/>
    </row>
    <row r="189" customHeight="1" spans="2:3">
      <c r="B189" s="34"/>
      <c r="C189" s="34"/>
    </row>
    <row r="190" customHeight="1" spans="2:3">
      <c r="B190" s="34"/>
      <c r="C190" s="34"/>
    </row>
    <row r="191" customHeight="1" spans="2:3">
      <c r="B191" s="34"/>
      <c r="C191" s="34"/>
    </row>
    <row r="192" customHeight="1" spans="2:3">
      <c r="B192" s="34"/>
      <c r="C192" s="34"/>
    </row>
    <row r="193" customHeight="1" spans="2:3">
      <c r="B193" s="34"/>
      <c r="C193" s="34"/>
    </row>
    <row r="194" customHeight="1" spans="2:3">
      <c r="B194" s="34"/>
      <c r="C194" s="34"/>
    </row>
    <row r="195" customHeight="1" spans="2:3">
      <c r="B195" s="34"/>
      <c r="C195" s="34"/>
    </row>
    <row r="196" customHeight="1" spans="2:3">
      <c r="B196" s="34"/>
      <c r="C196" s="34"/>
    </row>
    <row r="197" customHeight="1" spans="2:3">
      <c r="B197" s="34"/>
      <c r="C197" s="34"/>
    </row>
    <row r="198" customHeight="1" spans="2:3">
      <c r="B198" s="34"/>
      <c r="C198" s="34"/>
    </row>
    <row r="199" customHeight="1" spans="2:3">
      <c r="B199" s="34"/>
      <c r="C199" s="34"/>
    </row>
    <row r="200" customHeight="1" spans="2:3">
      <c r="B200" s="34"/>
      <c r="C200" s="34"/>
    </row>
    <row r="201" customHeight="1" spans="2:3">
      <c r="B201" s="34"/>
      <c r="C201" s="34"/>
    </row>
    <row r="202" customHeight="1" spans="2:3">
      <c r="B202" s="34"/>
      <c r="C202" s="34"/>
    </row>
    <row r="203" customHeight="1" spans="2:3">
      <c r="B203" s="34"/>
      <c r="C203" s="34"/>
    </row>
    <row r="204" customHeight="1" spans="2:3">
      <c r="B204" s="34"/>
      <c r="C204" s="34"/>
    </row>
    <row r="205" customHeight="1" spans="2:3">
      <c r="B205" s="34"/>
      <c r="C205" s="34"/>
    </row>
    <row r="206" customHeight="1" spans="2:3">
      <c r="B206" s="34"/>
      <c r="C206" s="34"/>
    </row>
    <row r="207" customHeight="1" spans="2:3">
      <c r="B207" s="34"/>
      <c r="C207" s="34"/>
    </row>
    <row r="208" customHeight="1" spans="2:3">
      <c r="B208" s="34"/>
      <c r="C208" s="34"/>
    </row>
    <row r="209" customHeight="1" spans="2:3">
      <c r="B209" s="34"/>
      <c r="C209" s="34"/>
    </row>
    <row r="210" customHeight="1" spans="2:3">
      <c r="B210" s="34"/>
      <c r="C210" s="34"/>
    </row>
    <row r="211" customHeight="1" spans="2:3">
      <c r="B211" s="34"/>
      <c r="C211" s="34"/>
    </row>
    <row r="212" customHeight="1" spans="2:3">
      <c r="B212" s="34"/>
      <c r="C212" s="34"/>
    </row>
    <row r="213" customHeight="1" spans="2:3">
      <c r="B213" s="34"/>
      <c r="C213" s="34"/>
    </row>
    <row r="214" customHeight="1" spans="2:3">
      <c r="B214" s="34"/>
      <c r="C214" s="34"/>
    </row>
    <row r="215" customHeight="1" spans="2:3">
      <c r="B215" s="34"/>
      <c r="C215" s="34"/>
    </row>
    <row r="216" customHeight="1" spans="2:3">
      <c r="B216" s="34"/>
      <c r="C216" s="34"/>
    </row>
    <row r="217" customHeight="1" spans="2:3">
      <c r="B217" s="34"/>
      <c r="C217" s="34"/>
    </row>
    <row r="218" customHeight="1" spans="2:3">
      <c r="B218" s="34"/>
      <c r="C218" s="34"/>
    </row>
    <row r="219" customHeight="1" spans="2:3">
      <c r="B219" s="34"/>
      <c r="C219" s="34"/>
    </row>
    <row r="220" customHeight="1" spans="2:3">
      <c r="B220" s="34"/>
      <c r="C220" s="34"/>
    </row>
    <row r="221" customHeight="1" spans="2:3">
      <c r="B221" s="34"/>
      <c r="C221" s="34"/>
    </row>
    <row r="222" customHeight="1" spans="2:3">
      <c r="B222" s="34"/>
      <c r="C222" s="34"/>
    </row>
    <row r="223" customHeight="1" spans="2:3">
      <c r="B223" s="34"/>
      <c r="C223" s="34"/>
    </row>
    <row r="224" customHeight="1" spans="2:3">
      <c r="B224" s="34"/>
      <c r="C224" s="34"/>
    </row>
    <row r="225" customHeight="1" spans="2:3">
      <c r="B225" s="34"/>
      <c r="C225" s="34"/>
    </row>
    <row r="226" customHeight="1" spans="2:3">
      <c r="B226" s="34"/>
      <c r="C226" s="34"/>
    </row>
    <row r="227" customHeight="1" spans="2:3">
      <c r="B227" s="34"/>
      <c r="C227" s="34"/>
    </row>
    <row r="228" customHeight="1" spans="2:3">
      <c r="B228" s="34"/>
      <c r="C228" s="34"/>
    </row>
    <row r="229" customHeight="1" spans="2:3">
      <c r="B229" s="34"/>
      <c r="C229" s="34"/>
    </row>
    <row r="230" customHeight="1" spans="2:3">
      <c r="B230" s="34"/>
      <c r="C230" s="34"/>
    </row>
    <row r="231" customHeight="1" spans="2:3">
      <c r="B231" s="34"/>
      <c r="C231" s="34"/>
    </row>
    <row r="232" customHeight="1" spans="2:3">
      <c r="B232" s="34"/>
      <c r="C232" s="34"/>
    </row>
    <row r="233" customHeight="1" spans="2:3">
      <c r="B233" s="34"/>
      <c r="C233" s="34"/>
    </row>
    <row r="234" customHeight="1" spans="2:3">
      <c r="B234" s="34"/>
      <c r="C234" s="34"/>
    </row>
    <row r="235" customHeight="1" spans="2:3">
      <c r="B235" s="34"/>
      <c r="C235" s="34"/>
    </row>
    <row r="236" customHeight="1" spans="2:3">
      <c r="B236" s="34"/>
      <c r="C236" s="34"/>
    </row>
    <row r="237" customHeight="1" spans="2:3">
      <c r="B237" s="34"/>
      <c r="C237" s="34"/>
    </row>
    <row r="238" customHeight="1" spans="2:3">
      <c r="B238" s="34"/>
      <c r="C238" s="34"/>
    </row>
    <row r="239" customHeight="1" spans="2:3">
      <c r="B239" s="34"/>
      <c r="C239" s="34"/>
    </row>
    <row r="240" customHeight="1" spans="2:3">
      <c r="B240" s="34"/>
      <c r="C240" s="34"/>
    </row>
    <row r="241" customHeight="1" spans="2:3">
      <c r="B241" s="34"/>
      <c r="C241" s="34"/>
    </row>
    <row r="242" customHeight="1" spans="2:3">
      <c r="B242" s="34"/>
      <c r="C242" s="34"/>
    </row>
    <row r="243" customHeight="1" spans="2:3">
      <c r="B243" s="34"/>
      <c r="C243" s="34"/>
    </row>
    <row r="244" customHeight="1" spans="2:3">
      <c r="B244" s="34"/>
      <c r="C244" s="34"/>
    </row>
    <row r="245" customHeight="1" spans="2:3">
      <c r="B245" s="34"/>
      <c r="C245" s="34"/>
    </row>
    <row r="246" customHeight="1" spans="2:3">
      <c r="B246" s="34"/>
      <c r="C246" s="34"/>
    </row>
    <row r="247" customHeight="1" spans="2:3">
      <c r="B247" s="34"/>
      <c r="C247" s="34"/>
    </row>
    <row r="248" customHeight="1" spans="2:3">
      <c r="B248" s="34"/>
      <c r="C248" s="34"/>
    </row>
    <row r="249" customHeight="1" spans="2:3">
      <c r="B249" s="34"/>
      <c r="C249" s="34"/>
    </row>
    <row r="250" customHeight="1" spans="2:3">
      <c r="B250" s="34"/>
      <c r="C250" s="34"/>
    </row>
    <row r="251" customHeight="1" spans="2:3">
      <c r="B251" s="34"/>
      <c r="C251" s="34"/>
    </row>
    <row r="252" customHeight="1" spans="2:3">
      <c r="B252" s="34"/>
      <c r="C252" s="34"/>
    </row>
    <row r="253" customHeight="1" spans="2:3">
      <c r="B253" s="34"/>
      <c r="C253" s="34"/>
    </row>
    <row r="254" customHeight="1" spans="2:3">
      <c r="B254" s="34"/>
      <c r="C254" s="34"/>
    </row>
    <row r="255" customHeight="1" spans="2:3">
      <c r="B255" s="34"/>
      <c r="C255" s="34"/>
    </row>
    <row r="256" customHeight="1" spans="2:3">
      <c r="B256" s="34"/>
      <c r="C256" s="34"/>
    </row>
    <row r="257" customHeight="1" spans="2:3">
      <c r="B257" s="34"/>
      <c r="C257" s="34"/>
    </row>
    <row r="258" customHeight="1" spans="2:3">
      <c r="B258" s="34"/>
      <c r="C258" s="34"/>
    </row>
    <row r="259" customHeight="1" spans="2:3">
      <c r="B259" s="34"/>
      <c r="C259" s="34"/>
    </row>
    <row r="260" customHeight="1" spans="2:3">
      <c r="B260" s="34"/>
      <c r="C260" s="34"/>
    </row>
    <row r="261" customHeight="1" spans="2:3">
      <c r="B261" s="34"/>
      <c r="C261" s="34"/>
    </row>
    <row r="262" customHeight="1" spans="2:3">
      <c r="B262" s="34"/>
      <c r="C262" s="34"/>
    </row>
    <row r="263" customHeight="1" spans="2:3">
      <c r="B263" s="34"/>
      <c r="C263" s="34"/>
    </row>
    <row r="264" customHeight="1" spans="2:3">
      <c r="B264" s="34"/>
      <c r="C264" s="34"/>
    </row>
    <row r="265" customHeight="1" spans="2:3">
      <c r="B265" s="34"/>
      <c r="C265" s="34"/>
    </row>
    <row r="266" customHeight="1" spans="2:3">
      <c r="B266" s="34"/>
      <c r="C266" s="34"/>
    </row>
    <row r="267" customHeight="1" spans="2:3">
      <c r="B267" s="34"/>
      <c r="C267" s="34"/>
    </row>
    <row r="268" customHeight="1" spans="2:3">
      <c r="B268" s="34"/>
      <c r="C268" s="34"/>
    </row>
    <row r="269" customHeight="1" spans="2:3">
      <c r="B269" s="34"/>
      <c r="C269" s="34"/>
    </row>
    <row r="270" customHeight="1" spans="2:3">
      <c r="B270" s="34"/>
      <c r="C270" s="34"/>
    </row>
    <row r="271" customHeight="1" spans="2:3">
      <c r="B271" s="34"/>
      <c r="C271" s="34"/>
    </row>
    <row r="272" customHeight="1" spans="2:3">
      <c r="B272" s="34"/>
      <c r="C272" s="34"/>
    </row>
    <row r="273" customHeight="1" spans="2:3">
      <c r="B273" s="34"/>
      <c r="C273" s="34"/>
    </row>
    <row r="274" customHeight="1" spans="2:3">
      <c r="B274" s="34"/>
      <c r="C274" s="34"/>
    </row>
    <row r="275" customHeight="1" spans="2:3">
      <c r="B275" s="34"/>
      <c r="C275" s="34"/>
    </row>
    <row r="276" customHeight="1" spans="2:3">
      <c r="B276" s="34"/>
      <c r="C276" s="34"/>
    </row>
    <row r="277" customHeight="1" spans="2:3">
      <c r="B277" s="34"/>
      <c r="C277" s="34"/>
    </row>
    <row r="278" customHeight="1" spans="2:3">
      <c r="B278" s="34"/>
      <c r="C278" s="34"/>
    </row>
    <row r="279" customHeight="1" spans="2:3">
      <c r="B279" s="34"/>
      <c r="C279" s="34"/>
    </row>
    <row r="280" customHeight="1" spans="2:3">
      <c r="B280" s="34"/>
      <c r="C280" s="34"/>
    </row>
    <row r="281" customHeight="1" spans="2:3">
      <c r="B281" s="34"/>
      <c r="C281" s="34"/>
    </row>
    <row r="282" customHeight="1" spans="2:3">
      <c r="B282" s="34"/>
      <c r="C282" s="34"/>
    </row>
    <row r="283" customHeight="1" spans="2:3">
      <c r="B283" s="34"/>
      <c r="C283" s="34"/>
    </row>
    <row r="284" customHeight="1" spans="2:3">
      <c r="B284" s="34"/>
      <c r="C284" s="34"/>
    </row>
    <row r="285" customHeight="1" spans="2:3">
      <c r="B285" s="34"/>
      <c r="C285" s="34"/>
    </row>
    <row r="286" customHeight="1" spans="2:3">
      <c r="B286" s="34"/>
      <c r="C286" s="34"/>
    </row>
    <row r="287" customHeight="1" spans="2:3">
      <c r="B287" s="34"/>
      <c r="C287" s="34"/>
    </row>
    <row r="288" customHeight="1" spans="2:3">
      <c r="B288" s="34"/>
      <c r="C288" s="34"/>
    </row>
    <row r="289" customHeight="1" spans="2:3">
      <c r="B289" s="34"/>
      <c r="C289" s="34"/>
    </row>
    <row r="290" customHeight="1" spans="2:3">
      <c r="B290" s="34"/>
      <c r="C290" s="34"/>
    </row>
    <row r="291" customHeight="1" spans="2:3">
      <c r="B291" s="34"/>
      <c r="C291" s="34"/>
    </row>
    <row r="292" customHeight="1" spans="2:3">
      <c r="B292" s="34"/>
      <c r="C292" s="34"/>
    </row>
    <row r="293" customHeight="1" spans="2:3">
      <c r="B293" s="34"/>
      <c r="C293" s="34"/>
    </row>
    <row r="294" customHeight="1" spans="2:3">
      <c r="B294" s="34"/>
      <c r="C294" s="34"/>
    </row>
    <row r="295" customHeight="1" spans="2:3">
      <c r="B295" s="34"/>
      <c r="C295" s="34"/>
    </row>
    <row r="296" customHeight="1" spans="2:3">
      <c r="B296" s="34"/>
      <c r="C296" s="34"/>
    </row>
    <row r="297" customHeight="1" spans="2:3">
      <c r="B297" s="34"/>
      <c r="C297" s="34"/>
    </row>
    <row r="298" customHeight="1" spans="2:3">
      <c r="B298" s="34"/>
      <c r="C298" s="34"/>
    </row>
    <row r="299" customHeight="1" spans="2:3">
      <c r="B299" s="34"/>
      <c r="C299" s="34"/>
    </row>
    <row r="300" customHeight="1" spans="2:3">
      <c r="B300" s="34"/>
      <c r="C300" s="34"/>
    </row>
    <row r="301" customHeight="1" spans="2:3">
      <c r="B301" s="34"/>
      <c r="C301" s="34"/>
    </row>
    <row r="302" customHeight="1" spans="2:3">
      <c r="B302" s="34"/>
      <c r="C302" s="34"/>
    </row>
    <row r="303" customHeight="1" spans="2:3">
      <c r="B303" s="34"/>
      <c r="C303" s="34"/>
    </row>
    <row r="304" customHeight="1" spans="2:3">
      <c r="B304" s="34"/>
      <c r="C304" s="34"/>
    </row>
    <row r="305" customHeight="1" spans="2:3">
      <c r="B305" s="34"/>
      <c r="C305" s="34"/>
    </row>
    <row r="306" customHeight="1" spans="2:3">
      <c r="B306" s="34"/>
      <c r="C306" s="34"/>
    </row>
    <row r="307" customHeight="1" spans="2:3">
      <c r="B307" s="34"/>
      <c r="C307" s="34"/>
    </row>
    <row r="308" customHeight="1" spans="2:3">
      <c r="B308" s="34"/>
      <c r="C308" s="34"/>
    </row>
    <row r="309" customHeight="1" spans="2:3">
      <c r="B309" s="34"/>
      <c r="C309" s="34"/>
    </row>
    <row r="310" customHeight="1" spans="2:3">
      <c r="B310" s="34"/>
      <c r="C310" s="34"/>
    </row>
    <row r="311" customHeight="1" spans="2:3">
      <c r="B311" s="34"/>
      <c r="C311" s="34"/>
    </row>
    <row r="312" customHeight="1" spans="2:3">
      <c r="B312" s="34"/>
      <c r="C312" s="34"/>
    </row>
    <row r="313" customHeight="1" spans="2:3">
      <c r="B313" s="34"/>
      <c r="C313" s="34"/>
    </row>
    <row r="314" customHeight="1" spans="2:3">
      <c r="B314" s="34"/>
      <c r="C314" s="34"/>
    </row>
    <row r="315" customHeight="1" spans="2:3">
      <c r="B315" s="34"/>
      <c r="C315" s="34"/>
    </row>
    <row r="316" customHeight="1" spans="2:3">
      <c r="B316" s="34"/>
      <c r="C316" s="34"/>
    </row>
    <row r="317" customHeight="1" spans="2:3">
      <c r="B317" s="34"/>
      <c r="C317" s="34"/>
    </row>
    <row r="318" customHeight="1" spans="2:3">
      <c r="B318" s="34"/>
      <c r="C318" s="34"/>
    </row>
    <row r="319" customHeight="1" spans="2:3">
      <c r="B319" s="34"/>
      <c r="C319" s="34"/>
    </row>
    <row r="320" customHeight="1" spans="2:3">
      <c r="B320" s="34"/>
      <c r="C320" s="34"/>
    </row>
    <row r="321" customHeight="1" spans="2:3">
      <c r="B321" s="34"/>
      <c r="C321" s="34"/>
    </row>
    <row r="322" customHeight="1" spans="2:3">
      <c r="B322" s="34"/>
      <c r="C322" s="34"/>
    </row>
    <row r="323" customHeight="1" spans="2:3">
      <c r="B323" s="34"/>
      <c r="C323" s="34"/>
    </row>
    <row r="324" customHeight="1" spans="2:3">
      <c r="B324" s="34"/>
      <c r="C324" s="34"/>
    </row>
    <row r="325" customHeight="1" spans="2:3">
      <c r="B325" s="34"/>
      <c r="C325" s="34"/>
    </row>
    <row r="326" customHeight="1" spans="2:3">
      <c r="B326" s="34"/>
      <c r="C326" s="34"/>
    </row>
    <row r="327" customHeight="1" spans="2:3">
      <c r="B327" s="34"/>
      <c r="C327" s="34"/>
    </row>
    <row r="328" customHeight="1" spans="2:3">
      <c r="B328" s="34"/>
      <c r="C328" s="34"/>
    </row>
    <row r="329" customHeight="1" spans="2:3">
      <c r="B329" s="34"/>
      <c r="C329" s="34"/>
    </row>
    <row r="330" customHeight="1" spans="2:3">
      <c r="B330" s="34"/>
      <c r="C330" s="34"/>
    </row>
    <row r="331" customHeight="1" spans="2:3">
      <c r="B331" s="34"/>
      <c r="C331" s="34"/>
    </row>
    <row r="332" customHeight="1" spans="2:3">
      <c r="B332" s="34"/>
      <c r="C332" s="34"/>
    </row>
    <row r="333" customHeight="1" spans="2:3">
      <c r="B333" s="34"/>
      <c r="C333" s="34"/>
    </row>
    <row r="334" customHeight="1" spans="2:3">
      <c r="B334" s="34"/>
      <c r="C334" s="34"/>
    </row>
    <row r="335" customHeight="1" spans="2:3">
      <c r="B335" s="34"/>
      <c r="C335" s="34"/>
    </row>
    <row r="336" customHeight="1" spans="2:3">
      <c r="B336" s="34"/>
      <c r="C336" s="34"/>
    </row>
    <row r="337" customHeight="1" spans="2:3">
      <c r="B337" s="34"/>
      <c r="C337" s="34"/>
    </row>
    <row r="338" customHeight="1" spans="2:3">
      <c r="B338" s="34"/>
      <c r="C338" s="34"/>
    </row>
    <row r="339" customHeight="1" spans="2:3">
      <c r="B339" s="34"/>
      <c r="C339" s="34"/>
    </row>
    <row r="340" customHeight="1" spans="2:3">
      <c r="B340" s="34"/>
      <c r="C340" s="34"/>
    </row>
    <row r="341" customHeight="1" spans="2:3">
      <c r="B341" s="34"/>
      <c r="C341" s="34"/>
    </row>
    <row r="342" customHeight="1" spans="2:3">
      <c r="B342" s="34"/>
      <c r="C342" s="34"/>
    </row>
    <row r="343" customHeight="1" spans="2:3">
      <c r="B343" s="34"/>
      <c r="C343" s="34"/>
    </row>
    <row r="344" customHeight="1" spans="2:3">
      <c r="B344" s="34"/>
      <c r="C344" s="34"/>
    </row>
    <row r="345" customHeight="1" spans="2:3">
      <c r="B345" s="34"/>
      <c r="C345" s="34"/>
    </row>
    <row r="346" customHeight="1" spans="2:3">
      <c r="B346" s="34"/>
      <c r="C346" s="34"/>
    </row>
    <row r="347" customHeight="1" spans="2:3">
      <c r="B347" s="34"/>
      <c r="C347" s="34"/>
    </row>
    <row r="348" customHeight="1" spans="2:3">
      <c r="B348" s="34"/>
      <c r="C348" s="34"/>
    </row>
    <row r="349" customHeight="1" spans="2:3">
      <c r="B349" s="34"/>
      <c r="C349" s="34"/>
    </row>
    <row r="350" customHeight="1" spans="2:3">
      <c r="B350" s="34"/>
      <c r="C350" s="34"/>
    </row>
    <row r="351" customHeight="1" spans="2:3">
      <c r="B351" s="34"/>
      <c r="C351" s="34"/>
    </row>
    <row r="352" customHeight="1" spans="2:3">
      <c r="B352" s="34"/>
      <c r="C352" s="34"/>
    </row>
    <row r="353" customHeight="1" spans="2:3">
      <c r="B353" s="34"/>
      <c r="C353" s="34"/>
    </row>
    <row r="354" customHeight="1" spans="2:3">
      <c r="B354" s="34"/>
      <c r="C354" s="34"/>
    </row>
    <row r="355" customHeight="1" spans="2:3">
      <c r="B355" s="34"/>
      <c r="C355" s="34"/>
    </row>
    <row r="356" customHeight="1" spans="2:3">
      <c r="B356" s="34"/>
      <c r="C356" s="34"/>
    </row>
    <row r="357" customHeight="1" spans="2:3">
      <c r="B357" s="34"/>
      <c r="C357" s="34"/>
    </row>
    <row r="358" customHeight="1" spans="2:3">
      <c r="B358" s="34"/>
      <c r="C358" s="34"/>
    </row>
    <row r="359" customHeight="1" spans="2:3">
      <c r="B359" s="34"/>
      <c r="C359" s="34"/>
    </row>
    <row r="360" customHeight="1" spans="2:3">
      <c r="B360" s="34"/>
      <c r="C360" s="34"/>
    </row>
    <row r="361" customHeight="1" spans="2:3">
      <c r="B361" s="34"/>
      <c r="C361" s="34"/>
    </row>
    <row r="362" customHeight="1" spans="2:3">
      <c r="B362" s="34"/>
      <c r="C362" s="34"/>
    </row>
    <row r="363" customHeight="1" spans="2:3">
      <c r="B363" s="34"/>
      <c r="C363" s="34"/>
    </row>
    <row r="364" customHeight="1" spans="2:3">
      <c r="B364" s="34"/>
      <c r="C364" s="34"/>
    </row>
    <row r="365" customHeight="1" spans="2:3">
      <c r="B365" s="34"/>
      <c r="C365" s="34"/>
    </row>
    <row r="366" customHeight="1" spans="2:3">
      <c r="B366" s="34"/>
      <c r="C366" s="34"/>
    </row>
    <row r="367" customHeight="1" spans="2:3">
      <c r="B367" s="34"/>
      <c r="C367" s="34"/>
    </row>
    <row r="368" customHeight="1" spans="2:3">
      <c r="B368" s="34"/>
      <c r="C368" s="34"/>
    </row>
    <row r="369" customHeight="1" spans="2:3">
      <c r="B369" s="34"/>
      <c r="C369" s="34"/>
    </row>
    <row r="370" customHeight="1" spans="2:3">
      <c r="B370" s="34"/>
      <c r="C370" s="34"/>
    </row>
    <row r="371" customHeight="1" spans="2:3">
      <c r="B371" s="34"/>
      <c r="C371" s="34"/>
    </row>
    <row r="372" customHeight="1" spans="2:3">
      <c r="B372" s="34"/>
      <c r="C372" s="34"/>
    </row>
    <row r="373" customHeight="1" spans="2:3">
      <c r="B373" s="34"/>
      <c r="C373" s="34"/>
    </row>
    <row r="374" customHeight="1" spans="2:3">
      <c r="B374" s="34"/>
      <c r="C374" s="34"/>
    </row>
    <row r="375" customHeight="1" spans="2:3">
      <c r="B375" s="34"/>
      <c r="C375" s="34"/>
    </row>
    <row r="376" customHeight="1" spans="2:3">
      <c r="B376" s="34"/>
      <c r="C376" s="34"/>
    </row>
    <row r="377" customHeight="1" spans="2:3">
      <c r="B377" s="34"/>
      <c r="C377" s="34"/>
    </row>
    <row r="378" customHeight="1" spans="2:3">
      <c r="B378" s="34"/>
      <c r="C378" s="34"/>
    </row>
    <row r="379" customHeight="1" spans="2:3">
      <c r="B379" s="34"/>
      <c r="C379" s="34"/>
    </row>
    <row r="380" customHeight="1" spans="2:3">
      <c r="B380" s="34"/>
      <c r="C380" s="34"/>
    </row>
    <row r="381" customHeight="1" spans="2:3">
      <c r="B381" s="34"/>
      <c r="C381" s="34"/>
    </row>
    <row r="382" customHeight="1" spans="2:3">
      <c r="B382" s="34"/>
      <c r="C382" s="34"/>
    </row>
    <row r="383" customHeight="1" spans="2:3">
      <c r="B383" s="34"/>
      <c r="C383" s="34"/>
    </row>
    <row r="384" customHeight="1" spans="2:3">
      <c r="B384" s="34"/>
      <c r="C384" s="34"/>
    </row>
    <row r="385" customHeight="1" spans="2:3">
      <c r="B385" s="34"/>
      <c r="C385" s="34"/>
    </row>
    <row r="386" customHeight="1" spans="2:3">
      <c r="B386" s="34"/>
      <c r="C386" s="34"/>
    </row>
    <row r="387" customHeight="1" spans="2:3">
      <c r="B387" s="34"/>
      <c r="C387" s="34"/>
    </row>
    <row r="388" customHeight="1" spans="2:3">
      <c r="B388" s="34"/>
      <c r="C388" s="34"/>
    </row>
    <row r="389" customHeight="1" spans="2:3">
      <c r="B389" s="34"/>
      <c r="C389" s="34"/>
    </row>
    <row r="390" customHeight="1" spans="2:3">
      <c r="B390" s="34"/>
      <c r="C390" s="34"/>
    </row>
    <row r="391" customHeight="1" spans="2:3">
      <c r="B391" s="34"/>
      <c r="C391" s="34"/>
    </row>
    <row r="392" customHeight="1" spans="2:3">
      <c r="B392" s="34"/>
      <c r="C392" s="34"/>
    </row>
    <row r="393" customHeight="1" spans="2:3">
      <c r="B393" s="34"/>
      <c r="C393" s="34"/>
    </row>
    <row r="394" customHeight="1" spans="2:3">
      <c r="B394" s="34"/>
      <c r="C394" s="34"/>
    </row>
    <row r="395" customHeight="1" spans="2:3">
      <c r="B395" s="34"/>
      <c r="C395" s="34"/>
    </row>
    <row r="396" customHeight="1" spans="2:3">
      <c r="B396" s="34"/>
      <c r="C396" s="34"/>
    </row>
    <row r="397" customHeight="1" spans="2:3">
      <c r="B397" s="34"/>
      <c r="C397" s="34"/>
    </row>
    <row r="398" customHeight="1" spans="2:3">
      <c r="B398" s="34"/>
      <c r="C398" s="34"/>
    </row>
    <row r="399" customHeight="1" spans="2:3">
      <c r="B399" s="34"/>
      <c r="C399" s="34"/>
    </row>
    <row r="400" customHeight="1" spans="2:3">
      <c r="B400" s="34"/>
      <c r="C400" s="34"/>
    </row>
    <row r="401" customHeight="1" spans="2:3">
      <c r="B401" s="34"/>
      <c r="C401" s="34"/>
    </row>
    <row r="402" customHeight="1" spans="2:3">
      <c r="B402" s="34"/>
      <c r="C402" s="34"/>
    </row>
    <row r="403" customHeight="1" spans="2:3">
      <c r="B403" s="34"/>
      <c r="C403" s="34"/>
    </row>
    <row r="404" customHeight="1" spans="2:3">
      <c r="B404" s="34"/>
      <c r="C404" s="34"/>
    </row>
    <row r="405" customHeight="1" spans="2:3">
      <c r="B405" s="34"/>
      <c r="C405" s="34"/>
    </row>
    <row r="406" customHeight="1" spans="2:3">
      <c r="B406" s="34"/>
      <c r="C406" s="34"/>
    </row>
    <row r="407" customHeight="1" spans="2:3">
      <c r="B407" s="34"/>
      <c r="C407" s="34"/>
    </row>
    <row r="408" customHeight="1" spans="2:3">
      <c r="B408" s="34"/>
      <c r="C408" s="34"/>
    </row>
    <row r="409" customHeight="1" spans="2:3">
      <c r="B409" s="34"/>
      <c r="C409" s="34"/>
    </row>
    <row r="410" customHeight="1" spans="2:3">
      <c r="B410" s="34"/>
      <c r="C410" s="34"/>
    </row>
    <row r="411" customHeight="1" spans="2:3">
      <c r="B411" s="34"/>
      <c r="C411" s="34"/>
    </row>
    <row r="412" customHeight="1" spans="2:3">
      <c r="B412" s="34"/>
      <c r="C412" s="34"/>
    </row>
    <row r="413" customHeight="1" spans="2:3">
      <c r="B413" s="34"/>
      <c r="C413" s="34"/>
    </row>
    <row r="414" customHeight="1" spans="2:3">
      <c r="B414" s="34"/>
      <c r="C414" s="34"/>
    </row>
    <row r="415" customHeight="1" spans="2:3">
      <c r="B415" s="34"/>
      <c r="C415" s="34"/>
    </row>
    <row r="416" customHeight="1" spans="2:3">
      <c r="B416" s="34"/>
      <c r="C416" s="34"/>
    </row>
    <row r="417" customHeight="1" spans="2:3">
      <c r="B417" s="34"/>
      <c r="C417" s="34"/>
    </row>
    <row r="418" customHeight="1" spans="2:3">
      <c r="B418" s="34"/>
      <c r="C418" s="34"/>
    </row>
    <row r="419" customHeight="1" spans="2:3">
      <c r="B419" s="34"/>
      <c r="C419" s="34"/>
    </row>
    <row r="420" customHeight="1" spans="2:3">
      <c r="B420" s="34"/>
      <c r="C420" s="34"/>
    </row>
    <row r="421" customHeight="1" spans="2:3">
      <c r="B421" s="34"/>
      <c r="C421" s="34"/>
    </row>
    <row r="422" customHeight="1" spans="2:3">
      <c r="B422" s="34"/>
      <c r="C422" s="34"/>
    </row>
    <row r="423" customHeight="1" spans="2:3">
      <c r="B423" s="34"/>
      <c r="C423" s="34"/>
    </row>
    <row r="424" customHeight="1" spans="2:3">
      <c r="B424" s="34"/>
      <c r="C424" s="34"/>
    </row>
    <row r="425" customHeight="1" spans="2:3">
      <c r="B425" s="34"/>
      <c r="C425" s="34"/>
    </row>
    <row r="426" customHeight="1" spans="2:3">
      <c r="B426" s="34"/>
      <c r="C426" s="34"/>
    </row>
    <row r="427" customHeight="1" spans="2:3">
      <c r="B427" s="34"/>
      <c r="C427" s="34"/>
    </row>
    <row r="428" customHeight="1" spans="2:3">
      <c r="B428" s="34"/>
      <c r="C428" s="34"/>
    </row>
    <row r="429" customHeight="1" spans="2:3">
      <c r="B429" s="34"/>
      <c r="C429" s="34"/>
    </row>
    <row r="430" customHeight="1" spans="2:3">
      <c r="B430" s="34"/>
      <c r="C430" s="34"/>
    </row>
    <row r="431" customHeight="1" spans="2:3">
      <c r="B431" s="34"/>
      <c r="C431" s="34"/>
    </row>
    <row r="432" customHeight="1" spans="2:3">
      <c r="B432" s="34"/>
      <c r="C432" s="34"/>
    </row>
    <row r="433" customHeight="1" spans="2:3">
      <c r="B433" s="34"/>
      <c r="C433" s="34"/>
    </row>
    <row r="434" customHeight="1" spans="2:3">
      <c r="B434" s="34"/>
      <c r="C434" s="34"/>
    </row>
    <row r="435" customHeight="1" spans="2:3">
      <c r="B435" s="34"/>
      <c r="C435" s="34"/>
    </row>
    <row r="436" customHeight="1" spans="2:3">
      <c r="B436" s="34"/>
      <c r="C436" s="34"/>
    </row>
    <row r="437" customHeight="1" spans="2:3">
      <c r="B437" s="34"/>
      <c r="C437" s="34"/>
    </row>
    <row r="438" customHeight="1" spans="2:3">
      <c r="B438" s="34"/>
      <c r="C438" s="34"/>
    </row>
    <row r="439" customHeight="1" spans="2:3">
      <c r="B439" s="34"/>
      <c r="C439" s="34"/>
    </row>
    <row r="440" customHeight="1" spans="2:3">
      <c r="B440" s="34"/>
      <c r="C440" s="34"/>
    </row>
    <row r="441" customHeight="1" spans="2:3">
      <c r="B441" s="34"/>
      <c r="C441" s="34"/>
    </row>
    <row r="442" customHeight="1" spans="2:3">
      <c r="B442" s="34"/>
      <c r="C442" s="34"/>
    </row>
    <row r="443" customHeight="1" spans="2:3">
      <c r="B443" s="34"/>
      <c r="C443" s="34"/>
    </row>
    <row r="444" customHeight="1" spans="2:3">
      <c r="B444" s="34"/>
      <c r="C444" s="34"/>
    </row>
    <row r="445" customHeight="1" spans="2:3">
      <c r="B445" s="34"/>
      <c r="C445" s="34"/>
    </row>
    <row r="446" customHeight="1" spans="2:3">
      <c r="B446" s="34"/>
      <c r="C446" s="34"/>
    </row>
    <row r="447" customHeight="1" spans="2:3">
      <c r="B447" s="34"/>
      <c r="C447" s="34"/>
    </row>
    <row r="448" customHeight="1" spans="2:3">
      <c r="B448" s="34"/>
      <c r="C448" s="34"/>
    </row>
    <row r="449" customHeight="1" spans="2:3">
      <c r="B449" s="34"/>
      <c r="C449" s="34"/>
    </row>
    <row r="450" customHeight="1" spans="2:3">
      <c r="B450" s="34"/>
      <c r="C450" s="34"/>
    </row>
    <row r="451" customHeight="1" spans="2:3">
      <c r="B451" s="34"/>
      <c r="C451" s="34"/>
    </row>
    <row r="452" customHeight="1" spans="2:3">
      <c r="B452" s="34"/>
      <c r="C452" s="34"/>
    </row>
    <row r="453" customHeight="1" spans="2:3">
      <c r="B453" s="34"/>
      <c r="C453" s="34"/>
    </row>
    <row r="454" customHeight="1" spans="2:3">
      <c r="B454" s="34"/>
      <c r="C454" s="34"/>
    </row>
    <row r="455" customHeight="1" spans="2:3">
      <c r="B455" s="34"/>
      <c r="C455" s="34"/>
    </row>
    <row r="456" customHeight="1" spans="2:3">
      <c r="B456" s="34"/>
      <c r="C456" s="34"/>
    </row>
    <row r="457" customHeight="1" spans="2:3">
      <c r="B457" s="34"/>
      <c r="C457" s="34"/>
    </row>
    <row r="458" customHeight="1" spans="2:3">
      <c r="B458" s="34"/>
      <c r="C458" s="34"/>
    </row>
    <row r="459" customHeight="1" spans="2:3">
      <c r="B459" s="34"/>
      <c r="C459" s="34"/>
    </row>
    <row r="460" customHeight="1" spans="2:3">
      <c r="B460" s="34"/>
      <c r="C460" s="34"/>
    </row>
    <row r="461" customHeight="1" spans="2:3">
      <c r="B461" s="34"/>
      <c r="C461" s="34"/>
    </row>
    <row r="462" customHeight="1" spans="2:3">
      <c r="B462" s="34"/>
      <c r="C462" s="34"/>
    </row>
    <row r="463" customHeight="1" spans="2:3">
      <c r="B463" s="34"/>
      <c r="C463" s="34"/>
    </row>
    <row r="464" customHeight="1" spans="2:3">
      <c r="B464" s="34"/>
      <c r="C464" s="34"/>
    </row>
    <row r="465" customHeight="1" spans="2:3">
      <c r="B465" s="34"/>
      <c r="C465" s="34"/>
    </row>
    <row r="466" customHeight="1" spans="2:3">
      <c r="B466" s="34"/>
      <c r="C466" s="34"/>
    </row>
    <row r="467" customHeight="1" spans="2:3">
      <c r="B467" s="34"/>
      <c r="C467" s="34"/>
    </row>
    <row r="468" customHeight="1" spans="2:3">
      <c r="B468" s="34"/>
      <c r="C468" s="34"/>
    </row>
    <row r="469" customHeight="1" spans="2:3">
      <c r="B469" s="34"/>
      <c r="C469" s="34"/>
    </row>
    <row r="470" customHeight="1" spans="2:3">
      <c r="B470" s="34"/>
      <c r="C470" s="34"/>
    </row>
    <row r="471" customHeight="1" spans="2:3">
      <c r="B471" s="34"/>
      <c r="C471" s="34"/>
    </row>
    <row r="472" customHeight="1" spans="2:3">
      <c r="B472" s="34"/>
      <c r="C472" s="34"/>
    </row>
    <row r="473" customHeight="1" spans="2:3">
      <c r="B473" s="34"/>
      <c r="C473" s="34"/>
    </row>
    <row r="474" customHeight="1" spans="2:3">
      <c r="B474" s="34"/>
      <c r="C474" s="34"/>
    </row>
    <row r="475" customHeight="1" spans="2:3">
      <c r="B475" s="34"/>
      <c r="C475" s="34"/>
    </row>
    <row r="476" customHeight="1" spans="2:3">
      <c r="B476" s="34"/>
      <c r="C476" s="34"/>
    </row>
    <row r="477" customHeight="1" spans="2:3">
      <c r="B477" s="34"/>
      <c r="C477" s="34"/>
    </row>
    <row r="478" customHeight="1" spans="2:3">
      <c r="B478" s="34"/>
      <c r="C478" s="34"/>
    </row>
    <row r="479" customHeight="1" spans="2:3">
      <c r="B479" s="34"/>
      <c r="C479" s="34"/>
    </row>
    <row r="480" customHeight="1" spans="2:3">
      <c r="B480" s="34"/>
      <c r="C480" s="34"/>
    </row>
    <row r="481" customHeight="1" spans="2:3">
      <c r="B481" s="34"/>
      <c r="C481" s="34"/>
    </row>
    <row r="482" customHeight="1" spans="2:3">
      <c r="B482" s="34"/>
      <c r="C482" s="34"/>
    </row>
    <row r="483" customHeight="1" spans="2:3">
      <c r="B483" s="34"/>
      <c r="C483" s="34"/>
    </row>
    <row r="484" customHeight="1" spans="2:3">
      <c r="B484" s="34"/>
      <c r="C484" s="34"/>
    </row>
    <row r="485" customHeight="1" spans="2:3">
      <c r="B485" s="34"/>
      <c r="C485" s="34"/>
    </row>
    <row r="486" customHeight="1" spans="2:3">
      <c r="B486" s="34"/>
      <c r="C486" s="34"/>
    </row>
    <row r="487" customHeight="1" spans="2:3">
      <c r="B487" s="34"/>
      <c r="C487" s="34"/>
    </row>
    <row r="488" customHeight="1" spans="2:3">
      <c r="B488" s="34"/>
      <c r="C488" s="34"/>
    </row>
    <row r="489" customHeight="1" spans="2:3">
      <c r="B489" s="34"/>
      <c r="C489" s="34"/>
    </row>
    <row r="490" customHeight="1" spans="2:3">
      <c r="B490" s="34"/>
      <c r="C490" s="34"/>
    </row>
    <row r="491" customHeight="1" spans="2:3">
      <c r="B491" s="34"/>
      <c r="C491" s="34"/>
    </row>
    <row r="492" customHeight="1" spans="2:3">
      <c r="B492" s="34"/>
      <c r="C492" s="34"/>
    </row>
    <row r="493" customHeight="1" spans="2:3">
      <c r="B493" s="34"/>
      <c r="C493" s="34"/>
    </row>
    <row r="494" customHeight="1" spans="2:3">
      <c r="B494" s="34"/>
      <c r="C494" s="34"/>
    </row>
    <row r="495" customHeight="1" spans="2:3">
      <c r="B495" s="34"/>
      <c r="C495" s="34"/>
    </row>
    <row r="496" customHeight="1" spans="2:3">
      <c r="B496" s="34"/>
      <c r="C496" s="34"/>
    </row>
    <row r="497" customHeight="1" spans="2:3">
      <c r="B497" s="34"/>
      <c r="C497" s="34"/>
    </row>
    <row r="498" customHeight="1" spans="2:3">
      <c r="B498" s="34"/>
      <c r="C498" s="34"/>
    </row>
    <row r="499" customHeight="1" spans="2:3">
      <c r="B499" s="34"/>
      <c r="C499" s="34"/>
    </row>
    <row r="500" customHeight="1" spans="2:3">
      <c r="B500" s="34"/>
      <c r="C500" s="34"/>
    </row>
    <row r="501" customHeight="1" spans="2:3">
      <c r="B501" s="34"/>
      <c r="C501" s="34"/>
    </row>
    <row r="502" customHeight="1" spans="2:3">
      <c r="B502" s="34"/>
      <c r="C502" s="34"/>
    </row>
    <row r="503" customHeight="1" spans="2:3">
      <c r="B503" s="34"/>
      <c r="C503" s="34"/>
    </row>
    <row r="504" customHeight="1" spans="2:3">
      <c r="B504" s="34"/>
      <c r="C504" s="34"/>
    </row>
    <row r="505" customHeight="1" spans="2:3">
      <c r="B505" s="34"/>
      <c r="C505" s="34"/>
    </row>
    <row r="506" customHeight="1" spans="2:3">
      <c r="B506" s="34"/>
      <c r="C506" s="34"/>
    </row>
    <row r="507" customHeight="1" spans="2:3">
      <c r="B507" s="34"/>
      <c r="C507" s="34"/>
    </row>
    <row r="508" customHeight="1" spans="2:3">
      <c r="B508" s="34"/>
      <c r="C508" s="34"/>
    </row>
    <row r="509" customHeight="1" spans="2:3">
      <c r="B509" s="34"/>
      <c r="C509" s="34"/>
    </row>
    <row r="510" customHeight="1" spans="2:3">
      <c r="B510" s="34"/>
      <c r="C510" s="34"/>
    </row>
    <row r="511" customHeight="1" spans="2:3">
      <c r="B511" s="34"/>
      <c r="C511" s="34"/>
    </row>
    <row r="512" customHeight="1" spans="2:3">
      <c r="B512" s="34"/>
      <c r="C512" s="34"/>
    </row>
    <row r="513" customHeight="1" spans="2:3">
      <c r="B513" s="34"/>
      <c r="C513" s="34"/>
    </row>
    <row r="514" customHeight="1" spans="2:3">
      <c r="B514" s="34"/>
      <c r="C514" s="34"/>
    </row>
    <row r="515" customHeight="1" spans="2:3">
      <c r="B515" s="34"/>
      <c r="C515" s="34"/>
    </row>
    <row r="516" customHeight="1" spans="2:3">
      <c r="B516" s="34"/>
      <c r="C516" s="34"/>
    </row>
    <row r="517" customHeight="1" spans="2:3">
      <c r="B517" s="34"/>
      <c r="C517" s="34"/>
    </row>
    <row r="518" customHeight="1" spans="2:3">
      <c r="B518" s="34"/>
      <c r="C518" s="34"/>
    </row>
    <row r="519" customHeight="1" spans="2:3">
      <c r="B519" s="34"/>
      <c r="C519" s="34"/>
    </row>
    <row r="520" customHeight="1" spans="2:3">
      <c r="B520" s="34"/>
      <c r="C520" s="34"/>
    </row>
    <row r="521" customHeight="1" spans="2:3">
      <c r="B521" s="34"/>
      <c r="C521" s="34"/>
    </row>
    <row r="522" customHeight="1" spans="2:3">
      <c r="B522" s="34"/>
      <c r="C522" s="34"/>
    </row>
    <row r="523" customHeight="1" spans="2:3">
      <c r="B523" s="34"/>
      <c r="C523" s="34"/>
    </row>
    <row r="524" customHeight="1" spans="2:3">
      <c r="B524" s="34"/>
      <c r="C524" s="34"/>
    </row>
    <row r="525" customHeight="1" spans="2:3">
      <c r="B525" s="34"/>
      <c r="C525" s="34"/>
    </row>
    <row r="526" customHeight="1" spans="2:3">
      <c r="B526" s="34"/>
      <c r="C526" s="34"/>
    </row>
    <row r="527" customHeight="1" spans="2:3">
      <c r="B527" s="34"/>
      <c r="C527" s="34"/>
    </row>
    <row r="528" customHeight="1" spans="2:3">
      <c r="B528" s="34"/>
      <c r="C528" s="34"/>
    </row>
    <row r="529" customHeight="1" spans="2:3">
      <c r="B529" s="34"/>
      <c r="C529" s="34"/>
    </row>
    <row r="530" customHeight="1" spans="2:3">
      <c r="B530" s="34"/>
      <c r="C530" s="34"/>
    </row>
    <row r="531" customHeight="1" spans="2:3">
      <c r="B531" s="34"/>
      <c r="C531" s="34"/>
    </row>
    <row r="532" customHeight="1" spans="2:3">
      <c r="B532" s="34"/>
      <c r="C532" s="34"/>
    </row>
    <row r="533" customHeight="1" spans="2:3">
      <c r="B533" s="34"/>
      <c r="C533" s="34"/>
    </row>
    <row r="534" customHeight="1" spans="2:3">
      <c r="B534" s="34"/>
      <c r="C534" s="34"/>
    </row>
    <row r="535" customHeight="1" spans="2:3">
      <c r="B535" s="34"/>
      <c r="C535" s="34"/>
    </row>
    <row r="536" customHeight="1" spans="2:3">
      <c r="B536" s="34"/>
      <c r="C536" s="34"/>
    </row>
    <row r="537" customHeight="1" spans="2:3">
      <c r="B537" s="34"/>
      <c r="C537" s="34"/>
    </row>
    <row r="538" customHeight="1" spans="2:3">
      <c r="B538" s="34"/>
      <c r="C538" s="34"/>
    </row>
    <row r="539" customHeight="1" spans="2:3">
      <c r="B539" s="34"/>
      <c r="C539" s="34"/>
    </row>
    <row r="540" customHeight="1" spans="2:3">
      <c r="B540" s="34"/>
      <c r="C540" s="34"/>
    </row>
    <row r="541" customHeight="1" spans="2:3">
      <c r="B541" s="34"/>
      <c r="C541" s="34"/>
    </row>
    <row r="542" customHeight="1" spans="2:3">
      <c r="B542" s="34"/>
      <c r="C542" s="34"/>
    </row>
    <row r="543" customHeight="1" spans="2:3">
      <c r="B543" s="34"/>
      <c r="C543" s="34"/>
    </row>
    <row r="544" customHeight="1" spans="2:3">
      <c r="B544" s="34"/>
      <c r="C544" s="34"/>
    </row>
    <row r="545" customHeight="1" spans="2:3">
      <c r="B545" s="34"/>
      <c r="C545" s="34"/>
    </row>
    <row r="546" customHeight="1" spans="2:3">
      <c r="B546" s="34"/>
      <c r="C546" s="34"/>
    </row>
    <row r="547" customHeight="1" spans="2:3">
      <c r="B547" s="34"/>
      <c r="C547" s="34"/>
    </row>
    <row r="548" customHeight="1" spans="2:3">
      <c r="B548" s="34"/>
      <c r="C548" s="34"/>
    </row>
    <row r="549" customHeight="1" spans="2:3">
      <c r="B549" s="34"/>
      <c r="C549" s="34"/>
    </row>
    <row r="550" customHeight="1" spans="2:3">
      <c r="B550" s="34"/>
      <c r="C550" s="34"/>
    </row>
    <row r="551" customHeight="1" spans="2:3">
      <c r="B551" s="34"/>
      <c r="C551" s="34"/>
    </row>
    <row r="552" customHeight="1" spans="2:3">
      <c r="B552" s="34"/>
      <c r="C552" s="34"/>
    </row>
    <row r="553" customHeight="1" spans="2:3">
      <c r="B553" s="34"/>
      <c r="C553" s="34"/>
    </row>
    <row r="554" customHeight="1" spans="2:3">
      <c r="B554" s="34"/>
      <c r="C554" s="34"/>
    </row>
    <row r="555" customHeight="1" spans="2:3">
      <c r="B555" s="34"/>
      <c r="C555" s="34"/>
    </row>
    <row r="556" customHeight="1" spans="2:3">
      <c r="B556" s="34"/>
      <c r="C556" s="34"/>
    </row>
    <row r="557" customHeight="1" spans="2:3">
      <c r="B557" s="34"/>
      <c r="C557" s="34"/>
    </row>
    <row r="558" customHeight="1" spans="2:3">
      <c r="B558" s="34"/>
      <c r="C558" s="34"/>
    </row>
    <row r="559" customHeight="1" spans="2:3">
      <c r="B559" s="34"/>
      <c r="C559" s="34"/>
    </row>
    <row r="560" customHeight="1" spans="2:3">
      <c r="B560" s="34"/>
      <c r="C560" s="34"/>
    </row>
    <row r="561" customHeight="1" spans="2:3">
      <c r="B561" s="34"/>
      <c r="C561" s="34"/>
    </row>
    <row r="562" customHeight="1" spans="2:3">
      <c r="B562" s="34"/>
      <c r="C562" s="34"/>
    </row>
    <row r="563" customHeight="1" spans="2:3">
      <c r="B563" s="34"/>
      <c r="C563" s="34"/>
    </row>
    <row r="564" customHeight="1" spans="2:3">
      <c r="B564" s="34"/>
      <c r="C564" s="34"/>
    </row>
    <row r="565" customHeight="1" spans="2:3">
      <c r="B565" s="34"/>
      <c r="C565" s="34"/>
    </row>
    <row r="566" customHeight="1" spans="2:3">
      <c r="B566" s="34"/>
      <c r="C566" s="34"/>
    </row>
    <row r="567" customHeight="1" spans="2:3">
      <c r="B567" s="34"/>
      <c r="C567" s="34"/>
    </row>
    <row r="568" customHeight="1" spans="2:3">
      <c r="B568" s="34"/>
      <c r="C568" s="34"/>
    </row>
    <row r="569" customHeight="1" spans="2:3">
      <c r="B569" s="34"/>
      <c r="C569" s="34"/>
    </row>
    <row r="570" customHeight="1" spans="2:3">
      <c r="B570" s="34"/>
      <c r="C570" s="34"/>
    </row>
    <row r="571" customHeight="1" spans="2:3">
      <c r="B571" s="34"/>
      <c r="C571" s="34"/>
    </row>
    <row r="572" customHeight="1" spans="2:3">
      <c r="B572" s="34"/>
      <c r="C572" s="34"/>
    </row>
    <row r="573" customHeight="1" spans="2:3">
      <c r="B573" s="34"/>
      <c r="C573" s="34"/>
    </row>
    <row r="574" customHeight="1" spans="2:3">
      <c r="B574" s="34"/>
      <c r="C574" s="34"/>
    </row>
    <row r="575" customHeight="1" spans="2:3">
      <c r="B575" s="34"/>
      <c r="C575" s="34"/>
    </row>
    <row r="576" customHeight="1" spans="2:3">
      <c r="B576" s="34"/>
      <c r="C576" s="34"/>
    </row>
    <row r="577" customHeight="1" spans="2:3">
      <c r="B577" s="34"/>
      <c r="C577" s="34"/>
    </row>
    <row r="578" customHeight="1" spans="2:3">
      <c r="B578" s="34"/>
      <c r="C578" s="34"/>
    </row>
    <row r="579" customHeight="1" spans="2:3">
      <c r="B579" s="34"/>
      <c r="C579" s="34"/>
    </row>
    <row r="580" customHeight="1" spans="2:3">
      <c r="B580" s="34"/>
      <c r="C580" s="34"/>
    </row>
    <row r="581" customHeight="1" spans="2:3">
      <c r="B581" s="34"/>
      <c r="C581" s="34"/>
    </row>
    <row r="582" customHeight="1" spans="2:3">
      <c r="B582" s="34"/>
      <c r="C582" s="34"/>
    </row>
    <row r="583" customHeight="1" spans="2:3">
      <c r="B583" s="34"/>
      <c r="C583" s="34"/>
    </row>
    <row r="584" customHeight="1" spans="2:3">
      <c r="B584" s="34"/>
      <c r="C584" s="34"/>
    </row>
    <row r="585" customHeight="1" spans="2:3">
      <c r="B585" s="34"/>
      <c r="C585" s="34"/>
    </row>
    <row r="586" customHeight="1" spans="2:3">
      <c r="B586" s="34"/>
      <c r="C586" s="34"/>
    </row>
    <row r="587" customHeight="1" spans="2:3">
      <c r="B587" s="34"/>
      <c r="C587" s="34"/>
    </row>
    <row r="588" customHeight="1" spans="2:3">
      <c r="B588" s="34"/>
      <c r="C588" s="34"/>
    </row>
    <row r="589" customHeight="1" spans="2:3">
      <c r="B589" s="34"/>
      <c r="C589" s="34"/>
    </row>
    <row r="590" customHeight="1" spans="2:3">
      <c r="B590" s="34"/>
      <c r="C590" s="34"/>
    </row>
    <row r="591" customHeight="1" spans="2:3">
      <c r="B591" s="34"/>
      <c r="C591" s="34"/>
    </row>
    <row r="592" customHeight="1" spans="2:3">
      <c r="B592" s="34"/>
      <c r="C592" s="34"/>
    </row>
    <row r="593" customHeight="1" spans="2:3">
      <c r="B593" s="34"/>
      <c r="C593" s="34"/>
    </row>
    <row r="594" customHeight="1" spans="2:3">
      <c r="B594" s="34"/>
      <c r="C594" s="34"/>
    </row>
    <row r="595" customHeight="1" spans="2:3">
      <c r="B595" s="34"/>
      <c r="C595" s="34"/>
    </row>
    <row r="596" customHeight="1" spans="2:3">
      <c r="B596" s="34"/>
      <c r="C596" s="34"/>
    </row>
    <row r="597" customHeight="1" spans="2:3">
      <c r="B597" s="34"/>
      <c r="C597" s="34"/>
    </row>
    <row r="598" customHeight="1" spans="2:3">
      <c r="B598" s="34"/>
      <c r="C598" s="34"/>
    </row>
    <row r="599" customHeight="1" spans="2:3">
      <c r="B599" s="34"/>
      <c r="C599" s="34"/>
    </row>
    <row r="600" customHeight="1" spans="2:3">
      <c r="B600" s="34"/>
      <c r="C600" s="34"/>
    </row>
    <row r="601" customHeight="1" spans="2:3">
      <c r="B601" s="34"/>
      <c r="C601" s="34"/>
    </row>
    <row r="602" customHeight="1" spans="2:3">
      <c r="B602" s="34"/>
      <c r="C602" s="34"/>
    </row>
    <row r="603" customHeight="1" spans="2:3">
      <c r="B603" s="34"/>
      <c r="C603" s="34"/>
    </row>
    <row r="604" customHeight="1" spans="2:3">
      <c r="B604" s="34"/>
      <c r="C604" s="34"/>
    </row>
    <row r="605" customHeight="1" spans="2:3">
      <c r="B605" s="34"/>
      <c r="C605" s="34"/>
    </row>
    <row r="606" customHeight="1" spans="2:3">
      <c r="B606" s="34"/>
      <c r="C606" s="34"/>
    </row>
    <row r="607" customHeight="1" spans="2:3">
      <c r="B607" s="34"/>
      <c r="C607" s="34"/>
    </row>
    <row r="608" customHeight="1" spans="2:3">
      <c r="B608" s="34"/>
      <c r="C608" s="34"/>
    </row>
    <row r="609" customHeight="1" spans="2:3">
      <c r="B609" s="34"/>
      <c r="C609" s="34"/>
    </row>
    <row r="610" customHeight="1" spans="2:3">
      <c r="B610" s="34"/>
      <c r="C610" s="34"/>
    </row>
    <row r="611" customHeight="1" spans="2:3">
      <c r="B611" s="34"/>
      <c r="C611" s="34"/>
    </row>
    <row r="612" customHeight="1" spans="2:3">
      <c r="B612" s="34"/>
      <c r="C612" s="34"/>
    </row>
    <row r="613" customHeight="1" spans="2:3">
      <c r="B613" s="34"/>
      <c r="C613" s="34"/>
    </row>
    <row r="614" customHeight="1" spans="2:3">
      <c r="B614" s="34"/>
      <c r="C614" s="34"/>
    </row>
    <row r="615" customHeight="1" spans="2:3">
      <c r="B615" s="34"/>
      <c r="C615" s="34"/>
    </row>
    <row r="616" customHeight="1" spans="2:3">
      <c r="B616" s="34"/>
      <c r="C616" s="34"/>
    </row>
    <row r="617" customHeight="1" spans="2:3">
      <c r="B617" s="34"/>
      <c r="C617" s="34"/>
    </row>
    <row r="618" customHeight="1" spans="2:3">
      <c r="B618" s="34"/>
      <c r="C618" s="34"/>
    </row>
    <row r="619" customHeight="1" spans="2:3">
      <c r="B619" s="34"/>
      <c r="C619" s="34"/>
    </row>
    <row r="620" customHeight="1" spans="2:3">
      <c r="B620" s="34"/>
      <c r="C620" s="34"/>
    </row>
    <row r="621" customHeight="1" spans="2:3">
      <c r="B621" s="34"/>
      <c r="C621" s="34"/>
    </row>
    <row r="622" customHeight="1" spans="2:3">
      <c r="B622" s="34"/>
      <c r="C622" s="34"/>
    </row>
    <row r="623" customHeight="1" spans="2:3">
      <c r="B623" s="34"/>
      <c r="C623" s="34"/>
    </row>
    <row r="624" customHeight="1" spans="2:3">
      <c r="B624" s="34"/>
      <c r="C624" s="34"/>
    </row>
    <row r="625" customHeight="1" spans="2:3">
      <c r="B625" s="34"/>
      <c r="C625" s="34"/>
    </row>
    <row r="626" customHeight="1" spans="2:3">
      <c r="B626" s="34"/>
      <c r="C626" s="34"/>
    </row>
    <row r="627" customHeight="1" spans="2:3">
      <c r="B627" s="34"/>
      <c r="C627" s="34"/>
    </row>
    <row r="628" customHeight="1" spans="2:3">
      <c r="B628" s="34"/>
      <c r="C628" s="34"/>
    </row>
    <row r="629" customHeight="1" spans="2:3">
      <c r="B629" s="34"/>
      <c r="C629" s="34"/>
    </row>
    <row r="630" customHeight="1" spans="2:3">
      <c r="B630" s="34"/>
      <c r="C630" s="34"/>
    </row>
    <row r="631" customHeight="1" spans="2:3">
      <c r="B631" s="34"/>
      <c r="C631" s="34"/>
    </row>
    <row r="632" customHeight="1" spans="2:3">
      <c r="B632" s="34"/>
      <c r="C632" s="34"/>
    </row>
    <row r="633" customHeight="1" spans="2:3">
      <c r="B633" s="34"/>
      <c r="C633" s="34"/>
    </row>
    <row r="634" customHeight="1" spans="2:3">
      <c r="B634" s="34"/>
      <c r="C634" s="34"/>
    </row>
    <row r="635" customHeight="1" spans="2:3">
      <c r="B635" s="34"/>
      <c r="C635" s="34"/>
    </row>
    <row r="636" customHeight="1" spans="2:3">
      <c r="B636" s="34"/>
      <c r="C636" s="34"/>
    </row>
    <row r="637" customHeight="1" spans="2:3">
      <c r="B637" s="34"/>
      <c r="C637" s="34"/>
    </row>
    <row r="638" customHeight="1" spans="2:3">
      <c r="B638" s="34"/>
      <c r="C638" s="34"/>
    </row>
    <row r="639" customHeight="1" spans="2:3">
      <c r="B639" s="34"/>
      <c r="C639" s="34"/>
    </row>
    <row r="640" customHeight="1" spans="2:3">
      <c r="B640" s="34"/>
      <c r="C640" s="34"/>
    </row>
    <row r="641" customHeight="1" spans="2:3">
      <c r="B641" s="34"/>
      <c r="C641" s="34"/>
    </row>
    <row r="642" customHeight="1" spans="2:3">
      <c r="B642" s="34"/>
      <c r="C642" s="34"/>
    </row>
    <row r="643" customHeight="1" spans="2:3">
      <c r="B643" s="34"/>
      <c r="C643" s="34"/>
    </row>
    <row r="644" customHeight="1" spans="2:3">
      <c r="B644" s="34"/>
      <c r="C644" s="34"/>
    </row>
    <row r="645" customHeight="1" spans="2:3">
      <c r="B645" s="34"/>
      <c r="C645" s="34"/>
    </row>
    <row r="646" customHeight="1" spans="2:3">
      <c r="B646" s="34"/>
      <c r="C646" s="34"/>
    </row>
    <row r="647" customHeight="1" spans="2:3">
      <c r="B647" s="34"/>
      <c r="C647" s="34"/>
    </row>
    <row r="648" customHeight="1" spans="2:3">
      <c r="B648" s="34"/>
      <c r="C648" s="34"/>
    </row>
    <row r="649" customHeight="1" spans="2:3">
      <c r="B649" s="34"/>
      <c r="C649" s="34"/>
    </row>
    <row r="650" customHeight="1" spans="2:3">
      <c r="B650" s="34"/>
      <c r="C650" s="34"/>
    </row>
    <row r="651" customHeight="1" spans="2:3">
      <c r="B651" s="34"/>
      <c r="C651" s="34"/>
    </row>
    <row r="652" customHeight="1" spans="2:3">
      <c r="B652" s="34"/>
      <c r="C652" s="34"/>
    </row>
    <row r="653" customHeight="1" spans="2:3">
      <c r="B653" s="34"/>
      <c r="C653" s="34"/>
    </row>
    <row r="654" customHeight="1" spans="2:3">
      <c r="B654" s="34"/>
      <c r="C654" s="34"/>
    </row>
    <row r="655" customHeight="1" spans="2:3">
      <c r="B655" s="34"/>
      <c r="C655" s="34"/>
    </row>
    <row r="656" customHeight="1" spans="2:3">
      <c r="B656" s="34"/>
      <c r="C656" s="34"/>
    </row>
    <row r="657" customHeight="1" spans="2:3">
      <c r="B657" s="34"/>
      <c r="C657" s="34"/>
    </row>
    <row r="658" customHeight="1" spans="2:3">
      <c r="B658" s="34"/>
      <c r="C658" s="34"/>
    </row>
    <row r="659" customHeight="1" spans="2:3">
      <c r="B659" s="34"/>
      <c r="C659" s="34"/>
    </row>
    <row r="660" customHeight="1" spans="2:3">
      <c r="B660" s="34"/>
      <c r="C660" s="34"/>
    </row>
    <row r="661" customHeight="1" spans="2:3">
      <c r="B661" s="34"/>
      <c r="C661" s="34"/>
    </row>
    <row r="662" customHeight="1" spans="2:3">
      <c r="B662" s="34"/>
      <c r="C662" s="34"/>
    </row>
    <row r="663" customHeight="1" spans="2:3">
      <c r="B663" s="34"/>
      <c r="C663" s="34"/>
    </row>
    <row r="664" customHeight="1" spans="2:3">
      <c r="B664" s="34"/>
      <c r="C664" s="34"/>
    </row>
    <row r="665" customHeight="1" spans="2:3">
      <c r="B665" s="34"/>
      <c r="C665" s="34"/>
    </row>
    <row r="666" customHeight="1" spans="2:3">
      <c r="B666" s="34"/>
      <c r="C666" s="34"/>
    </row>
    <row r="667" customHeight="1" spans="2:3">
      <c r="B667" s="34"/>
      <c r="C667" s="34"/>
    </row>
    <row r="668" customHeight="1" spans="2:3">
      <c r="B668" s="34"/>
      <c r="C668" s="34"/>
    </row>
    <row r="669" customHeight="1" spans="2:3">
      <c r="B669" s="34"/>
      <c r="C669" s="34"/>
    </row>
    <row r="670" customHeight="1" spans="2:3">
      <c r="B670" s="34"/>
      <c r="C670" s="34"/>
    </row>
    <row r="671" customHeight="1" spans="2:3">
      <c r="B671" s="34"/>
      <c r="C671" s="34"/>
    </row>
    <row r="672" customHeight="1" spans="2:3">
      <c r="B672" s="34"/>
      <c r="C672" s="34"/>
    </row>
    <row r="673" customHeight="1" spans="2:3">
      <c r="B673" s="34"/>
      <c r="C673" s="34"/>
    </row>
    <row r="674" customHeight="1" spans="2:3">
      <c r="B674" s="34"/>
      <c r="C674" s="34"/>
    </row>
    <row r="675" customHeight="1" spans="2:3">
      <c r="B675" s="34"/>
      <c r="C675" s="34"/>
    </row>
    <row r="676" customHeight="1" spans="2:3">
      <c r="B676" s="34"/>
      <c r="C676" s="34"/>
    </row>
    <row r="677" customHeight="1" spans="2:3">
      <c r="B677" s="34"/>
      <c r="C677" s="34"/>
    </row>
    <row r="678" customHeight="1" spans="2:3">
      <c r="B678" s="34"/>
      <c r="C678" s="34"/>
    </row>
    <row r="679" customHeight="1" spans="2:3">
      <c r="B679" s="34"/>
      <c r="C679" s="34"/>
    </row>
    <row r="680" customHeight="1" spans="2:3">
      <c r="B680" s="34"/>
      <c r="C680" s="34"/>
    </row>
    <row r="681" customHeight="1" spans="2:3">
      <c r="B681" s="34"/>
      <c r="C681" s="34"/>
    </row>
    <row r="682" customHeight="1" spans="2:3">
      <c r="B682" s="34"/>
      <c r="C682" s="34"/>
    </row>
    <row r="683" customHeight="1" spans="2:3">
      <c r="B683" s="34"/>
      <c r="C683" s="34"/>
    </row>
    <row r="684" customHeight="1" spans="2:3">
      <c r="B684" s="34"/>
      <c r="C684" s="34"/>
    </row>
    <row r="685" customHeight="1" spans="2:3">
      <c r="B685" s="34"/>
      <c r="C685" s="34"/>
    </row>
    <row r="686" customHeight="1" spans="2:3">
      <c r="B686" s="34"/>
      <c r="C686" s="34"/>
    </row>
    <row r="687" customHeight="1" spans="2:3">
      <c r="B687" s="34"/>
      <c r="C687" s="34"/>
    </row>
    <row r="688" customHeight="1" spans="2:3">
      <c r="B688" s="34"/>
      <c r="C688" s="34"/>
    </row>
    <row r="689" customHeight="1" spans="2:3">
      <c r="B689" s="34"/>
      <c r="C689" s="34"/>
    </row>
    <row r="690" customHeight="1" spans="2:3">
      <c r="B690" s="34"/>
      <c r="C690" s="34"/>
    </row>
    <row r="691" customHeight="1" spans="2:3">
      <c r="B691" s="34"/>
      <c r="C691" s="34"/>
    </row>
    <row r="692" customHeight="1" spans="2:3">
      <c r="B692" s="34"/>
      <c r="C692" s="34"/>
    </row>
    <row r="693" customHeight="1" spans="2:3">
      <c r="B693" s="34"/>
      <c r="C693" s="34"/>
    </row>
    <row r="694" customHeight="1" spans="2:3">
      <c r="B694" s="34"/>
      <c r="C694" s="34"/>
    </row>
    <row r="695" customHeight="1" spans="2:3">
      <c r="B695" s="34"/>
      <c r="C695" s="34"/>
    </row>
    <row r="696" customHeight="1" spans="2:3">
      <c r="B696" s="34"/>
      <c r="C696" s="34"/>
    </row>
    <row r="697" customHeight="1" spans="2:3">
      <c r="B697" s="34"/>
      <c r="C697" s="34"/>
    </row>
    <row r="698" customHeight="1" spans="2:3">
      <c r="B698" s="34"/>
      <c r="C698" s="34"/>
    </row>
    <row r="699" customHeight="1" spans="2:3">
      <c r="B699" s="34"/>
      <c r="C699" s="34"/>
    </row>
    <row r="700" customHeight="1" spans="2:3">
      <c r="B700" s="34"/>
      <c r="C700" s="34"/>
    </row>
    <row r="701" customHeight="1" spans="2:3">
      <c r="B701" s="34"/>
      <c r="C701" s="34"/>
    </row>
    <row r="702" customHeight="1" spans="2:3">
      <c r="B702" s="34"/>
      <c r="C702" s="34"/>
    </row>
    <row r="703" customHeight="1" spans="2:3">
      <c r="B703" s="34"/>
      <c r="C703" s="34"/>
    </row>
    <row r="704" customHeight="1" spans="2:3">
      <c r="B704" s="34"/>
      <c r="C704" s="34"/>
    </row>
    <row r="705" customHeight="1" spans="2:3">
      <c r="B705" s="34"/>
      <c r="C705" s="34"/>
    </row>
    <row r="706" customHeight="1" spans="2:3">
      <c r="B706" s="34"/>
      <c r="C706" s="34"/>
    </row>
    <row r="707" customHeight="1" spans="2:3">
      <c r="B707" s="34"/>
      <c r="C707" s="34"/>
    </row>
    <row r="708" customHeight="1" spans="2:3">
      <c r="B708" s="34"/>
      <c r="C708" s="34"/>
    </row>
    <row r="709" customHeight="1" spans="2:3">
      <c r="B709" s="34"/>
      <c r="C709" s="34"/>
    </row>
    <row r="710" customHeight="1" spans="2:3">
      <c r="B710" s="34"/>
      <c r="C710" s="34"/>
    </row>
    <row r="711" customHeight="1" spans="2:3">
      <c r="B711" s="34"/>
      <c r="C711" s="34"/>
    </row>
    <row r="712" customHeight="1" spans="2:3">
      <c r="B712" s="34"/>
      <c r="C712" s="34"/>
    </row>
    <row r="713" customHeight="1" spans="2:3">
      <c r="B713" s="34"/>
      <c r="C713" s="34"/>
    </row>
    <row r="714" customHeight="1" spans="2:3">
      <c r="B714" s="34"/>
      <c r="C714" s="34"/>
    </row>
    <row r="715" customHeight="1" spans="2:3">
      <c r="B715" s="34"/>
      <c r="C715" s="34"/>
    </row>
    <row r="716" customHeight="1" spans="2:3">
      <c r="B716" s="34"/>
      <c r="C716" s="34"/>
    </row>
    <row r="717" customHeight="1" spans="2:3">
      <c r="B717" s="34"/>
      <c r="C717" s="34"/>
    </row>
    <row r="718" customHeight="1" spans="2:3">
      <c r="B718" s="34"/>
      <c r="C718" s="34"/>
    </row>
    <row r="719" customHeight="1" spans="2:3">
      <c r="B719" s="34"/>
      <c r="C719" s="34"/>
    </row>
    <row r="720" customHeight="1" spans="2:3">
      <c r="B720" s="34"/>
      <c r="C720" s="34"/>
    </row>
    <row r="721" customHeight="1" spans="2:3">
      <c r="B721" s="34"/>
      <c r="C721" s="34"/>
    </row>
    <row r="722" customHeight="1" spans="2:3">
      <c r="B722" s="34"/>
      <c r="C722" s="34"/>
    </row>
    <row r="723" customHeight="1" spans="2:3">
      <c r="B723" s="34"/>
      <c r="C723" s="34"/>
    </row>
    <row r="724" customHeight="1" spans="2:3">
      <c r="B724" s="34"/>
      <c r="C724" s="34"/>
    </row>
    <row r="725" customHeight="1" spans="2:3">
      <c r="B725" s="34"/>
      <c r="C725" s="34"/>
    </row>
    <row r="726" customHeight="1" spans="2:3">
      <c r="B726" s="34"/>
      <c r="C726" s="34"/>
    </row>
    <row r="727" customHeight="1" spans="2:3">
      <c r="B727" s="34"/>
      <c r="C727" s="34"/>
    </row>
    <row r="728" customHeight="1" spans="2:3">
      <c r="B728" s="34"/>
      <c r="C728" s="34"/>
    </row>
    <row r="729" customHeight="1" spans="2:3">
      <c r="B729" s="34"/>
      <c r="C729" s="34"/>
    </row>
    <row r="730" customHeight="1" spans="2:3">
      <c r="B730" s="34"/>
      <c r="C730" s="34"/>
    </row>
    <row r="731" customHeight="1" spans="2:3">
      <c r="B731" s="34"/>
      <c r="C731" s="34"/>
    </row>
    <row r="732" customHeight="1" spans="2:3">
      <c r="B732" s="34"/>
      <c r="C732" s="34"/>
    </row>
    <row r="733" customHeight="1" spans="2:3">
      <c r="B733" s="34"/>
      <c r="C733" s="34"/>
    </row>
    <row r="734" customHeight="1" spans="2:3">
      <c r="B734" s="34"/>
      <c r="C734" s="34"/>
    </row>
    <row r="735" customHeight="1" spans="2:3">
      <c r="B735" s="34"/>
      <c r="C735" s="34"/>
    </row>
    <row r="736" customHeight="1" spans="2:3">
      <c r="B736" s="34"/>
      <c r="C736" s="34"/>
    </row>
    <row r="737" customHeight="1" spans="2:3">
      <c r="B737" s="34"/>
      <c r="C737" s="34"/>
    </row>
    <row r="738" customHeight="1" spans="2:3">
      <c r="B738" s="34"/>
      <c r="C738" s="34"/>
    </row>
    <row r="739" customHeight="1" spans="2:3">
      <c r="B739" s="34"/>
      <c r="C739" s="34"/>
    </row>
    <row r="740" customHeight="1" spans="2:3">
      <c r="B740" s="34"/>
      <c r="C740" s="34"/>
    </row>
    <row r="741" customHeight="1" spans="2:3">
      <c r="B741" s="34"/>
      <c r="C741" s="34"/>
    </row>
    <row r="742" customHeight="1" spans="2:3">
      <c r="B742" s="34"/>
      <c r="C742" s="34"/>
    </row>
    <row r="743" customHeight="1" spans="2:3">
      <c r="B743" s="34"/>
      <c r="C743" s="34"/>
    </row>
    <row r="744" customHeight="1" spans="2:3">
      <c r="B744" s="34"/>
      <c r="C744" s="34"/>
    </row>
    <row r="745" customHeight="1" spans="2:3">
      <c r="B745" s="34"/>
      <c r="C745" s="34"/>
    </row>
    <row r="746" customHeight="1" spans="2:3">
      <c r="B746" s="34"/>
      <c r="C746" s="34"/>
    </row>
    <row r="747" customHeight="1" spans="2:3">
      <c r="B747" s="34"/>
      <c r="C747" s="34"/>
    </row>
    <row r="748" customHeight="1" spans="2:3">
      <c r="B748" s="34"/>
      <c r="C748" s="34"/>
    </row>
    <row r="749" customHeight="1" spans="2:3">
      <c r="B749" s="34"/>
      <c r="C749" s="34"/>
    </row>
    <row r="750" customHeight="1" spans="2:3">
      <c r="B750" s="34"/>
      <c r="C750" s="34"/>
    </row>
    <row r="751" customHeight="1" spans="2:3">
      <c r="B751" s="34"/>
      <c r="C751" s="34"/>
    </row>
    <row r="752" customHeight="1" spans="2:3">
      <c r="B752" s="34"/>
      <c r="C752" s="34"/>
    </row>
    <row r="753" customHeight="1" spans="2:3">
      <c r="B753" s="34"/>
      <c r="C753" s="34"/>
    </row>
    <row r="754" customHeight="1" spans="2:3">
      <c r="B754" s="34"/>
      <c r="C754" s="34"/>
    </row>
    <row r="755" customHeight="1" spans="2:3">
      <c r="B755" s="34"/>
      <c r="C755" s="34"/>
    </row>
    <row r="756" customHeight="1" spans="2:3">
      <c r="B756" s="34"/>
      <c r="C756" s="34"/>
    </row>
    <row r="757" customHeight="1" spans="2:3">
      <c r="B757" s="34"/>
      <c r="C757" s="34"/>
    </row>
    <row r="758" customHeight="1" spans="2:3">
      <c r="B758" s="34"/>
      <c r="C758" s="34"/>
    </row>
    <row r="759" customHeight="1" spans="2:3">
      <c r="B759" s="34"/>
      <c r="C759" s="34"/>
    </row>
    <row r="760" customHeight="1" spans="2:3">
      <c r="B760" s="34"/>
      <c r="C760" s="34"/>
    </row>
    <row r="761" customHeight="1" spans="2:3">
      <c r="B761" s="34"/>
      <c r="C761" s="34"/>
    </row>
    <row r="762" customHeight="1" spans="2:3">
      <c r="B762" s="34"/>
      <c r="C762" s="34"/>
    </row>
    <row r="763" customHeight="1" spans="2:3">
      <c r="B763" s="34"/>
      <c r="C763" s="34"/>
    </row>
    <row r="764" customHeight="1" spans="2:3">
      <c r="B764" s="34"/>
      <c r="C764" s="34"/>
    </row>
    <row r="765" customHeight="1" spans="2:3">
      <c r="B765" s="34"/>
      <c r="C765" s="34"/>
    </row>
    <row r="766" customHeight="1" spans="2:3">
      <c r="B766" s="34"/>
      <c r="C766" s="34"/>
    </row>
    <row r="767" customHeight="1" spans="2:3">
      <c r="B767" s="34"/>
      <c r="C767" s="34"/>
    </row>
    <row r="768" customHeight="1" spans="2:3">
      <c r="B768" s="34"/>
      <c r="C768" s="34"/>
    </row>
    <row r="769" customHeight="1" spans="2:3">
      <c r="B769" s="34"/>
      <c r="C769" s="34"/>
    </row>
    <row r="770" customHeight="1" spans="2:3">
      <c r="B770" s="34"/>
      <c r="C770" s="34"/>
    </row>
    <row r="771" customHeight="1" spans="2:3">
      <c r="B771" s="34"/>
      <c r="C771" s="34"/>
    </row>
    <row r="772" customHeight="1" spans="2:3">
      <c r="B772" s="34"/>
      <c r="C772" s="34"/>
    </row>
    <row r="773" customHeight="1" spans="2:3">
      <c r="B773" s="34"/>
      <c r="C773" s="34"/>
    </row>
    <row r="774" customHeight="1" spans="2:3">
      <c r="B774" s="34"/>
      <c r="C774" s="34"/>
    </row>
    <row r="775" customHeight="1" spans="2:3">
      <c r="B775" s="34"/>
      <c r="C775" s="34"/>
    </row>
    <row r="776" customHeight="1" spans="2:3">
      <c r="B776" s="34"/>
      <c r="C776" s="34"/>
    </row>
    <row r="777" customHeight="1" spans="2:3">
      <c r="B777" s="34"/>
      <c r="C777" s="34"/>
    </row>
    <row r="778" customHeight="1" spans="2:3">
      <c r="B778" s="34"/>
      <c r="C778" s="34"/>
    </row>
    <row r="779" customHeight="1" spans="2:3">
      <c r="B779" s="34"/>
      <c r="C779" s="34"/>
    </row>
    <row r="780" customHeight="1" spans="2:3">
      <c r="B780" s="34"/>
      <c r="C780" s="34"/>
    </row>
    <row r="781" customHeight="1" spans="2:3">
      <c r="B781" s="34"/>
      <c r="C781" s="34"/>
    </row>
    <row r="782" customHeight="1" spans="2:3">
      <c r="B782" s="34"/>
      <c r="C782" s="34"/>
    </row>
    <row r="783" customHeight="1" spans="2:3">
      <c r="B783" s="34"/>
      <c r="C783" s="34"/>
    </row>
    <row r="784" customHeight="1" spans="2:3">
      <c r="B784" s="34"/>
      <c r="C784" s="34"/>
    </row>
    <row r="785" customHeight="1" spans="2:3">
      <c r="B785" s="34"/>
      <c r="C785" s="34"/>
    </row>
    <row r="786" customHeight="1" spans="2:3">
      <c r="B786" s="34"/>
      <c r="C786" s="34"/>
    </row>
    <row r="787" customHeight="1" spans="2:3">
      <c r="B787" s="34"/>
      <c r="C787" s="34"/>
    </row>
    <row r="788" customHeight="1" spans="2:3">
      <c r="B788" s="34"/>
      <c r="C788" s="34"/>
    </row>
    <row r="789" customHeight="1" spans="2:3">
      <c r="B789" s="34"/>
      <c r="C789" s="34"/>
    </row>
    <row r="790" customHeight="1" spans="2:3">
      <c r="B790" s="34"/>
      <c r="C790" s="34"/>
    </row>
    <row r="791" customHeight="1" spans="2:3">
      <c r="B791" s="34"/>
      <c r="C791" s="34"/>
    </row>
    <row r="792" customHeight="1" spans="2:3">
      <c r="B792" s="34"/>
      <c r="C792" s="34"/>
    </row>
    <row r="793" customHeight="1" spans="2:3">
      <c r="B793" s="34"/>
      <c r="C793" s="34"/>
    </row>
    <row r="794" customHeight="1" spans="2:3">
      <c r="B794" s="34"/>
      <c r="C794" s="34"/>
    </row>
    <row r="795" customHeight="1" spans="2:3">
      <c r="B795" s="34"/>
      <c r="C795" s="34"/>
    </row>
    <row r="796" customHeight="1" spans="2:3">
      <c r="B796" s="34"/>
      <c r="C796" s="34"/>
    </row>
    <row r="797" customHeight="1" spans="2:3">
      <c r="B797" s="34"/>
      <c r="C797" s="34"/>
    </row>
    <row r="798" customHeight="1" spans="2:3">
      <c r="B798" s="34"/>
      <c r="C798" s="34"/>
    </row>
    <row r="799" customHeight="1" spans="2:3">
      <c r="B799" s="34"/>
      <c r="C799" s="34"/>
    </row>
    <row r="800" customHeight="1" spans="2:3">
      <c r="B800" s="34"/>
      <c r="C800" s="34"/>
    </row>
    <row r="801" customHeight="1" spans="2:3">
      <c r="B801" s="34"/>
      <c r="C801" s="34"/>
    </row>
    <row r="802" customHeight="1" spans="2:3">
      <c r="B802" s="34"/>
      <c r="C802" s="34"/>
    </row>
    <row r="803" customHeight="1" spans="2:3">
      <c r="B803" s="34"/>
      <c r="C803" s="34"/>
    </row>
    <row r="804" customHeight="1" spans="2:3">
      <c r="B804" s="34"/>
      <c r="C804" s="34"/>
    </row>
    <row r="805" customHeight="1" spans="2:3">
      <c r="B805" s="34"/>
      <c r="C805" s="34"/>
    </row>
    <row r="806" customHeight="1" spans="2:3">
      <c r="B806" s="34"/>
      <c r="C806" s="34"/>
    </row>
    <row r="807" customHeight="1" spans="2:3">
      <c r="B807" s="34"/>
      <c r="C807" s="34"/>
    </row>
    <row r="808" customHeight="1" spans="2:3">
      <c r="B808" s="34"/>
      <c r="C808" s="34"/>
    </row>
    <row r="809" customHeight="1" spans="2:3">
      <c r="B809" s="34"/>
      <c r="C809" s="34"/>
    </row>
    <row r="810" customHeight="1" spans="2:3">
      <c r="B810" s="34"/>
      <c r="C810" s="34"/>
    </row>
    <row r="811" customHeight="1" spans="2:3">
      <c r="B811" s="34"/>
      <c r="C811" s="34"/>
    </row>
    <row r="812" customHeight="1" spans="2:3">
      <c r="B812" s="34"/>
      <c r="C812" s="34"/>
    </row>
    <row r="813" customHeight="1" spans="2:3">
      <c r="B813" s="34"/>
      <c r="C813" s="34"/>
    </row>
    <row r="814" customHeight="1" spans="2:3">
      <c r="B814" s="34"/>
      <c r="C814" s="34"/>
    </row>
    <row r="815" customHeight="1" spans="2:3">
      <c r="B815" s="34"/>
      <c r="C815" s="34"/>
    </row>
    <row r="816" customHeight="1" spans="2:3">
      <c r="B816" s="34"/>
      <c r="C816" s="34"/>
    </row>
    <row r="817" customHeight="1" spans="2:3">
      <c r="B817" s="34"/>
      <c r="C817" s="34"/>
    </row>
    <row r="818" customHeight="1" spans="2:3">
      <c r="B818" s="34"/>
      <c r="C818" s="34"/>
    </row>
    <row r="819" customHeight="1" spans="2:3">
      <c r="B819" s="34"/>
      <c r="C819" s="34"/>
    </row>
    <row r="820" customHeight="1" spans="2:3">
      <c r="B820" s="34"/>
      <c r="C820" s="34"/>
    </row>
    <row r="821" customHeight="1" spans="2:3">
      <c r="B821" s="34"/>
      <c r="C821" s="34"/>
    </row>
    <row r="822" customHeight="1" spans="2:3">
      <c r="B822" s="34"/>
      <c r="C822" s="34"/>
    </row>
    <row r="823" customHeight="1" spans="2:3">
      <c r="B823" s="34"/>
      <c r="C823" s="34"/>
    </row>
    <row r="824" customHeight="1" spans="2:3">
      <c r="B824" s="34"/>
      <c r="C824" s="34"/>
    </row>
    <row r="825" customHeight="1" spans="2:3">
      <c r="B825" s="34"/>
      <c r="C825" s="34"/>
    </row>
    <row r="826" customHeight="1" spans="2:3">
      <c r="B826" s="34"/>
      <c r="C826" s="34"/>
    </row>
    <row r="827" customHeight="1" spans="2:3">
      <c r="B827" s="34"/>
      <c r="C827" s="34"/>
    </row>
    <row r="828" customHeight="1" spans="2:3">
      <c r="B828" s="34"/>
      <c r="C828" s="34"/>
    </row>
    <row r="829" customHeight="1" spans="2:3">
      <c r="B829" s="34"/>
      <c r="C829" s="34"/>
    </row>
    <row r="830" customHeight="1" spans="2:3">
      <c r="B830" s="34"/>
      <c r="C830" s="34"/>
    </row>
    <row r="831" customHeight="1" spans="2:3">
      <c r="B831" s="34"/>
      <c r="C831" s="34"/>
    </row>
    <row r="832" customHeight="1" spans="2:3">
      <c r="B832" s="34"/>
      <c r="C832" s="34"/>
    </row>
    <row r="833" customHeight="1" spans="2:3">
      <c r="B833" s="34"/>
      <c r="C833" s="34"/>
    </row>
    <row r="834" customHeight="1" spans="2:3">
      <c r="B834" s="34"/>
      <c r="C834" s="34"/>
    </row>
    <row r="835" customHeight="1" spans="2:3">
      <c r="B835" s="34"/>
      <c r="C835" s="34"/>
    </row>
    <row r="836" customHeight="1" spans="2:3">
      <c r="B836" s="34"/>
      <c r="C836" s="34"/>
    </row>
    <row r="837" customHeight="1" spans="2:3">
      <c r="B837" s="34"/>
      <c r="C837" s="34"/>
    </row>
    <row r="838" customHeight="1" spans="2:3">
      <c r="B838" s="34"/>
      <c r="C838" s="34"/>
    </row>
    <row r="839" customHeight="1" spans="2:3">
      <c r="B839" s="34"/>
      <c r="C839" s="34"/>
    </row>
    <row r="840" customHeight="1" spans="2:3">
      <c r="B840" s="34"/>
      <c r="C840" s="34"/>
    </row>
    <row r="841" customHeight="1" spans="2:3">
      <c r="B841" s="34"/>
      <c r="C841" s="34"/>
    </row>
    <row r="842" customHeight="1" spans="2:3">
      <c r="B842" s="34"/>
      <c r="C842" s="34"/>
    </row>
    <row r="843" customHeight="1" spans="2:3">
      <c r="B843" s="34"/>
      <c r="C843" s="34"/>
    </row>
    <row r="844" customHeight="1" spans="2:3">
      <c r="B844" s="34"/>
      <c r="C844" s="34"/>
    </row>
    <row r="845" customHeight="1" spans="2:3">
      <c r="B845" s="34"/>
      <c r="C845" s="34"/>
    </row>
    <row r="846" customHeight="1" spans="2:3">
      <c r="B846" s="34"/>
      <c r="C846" s="34"/>
    </row>
    <row r="847" customHeight="1" spans="2:3">
      <c r="B847" s="34"/>
      <c r="C847" s="34"/>
    </row>
    <row r="848" customHeight="1" spans="2:3">
      <c r="B848" s="34"/>
      <c r="C848" s="34"/>
    </row>
    <row r="849" customHeight="1" spans="2:3">
      <c r="B849" s="34"/>
      <c r="C849" s="34"/>
    </row>
    <row r="850" customHeight="1" spans="2:3">
      <c r="B850" s="34"/>
      <c r="C850" s="34"/>
    </row>
    <row r="851" customHeight="1" spans="2:3">
      <c r="B851" s="34"/>
      <c r="C851" s="34"/>
    </row>
    <row r="852" customHeight="1" spans="2:3">
      <c r="B852" s="34"/>
      <c r="C852" s="34"/>
    </row>
    <row r="853" customHeight="1" spans="2:3">
      <c r="B853" s="34"/>
      <c r="C853" s="34"/>
    </row>
    <row r="854" customHeight="1" spans="2:3">
      <c r="B854" s="34"/>
      <c r="C854" s="34"/>
    </row>
    <row r="855" customHeight="1" spans="2:3">
      <c r="B855" s="34"/>
      <c r="C855" s="34"/>
    </row>
    <row r="856" customHeight="1" spans="2:3">
      <c r="B856" s="34"/>
      <c r="C856" s="34"/>
    </row>
    <row r="857" customHeight="1" spans="2:3">
      <c r="B857" s="34"/>
      <c r="C857" s="34"/>
    </row>
    <row r="858" customHeight="1" spans="2:3">
      <c r="B858" s="34"/>
      <c r="C858" s="34"/>
    </row>
    <row r="859" customHeight="1" spans="2:3">
      <c r="B859" s="34"/>
      <c r="C859" s="34"/>
    </row>
    <row r="860" customHeight="1" spans="2:3">
      <c r="B860" s="34"/>
      <c r="C860" s="34"/>
    </row>
    <row r="861" customHeight="1" spans="2:3">
      <c r="B861" s="34"/>
      <c r="C861" s="34"/>
    </row>
    <row r="862" customHeight="1" spans="2:3">
      <c r="B862" s="34"/>
      <c r="C862" s="34"/>
    </row>
    <row r="863" customHeight="1" spans="2:3">
      <c r="B863" s="34"/>
      <c r="C863" s="34"/>
    </row>
    <row r="864" customHeight="1" spans="2:3">
      <c r="B864" s="34"/>
      <c r="C864" s="34"/>
    </row>
    <row r="865" customHeight="1" spans="2:3">
      <c r="B865" s="34"/>
      <c r="C865" s="34"/>
    </row>
    <row r="866" customHeight="1" spans="2:3">
      <c r="B866" s="34"/>
      <c r="C866" s="34"/>
    </row>
    <row r="867" customHeight="1" spans="2:3">
      <c r="B867" s="34"/>
      <c r="C867" s="34"/>
    </row>
    <row r="868" customHeight="1" spans="2:3">
      <c r="B868" s="34"/>
      <c r="C868" s="34"/>
    </row>
    <row r="869" customHeight="1" spans="2:3">
      <c r="B869" s="34"/>
      <c r="C869" s="34"/>
    </row>
    <row r="870" customHeight="1" spans="2:3">
      <c r="B870" s="34"/>
      <c r="C870" s="34"/>
    </row>
    <row r="871" customHeight="1" spans="2:3">
      <c r="B871" s="34"/>
      <c r="C871" s="34"/>
    </row>
    <row r="872" customHeight="1" spans="2:3">
      <c r="B872" s="34"/>
      <c r="C872" s="34"/>
    </row>
    <row r="873" customHeight="1" spans="2:3">
      <c r="B873" s="34"/>
      <c r="C873" s="34"/>
    </row>
    <row r="874" customHeight="1" spans="2:3">
      <c r="B874" s="34"/>
      <c r="C874" s="34"/>
    </row>
    <row r="875" customHeight="1" spans="2:3">
      <c r="B875" s="34"/>
      <c r="C875" s="34"/>
    </row>
    <row r="876" customHeight="1" spans="2:3">
      <c r="B876" s="34"/>
      <c r="C876" s="34"/>
    </row>
    <row r="877" customHeight="1" spans="2:3">
      <c r="B877" s="34"/>
      <c r="C877" s="34"/>
    </row>
    <row r="878" customHeight="1" spans="2:3">
      <c r="B878" s="34"/>
      <c r="C878" s="34"/>
    </row>
    <row r="879" customHeight="1" spans="2:3">
      <c r="B879" s="34"/>
      <c r="C879" s="34"/>
    </row>
    <row r="880" customHeight="1" spans="2:3">
      <c r="B880" s="34"/>
      <c r="C880" s="34"/>
    </row>
    <row r="881" customHeight="1" spans="2:3">
      <c r="B881" s="34"/>
      <c r="C881" s="34"/>
    </row>
    <row r="882" customHeight="1" spans="2:3">
      <c r="B882" s="34"/>
      <c r="C882" s="34"/>
    </row>
    <row r="883" customHeight="1" spans="2:3">
      <c r="B883" s="34"/>
      <c r="C883" s="34"/>
    </row>
    <row r="884" customHeight="1" spans="2:3">
      <c r="B884" s="34"/>
      <c r="C884" s="34"/>
    </row>
    <row r="885" customHeight="1" spans="2:3">
      <c r="B885" s="34"/>
      <c r="C885" s="34"/>
    </row>
    <row r="886" customHeight="1" spans="2:3">
      <c r="B886" s="34"/>
      <c r="C886" s="34"/>
    </row>
    <row r="887" customHeight="1" spans="2:3">
      <c r="B887" s="34"/>
      <c r="C887" s="34"/>
    </row>
    <row r="888" customHeight="1" spans="2:3">
      <c r="B888" s="34"/>
      <c r="C888" s="34"/>
    </row>
    <row r="889" customHeight="1" spans="2:3">
      <c r="B889" s="34"/>
      <c r="C889" s="34"/>
    </row>
    <row r="890" customHeight="1" spans="2:3">
      <c r="B890" s="34"/>
      <c r="C890" s="34"/>
    </row>
    <row r="891" customHeight="1" spans="2:3">
      <c r="B891" s="34"/>
      <c r="C891" s="34"/>
    </row>
    <row r="892" customHeight="1" spans="2:3">
      <c r="B892" s="34"/>
      <c r="C892" s="34"/>
    </row>
    <row r="893" customHeight="1" spans="2:3">
      <c r="B893" s="34"/>
      <c r="C893" s="34"/>
    </row>
    <row r="894" customHeight="1" spans="2:3">
      <c r="B894" s="34"/>
      <c r="C894" s="34"/>
    </row>
    <row r="895" customHeight="1" spans="2:3">
      <c r="B895" s="34"/>
      <c r="C895" s="34"/>
    </row>
    <row r="896" customHeight="1" spans="2:3">
      <c r="B896" s="34"/>
      <c r="C896" s="34"/>
    </row>
    <row r="897" customHeight="1" spans="2:3">
      <c r="B897" s="34"/>
      <c r="C897" s="34"/>
    </row>
    <row r="898" customHeight="1" spans="2:3">
      <c r="B898" s="34"/>
      <c r="C898" s="34"/>
    </row>
    <row r="899" customHeight="1" spans="2:3">
      <c r="B899" s="34"/>
      <c r="C899" s="34"/>
    </row>
    <row r="900" customHeight="1" spans="2:3">
      <c r="B900" s="34"/>
      <c r="C900" s="34"/>
    </row>
    <row r="901" customHeight="1" spans="2:3">
      <c r="B901" s="34"/>
      <c r="C901" s="34"/>
    </row>
    <row r="902" customHeight="1" spans="2:3">
      <c r="B902" s="34"/>
      <c r="C902" s="34"/>
    </row>
    <row r="903" customHeight="1" spans="2:3">
      <c r="B903" s="34"/>
      <c r="C903" s="34"/>
    </row>
    <row r="904" customHeight="1" spans="2:3">
      <c r="B904" s="34"/>
      <c r="C904" s="34"/>
    </row>
    <row r="905" customHeight="1" spans="2:3">
      <c r="B905" s="34"/>
      <c r="C905" s="34"/>
    </row>
    <row r="906" customHeight="1" spans="2:3">
      <c r="B906" s="34"/>
      <c r="C906" s="34"/>
    </row>
    <row r="907" customHeight="1" spans="2:3">
      <c r="B907" s="34"/>
      <c r="C907" s="34"/>
    </row>
    <row r="908" customHeight="1" spans="2:3">
      <c r="B908" s="34"/>
      <c r="C908" s="34"/>
    </row>
    <row r="909" customHeight="1" spans="2:3">
      <c r="B909" s="34"/>
      <c r="C909" s="34"/>
    </row>
    <row r="910" customHeight="1" spans="2:3">
      <c r="B910" s="34"/>
      <c r="C910" s="34"/>
    </row>
    <row r="911" customHeight="1" spans="2:3">
      <c r="B911" s="34"/>
      <c r="C911" s="34"/>
    </row>
    <row r="912" customHeight="1" spans="2:3">
      <c r="B912" s="34"/>
      <c r="C912" s="34"/>
    </row>
    <row r="913" customHeight="1" spans="2:3">
      <c r="B913" s="34"/>
      <c r="C913" s="34"/>
    </row>
    <row r="914" customHeight="1" spans="2:3">
      <c r="B914" s="34"/>
      <c r="C914" s="34"/>
    </row>
    <row r="915" customHeight="1" spans="2:3">
      <c r="B915" s="34"/>
      <c r="C915" s="34"/>
    </row>
    <row r="916" customHeight="1" spans="2:3">
      <c r="B916" s="34"/>
      <c r="C916" s="34"/>
    </row>
    <row r="917" customHeight="1" spans="2:3">
      <c r="B917" s="34"/>
      <c r="C917" s="34"/>
    </row>
    <row r="918" customHeight="1" spans="2:3">
      <c r="B918" s="34"/>
      <c r="C918" s="34"/>
    </row>
    <row r="919" customHeight="1" spans="2:3">
      <c r="B919" s="34"/>
      <c r="C919" s="34"/>
    </row>
    <row r="920" customHeight="1" spans="2:3">
      <c r="B920" s="34"/>
      <c r="C920" s="34"/>
    </row>
    <row r="921" customHeight="1" spans="2:3">
      <c r="B921" s="34"/>
      <c r="C921" s="34"/>
    </row>
    <row r="922" customHeight="1" spans="2:3">
      <c r="B922" s="34"/>
      <c r="C922" s="34"/>
    </row>
    <row r="923" customHeight="1" spans="2:3">
      <c r="B923" s="34"/>
      <c r="C923" s="34"/>
    </row>
    <row r="924" customHeight="1" spans="2:3">
      <c r="B924" s="34"/>
      <c r="C924" s="34"/>
    </row>
    <row r="925" customHeight="1" spans="2:3">
      <c r="B925" s="34"/>
      <c r="C925" s="34"/>
    </row>
    <row r="926" customHeight="1" spans="2:3">
      <c r="B926" s="34"/>
      <c r="C926" s="34"/>
    </row>
    <row r="927" customHeight="1" spans="2:3">
      <c r="B927" s="34"/>
      <c r="C927" s="34"/>
    </row>
    <row r="928" customHeight="1" spans="2:3">
      <c r="B928" s="34"/>
      <c r="C928" s="34"/>
    </row>
    <row r="929" customHeight="1" spans="2:3">
      <c r="B929" s="34"/>
      <c r="C929" s="34"/>
    </row>
    <row r="930" customHeight="1" spans="2:3">
      <c r="B930" s="34"/>
      <c r="C930" s="34"/>
    </row>
    <row r="931" customHeight="1" spans="2:3">
      <c r="B931" s="34"/>
      <c r="C931" s="34"/>
    </row>
    <row r="932" customHeight="1" spans="2:3">
      <c r="B932" s="34"/>
      <c r="C932" s="34"/>
    </row>
    <row r="933" customHeight="1" spans="2:3">
      <c r="B933" s="34"/>
      <c r="C933" s="34"/>
    </row>
    <row r="934" customHeight="1" spans="2:3">
      <c r="B934" s="34"/>
      <c r="C934" s="34"/>
    </row>
    <row r="935" customHeight="1" spans="2:3">
      <c r="B935" s="34"/>
      <c r="C935" s="34"/>
    </row>
    <row r="936" customHeight="1" spans="2:3">
      <c r="B936" s="34"/>
      <c r="C936" s="34"/>
    </row>
    <row r="937" customHeight="1" spans="2:3">
      <c r="B937" s="34"/>
      <c r="C937" s="34"/>
    </row>
    <row r="938" customHeight="1" spans="2:3">
      <c r="B938" s="34"/>
      <c r="C938" s="34"/>
    </row>
    <row r="939" customHeight="1" spans="2:3">
      <c r="B939" s="34"/>
      <c r="C939" s="34"/>
    </row>
    <row r="940" customHeight="1" spans="2:3">
      <c r="B940" s="34"/>
      <c r="C940" s="34"/>
    </row>
    <row r="941" customHeight="1" spans="2:3">
      <c r="B941" s="34"/>
      <c r="C941" s="34"/>
    </row>
    <row r="942" customHeight="1" spans="2:3">
      <c r="B942" s="34"/>
      <c r="C942" s="34"/>
    </row>
    <row r="943" customHeight="1" spans="2:3">
      <c r="B943" s="34"/>
      <c r="C943" s="34"/>
    </row>
    <row r="944" customHeight="1" spans="2:3">
      <c r="B944" s="34"/>
      <c r="C944" s="34"/>
    </row>
    <row r="945" customHeight="1" spans="2:3">
      <c r="B945" s="34"/>
      <c r="C945" s="34"/>
    </row>
    <row r="946" customHeight="1" spans="2:3">
      <c r="B946" s="34"/>
      <c r="C946" s="34"/>
    </row>
    <row r="947" customHeight="1" spans="2:3">
      <c r="B947" s="34"/>
      <c r="C947" s="34"/>
    </row>
    <row r="948" customHeight="1" spans="2:3">
      <c r="B948" s="34"/>
      <c r="C948" s="34"/>
    </row>
    <row r="949" customHeight="1" spans="2:3">
      <c r="B949" s="34"/>
      <c r="C949" s="34"/>
    </row>
    <row r="950" customHeight="1" spans="2:3">
      <c r="B950" s="34"/>
      <c r="C950" s="34"/>
    </row>
    <row r="951" customHeight="1" spans="2:3">
      <c r="B951" s="34"/>
      <c r="C951" s="34"/>
    </row>
    <row r="952" customHeight="1" spans="2:3">
      <c r="B952" s="34"/>
      <c r="C952" s="34"/>
    </row>
    <row r="953" customHeight="1" spans="2:3">
      <c r="B953" s="34"/>
      <c r="C953" s="34"/>
    </row>
    <row r="954" customHeight="1" spans="2:3">
      <c r="B954" s="34"/>
      <c r="C954" s="34"/>
    </row>
    <row r="955" customHeight="1" spans="2:3">
      <c r="B955" s="34"/>
      <c r="C955" s="34"/>
    </row>
    <row r="956" customHeight="1" spans="2:3">
      <c r="B956" s="34"/>
      <c r="C956" s="34"/>
    </row>
    <row r="957" customHeight="1" spans="2:3">
      <c r="B957" s="34"/>
      <c r="C957" s="34"/>
    </row>
    <row r="958" customHeight="1" spans="2:3">
      <c r="B958" s="34"/>
      <c r="C958" s="34"/>
    </row>
    <row r="959" customHeight="1" spans="2:3">
      <c r="B959" s="34"/>
      <c r="C959" s="34"/>
    </row>
    <row r="960" customHeight="1" spans="2:3">
      <c r="B960" s="34"/>
      <c r="C960" s="34"/>
    </row>
    <row r="961" customHeight="1" spans="2:3">
      <c r="B961" s="34"/>
      <c r="C961" s="34"/>
    </row>
    <row r="962" customHeight="1" spans="2:3">
      <c r="B962" s="34"/>
      <c r="C962" s="34"/>
    </row>
    <row r="963" customHeight="1" spans="2:3">
      <c r="B963" s="34"/>
      <c r="C963" s="34"/>
    </row>
    <row r="964" customHeight="1" spans="2:3">
      <c r="B964" s="34"/>
      <c r="C964" s="34"/>
    </row>
    <row r="965" customHeight="1" spans="2:3">
      <c r="B965" s="34"/>
      <c r="C965" s="34"/>
    </row>
    <row r="966" customHeight="1" spans="2:3">
      <c r="B966" s="34"/>
      <c r="C966" s="34"/>
    </row>
    <row r="967" customHeight="1" spans="2:3">
      <c r="B967" s="34"/>
      <c r="C967" s="34"/>
    </row>
    <row r="968" customHeight="1" spans="2:3">
      <c r="B968" s="34"/>
      <c r="C968" s="34"/>
    </row>
    <row r="969" customHeight="1" spans="2:3">
      <c r="B969" s="34"/>
      <c r="C969" s="34"/>
    </row>
    <row r="970" customHeight="1" spans="2:3">
      <c r="B970" s="34"/>
      <c r="C970" s="34"/>
    </row>
    <row r="971" customHeight="1" spans="2:3">
      <c r="B971" s="34"/>
      <c r="C971" s="34"/>
    </row>
    <row r="972" customHeight="1" spans="2:3">
      <c r="B972" s="34"/>
      <c r="C972" s="34"/>
    </row>
    <row r="973" customHeight="1" spans="2:3">
      <c r="B973" s="34"/>
      <c r="C973" s="34"/>
    </row>
    <row r="974" customHeight="1" spans="2:3">
      <c r="B974" s="34"/>
      <c r="C974" s="34"/>
    </row>
    <row r="975" customHeight="1" spans="2:3">
      <c r="B975" s="34"/>
      <c r="C975" s="34"/>
    </row>
    <row r="976" customHeight="1" spans="2:3">
      <c r="B976" s="34"/>
      <c r="C976" s="34"/>
    </row>
    <row r="977" customHeight="1" spans="2:3">
      <c r="B977" s="34"/>
      <c r="C977" s="34"/>
    </row>
    <row r="978" customHeight="1" spans="2:3">
      <c r="B978" s="34"/>
      <c r="C978" s="34"/>
    </row>
    <row r="979" customHeight="1" spans="2:3">
      <c r="B979" s="34"/>
      <c r="C979" s="34"/>
    </row>
    <row r="980" customHeight="1" spans="2:3">
      <c r="B980" s="34"/>
      <c r="C980" s="34"/>
    </row>
    <row r="981" customHeight="1" spans="2:3">
      <c r="B981" s="34"/>
      <c r="C981" s="34"/>
    </row>
    <row r="982" customHeight="1" spans="2:3">
      <c r="B982" s="34"/>
      <c r="C982" s="34"/>
    </row>
    <row r="983" customHeight="1" spans="2:3">
      <c r="B983" s="34"/>
      <c r="C983" s="34"/>
    </row>
    <row r="984" customHeight="1" spans="2:3">
      <c r="B984" s="34"/>
      <c r="C984" s="34"/>
    </row>
    <row r="985" customHeight="1" spans="2:3">
      <c r="B985" s="34"/>
      <c r="C985" s="34"/>
    </row>
    <row r="986" customHeight="1" spans="2:3">
      <c r="B986" s="34"/>
      <c r="C986" s="34"/>
    </row>
    <row r="987" customHeight="1" spans="2:3">
      <c r="B987" s="34"/>
      <c r="C987" s="34"/>
    </row>
    <row r="988" customHeight="1" spans="2:3">
      <c r="B988" s="34"/>
      <c r="C988" s="34"/>
    </row>
    <row r="989" customHeight="1" spans="2:3">
      <c r="B989" s="34"/>
      <c r="C989" s="34"/>
    </row>
    <row r="990" customHeight="1" spans="2:3">
      <c r="B990" s="34"/>
      <c r="C990" s="34"/>
    </row>
    <row r="991" customHeight="1" spans="2:3">
      <c r="B991" s="34"/>
      <c r="C991" s="34"/>
    </row>
    <row r="992" customHeight="1" spans="2:3">
      <c r="B992" s="34"/>
      <c r="C992" s="34"/>
    </row>
    <row r="993" customHeight="1" spans="2:3">
      <c r="B993" s="34"/>
      <c r="C993" s="34"/>
    </row>
    <row r="994" customHeight="1" spans="2:3">
      <c r="B994" s="34"/>
      <c r="C994" s="34"/>
    </row>
    <row r="995" customHeight="1" spans="2:3">
      <c r="B995" s="34"/>
      <c r="C995" s="34"/>
    </row>
    <row r="996" customHeight="1" spans="2:3">
      <c r="B996" s="34"/>
      <c r="C996" s="34"/>
    </row>
    <row r="997" customHeight="1" spans="2:3">
      <c r="B997" s="34"/>
      <c r="C997" s="34"/>
    </row>
    <row r="998" customHeight="1" spans="2:3">
      <c r="B998" s="34"/>
      <c r="C998" s="34"/>
    </row>
    <row r="999" customHeight="1" spans="2:3">
      <c r="B999" s="34"/>
      <c r="C999" s="34"/>
    </row>
    <row r="1000" customHeight="1" spans="2:3">
      <c r="B1000" s="34"/>
      <c r="C1000" s="34"/>
    </row>
  </sheetData>
  <mergeCells count="1">
    <mergeCell ref="H3:M3"/>
  </mergeCells>
  <conditionalFormatting sqref="A2:C22">
    <cfRule type="expression" dxfId="38" priority="1">
      <formula>MOD(ROW(),2)=1</formula>
    </cfRule>
  </conditionalFormatting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999"/>
  <sheetViews>
    <sheetView workbookViewId="0">
      <selection activeCell="D3" sqref="D3"/>
    </sheetView>
  </sheetViews>
  <sheetFormatPr defaultColWidth="12.6285714285714" defaultRowHeight="15.75" customHeight="1"/>
  <cols>
    <col min="1" max="1" width="23.8571428571429" customWidth="1"/>
    <col min="2" max="2" width="16.5714285714286" customWidth="1"/>
    <col min="3" max="3" width="9.28571428571429" customWidth="1"/>
    <col min="4" max="4" width="22.8571428571429" customWidth="1"/>
    <col min="5" max="5" width="21.7142857142857" customWidth="1"/>
    <col min="6" max="6" width="25.2857142857143" customWidth="1"/>
    <col min="7" max="7" width="13" customWidth="1"/>
    <col min="11" max="11" width="49" customWidth="1"/>
  </cols>
  <sheetData>
    <row r="1" customHeight="1" spans="1:9">
      <c r="A1" s="9" t="s">
        <v>19</v>
      </c>
      <c r="B1" s="9" t="s">
        <v>20</v>
      </c>
      <c r="C1" s="9" t="s">
        <v>23</v>
      </c>
    </row>
    <row r="2" customHeight="1" spans="1:9">
      <c r="A2" s="10" t="s">
        <v>28</v>
      </c>
      <c r="B2" s="10" t="s">
        <v>29</v>
      </c>
      <c r="C2" s="10">
        <v>83000</v>
      </c>
      <c r="E2" s="11" t="s">
        <v>20</v>
      </c>
      <c r="F2" s="12" t="s">
        <v>170</v>
      </c>
      <c r="G2" s="13" t="s">
        <v>177</v>
      </c>
    </row>
    <row r="3" customHeight="1" spans="1:9">
      <c r="A3" s="10" t="s">
        <v>33</v>
      </c>
      <c r="B3" s="10" t="s">
        <v>29</v>
      </c>
      <c r="C3" s="10">
        <v>93000</v>
      </c>
      <c r="E3" s="14" t="s">
        <v>29</v>
      </c>
      <c r="F3" s="15">
        <v>99000</v>
      </c>
      <c r="G3" s="16"/>
      <c r="I3" s="17" t="s">
        <v>16</v>
      </c>
    </row>
    <row r="4" customHeight="1" spans="1:9">
      <c r="A4" s="10" t="s">
        <v>35</v>
      </c>
      <c r="B4" s="10" t="s">
        <v>29</v>
      </c>
      <c r="C4" s="10">
        <v>78000</v>
      </c>
      <c r="E4" s="18" t="s">
        <v>131</v>
      </c>
      <c r="F4" s="19">
        <v>71200</v>
      </c>
      <c r="G4" s="16"/>
    </row>
    <row r="5" customHeight="1" spans="1:9">
      <c r="A5" s="10" t="s">
        <v>38</v>
      </c>
      <c r="B5" s="10" t="s">
        <v>29</v>
      </c>
      <c r="C5" s="10">
        <v>122000</v>
      </c>
      <c r="E5" s="18" t="s">
        <v>81</v>
      </c>
      <c r="F5" s="19">
        <v>64800</v>
      </c>
      <c r="G5" s="16"/>
    </row>
    <row r="6" customHeight="1" spans="1:9">
      <c r="A6" s="10" t="s">
        <v>42</v>
      </c>
      <c r="B6" s="10" t="s">
        <v>29</v>
      </c>
      <c r="C6" s="10">
        <v>79000</v>
      </c>
      <c r="E6" s="18" t="s">
        <v>106</v>
      </c>
      <c r="F6" s="19">
        <v>63200</v>
      </c>
      <c r="G6" s="16"/>
    </row>
    <row r="7" customHeight="1" spans="1:9">
      <c r="A7" s="10" t="s">
        <v>44</v>
      </c>
      <c r="B7" s="10" t="s">
        <v>29</v>
      </c>
      <c r="C7" s="10">
        <v>105000</v>
      </c>
      <c r="E7" s="18" t="s">
        <v>56</v>
      </c>
      <c r="F7" s="19">
        <v>60800</v>
      </c>
      <c r="G7" s="20"/>
    </row>
    <row r="8" customHeight="1" spans="1:9">
      <c r="A8" s="10" t="s">
        <v>46</v>
      </c>
      <c r="B8" s="10" t="s">
        <v>29</v>
      </c>
      <c r="C8" s="10">
        <v>101000</v>
      </c>
      <c r="E8" s="21" t="s">
        <v>176</v>
      </c>
      <c r="F8" s="22">
        <v>71800</v>
      </c>
      <c r="G8" s="23"/>
    </row>
    <row r="9" customHeight="1" spans="1:9">
      <c r="A9" s="10" t="s">
        <v>49</v>
      </c>
      <c r="B9" s="10" t="s">
        <v>29</v>
      </c>
      <c r="C9" s="10">
        <v>108000</v>
      </c>
      <c r="E9" s="24"/>
    </row>
    <row r="10" customHeight="1" spans="1:9">
      <c r="A10" s="10" t="s">
        <v>51</v>
      </c>
      <c r="B10" s="10" t="s">
        <v>29</v>
      </c>
      <c r="C10" s="10">
        <v>95000</v>
      </c>
      <c r="E10" s="24"/>
    </row>
    <row r="11" customHeight="1" spans="1:9">
      <c r="A11" s="10" t="s">
        <v>53</v>
      </c>
      <c r="B11" s="10" t="s">
        <v>29</v>
      </c>
      <c r="C11" s="10">
        <v>126000</v>
      </c>
      <c r="E11" s="24"/>
    </row>
    <row r="12" customHeight="1" spans="1:9">
      <c r="A12" s="10" t="s">
        <v>55</v>
      </c>
      <c r="B12" s="10" t="s">
        <v>131</v>
      </c>
      <c r="C12" s="10">
        <v>75000</v>
      </c>
      <c r="E12" s="24"/>
    </row>
    <row r="13" customHeight="1" spans="1:9">
      <c r="A13" s="10" t="s">
        <v>59</v>
      </c>
      <c r="B13" s="10" t="s">
        <v>131</v>
      </c>
      <c r="C13" s="10">
        <v>66000</v>
      </c>
      <c r="E13" s="24"/>
    </row>
    <row r="14" customHeight="1" spans="1:9">
      <c r="A14" s="10" t="s">
        <v>61</v>
      </c>
      <c r="B14" s="10" t="s">
        <v>131</v>
      </c>
      <c r="C14" s="10">
        <v>49000</v>
      </c>
      <c r="E14" s="24"/>
    </row>
    <row r="15" customHeight="1" spans="1:9">
      <c r="A15" s="10" t="s">
        <v>64</v>
      </c>
      <c r="B15" s="10" t="s">
        <v>131</v>
      </c>
      <c r="C15" s="10">
        <v>87000</v>
      </c>
      <c r="E15" s="24"/>
    </row>
    <row r="16" customHeight="1" spans="1:9">
      <c r="A16" s="10" t="s">
        <v>66</v>
      </c>
      <c r="B16" s="10" t="s">
        <v>131</v>
      </c>
      <c r="C16" s="10">
        <v>83000</v>
      </c>
      <c r="E16" s="24"/>
    </row>
    <row r="17" customHeight="1" spans="1:5">
      <c r="A17" s="10" t="s">
        <v>69</v>
      </c>
      <c r="B17" s="10" t="s">
        <v>131</v>
      </c>
      <c r="C17" s="10">
        <v>95000</v>
      </c>
      <c r="E17" s="24"/>
    </row>
    <row r="18" customHeight="1" spans="1:5">
      <c r="A18" s="10" t="s">
        <v>71</v>
      </c>
      <c r="B18" s="10" t="s">
        <v>131</v>
      </c>
      <c r="C18" s="10">
        <v>49000</v>
      </c>
      <c r="E18" s="24"/>
    </row>
    <row r="19" customHeight="1" spans="1:5">
      <c r="A19" s="10" t="s">
        <v>73</v>
      </c>
      <c r="B19" s="10" t="s">
        <v>131</v>
      </c>
      <c r="C19" s="10">
        <v>92000</v>
      </c>
      <c r="E19" s="24"/>
    </row>
    <row r="20" customHeight="1" spans="1:5">
      <c r="A20" s="10" t="s">
        <v>76</v>
      </c>
      <c r="B20" s="10" t="s">
        <v>131</v>
      </c>
      <c r="C20" s="10">
        <v>64000</v>
      </c>
      <c r="E20" s="24"/>
    </row>
    <row r="21" customHeight="1" spans="1:5">
      <c r="A21" s="10" t="s">
        <v>78</v>
      </c>
      <c r="B21" s="10" t="s">
        <v>131</v>
      </c>
      <c r="C21" s="10">
        <v>52000</v>
      </c>
      <c r="E21" s="24"/>
    </row>
    <row r="22" customHeight="1" spans="1:5">
      <c r="A22" s="10" t="s">
        <v>80</v>
      </c>
      <c r="B22" s="10" t="s">
        <v>81</v>
      </c>
      <c r="C22" s="10">
        <v>53000</v>
      </c>
      <c r="E22" s="24"/>
    </row>
    <row r="23" customHeight="1" spans="1:5">
      <c r="A23" s="10" t="s">
        <v>84</v>
      </c>
      <c r="B23" s="10" t="s">
        <v>81</v>
      </c>
      <c r="C23" s="10">
        <v>43000</v>
      </c>
      <c r="E23" s="24"/>
    </row>
    <row r="24" customHeight="1" spans="1:5">
      <c r="A24" s="10" t="s">
        <v>86</v>
      </c>
      <c r="B24" s="10" t="s">
        <v>81</v>
      </c>
      <c r="C24" s="10">
        <v>47000</v>
      </c>
      <c r="E24" s="24"/>
    </row>
    <row r="25" customHeight="1" spans="1:5">
      <c r="A25" s="10" t="s">
        <v>89</v>
      </c>
      <c r="B25" s="10" t="s">
        <v>81</v>
      </c>
      <c r="C25" s="10">
        <v>85000</v>
      </c>
      <c r="E25" s="24"/>
    </row>
    <row r="26" customHeight="1" spans="1:5">
      <c r="A26" s="10" t="s">
        <v>91</v>
      </c>
      <c r="B26" s="10" t="s">
        <v>81</v>
      </c>
      <c r="C26" s="10">
        <v>77000</v>
      </c>
      <c r="E26" s="24"/>
    </row>
    <row r="27" customHeight="1" spans="1:5">
      <c r="A27" s="10" t="s">
        <v>94</v>
      </c>
      <c r="B27" s="10" t="s">
        <v>81</v>
      </c>
      <c r="C27" s="10">
        <v>76000</v>
      </c>
      <c r="E27" s="24"/>
    </row>
    <row r="28" customHeight="1" spans="1:5">
      <c r="A28" s="10" t="s">
        <v>96</v>
      </c>
      <c r="B28" s="10" t="s">
        <v>81</v>
      </c>
      <c r="C28" s="10">
        <v>56000</v>
      </c>
      <c r="E28" s="24"/>
    </row>
    <row r="29" customHeight="1" spans="1:5">
      <c r="A29" s="10" t="s">
        <v>98</v>
      </c>
      <c r="B29" s="10" t="s">
        <v>81</v>
      </c>
      <c r="C29" s="10">
        <v>47000</v>
      </c>
      <c r="E29" s="24"/>
    </row>
    <row r="30" customHeight="1" spans="1:5">
      <c r="A30" s="10" t="s">
        <v>101</v>
      </c>
      <c r="B30" s="10" t="s">
        <v>81</v>
      </c>
      <c r="C30" s="10">
        <v>79000</v>
      </c>
      <c r="E30" s="24"/>
    </row>
    <row r="31" customHeight="1" spans="1:5">
      <c r="A31" s="10" t="s">
        <v>103</v>
      </c>
      <c r="B31" s="10" t="s">
        <v>81</v>
      </c>
      <c r="C31" s="10">
        <v>85000</v>
      </c>
      <c r="E31" s="24"/>
    </row>
    <row r="32" customHeight="1" spans="1:5">
      <c r="A32" s="10" t="s">
        <v>105</v>
      </c>
      <c r="B32" s="10" t="s">
        <v>106</v>
      </c>
      <c r="C32" s="10">
        <v>66000</v>
      </c>
      <c r="E32" s="24"/>
    </row>
    <row r="33" customHeight="1" spans="1:5">
      <c r="A33" s="10" t="s">
        <v>109</v>
      </c>
      <c r="B33" s="10" t="s">
        <v>106</v>
      </c>
      <c r="C33" s="10">
        <v>69000</v>
      </c>
      <c r="E33" s="24"/>
    </row>
    <row r="34" customHeight="1" spans="1:5">
      <c r="A34" s="10" t="s">
        <v>112</v>
      </c>
      <c r="B34" s="10" t="s">
        <v>106</v>
      </c>
      <c r="C34" s="10">
        <v>76000</v>
      </c>
      <c r="E34" s="24"/>
    </row>
    <row r="35" customHeight="1" spans="1:5">
      <c r="A35" s="10" t="s">
        <v>115</v>
      </c>
      <c r="B35" s="10" t="s">
        <v>106</v>
      </c>
      <c r="C35" s="10">
        <v>67000</v>
      </c>
      <c r="E35" s="24"/>
    </row>
    <row r="36" customHeight="1" spans="1:5">
      <c r="A36" s="10" t="s">
        <v>117</v>
      </c>
      <c r="B36" s="10" t="s">
        <v>106</v>
      </c>
      <c r="C36" s="10">
        <v>66000</v>
      </c>
      <c r="E36" s="24"/>
    </row>
    <row r="37" customHeight="1" spans="1:5">
      <c r="A37" s="10" t="s">
        <v>119</v>
      </c>
      <c r="B37" s="10" t="s">
        <v>106</v>
      </c>
      <c r="C37" s="10">
        <v>52000</v>
      </c>
      <c r="E37" s="24"/>
    </row>
    <row r="38" customHeight="1" spans="1:5">
      <c r="A38" s="10" t="s">
        <v>121</v>
      </c>
      <c r="B38" s="10" t="s">
        <v>106</v>
      </c>
      <c r="C38" s="10">
        <v>61000</v>
      </c>
      <c r="E38" s="24"/>
    </row>
    <row r="39" customHeight="1" spans="1:5">
      <c r="A39" s="10" t="s">
        <v>123</v>
      </c>
      <c r="B39" s="10" t="s">
        <v>106</v>
      </c>
      <c r="C39" s="10">
        <v>45000</v>
      </c>
      <c r="E39" s="24"/>
    </row>
    <row r="40" customHeight="1" spans="1:5">
      <c r="A40" s="10" t="s">
        <v>125</v>
      </c>
      <c r="B40" s="10" t="s">
        <v>106</v>
      </c>
      <c r="C40" s="10">
        <v>77000</v>
      </c>
      <c r="E40" s="24"/>
    </row>
    <row r="41" customHeight="1" spans="1:5">
      <c r="A41" s="10" t="s">
        <v>127</v>
      </c>
      <c r="B41" s="10" t="s">
        <v>106</v>
      </c>
      <c r="C41" s="10">
        <v>53000</v>
      </c>
      <c r="E41" s="24"/>
    </row>
    <row r="42" customHeight="1" spans="1:5">
      <c r="A42" s="10" t="s">
        <v>130</v>
      </c>
      <c r="B42" s="10" t="s">
        <v>56</v>
      </c>
      <c r="C42" s="10">
        <v>59000</v>
      </c>
      <c r="E42" s="24"/>
    </row>
    <row r="43" customHeight="1" spans="1:5">
      <c r="A43" s="10" t="s">
        <v>134</v>
      </c>
      <c r="B43" s="10" t="s">
        <v>56</v>
      </c>
      <c r="C43" s="10">
        <v>73000</v>
      </c>
      <c r="E43" s="24"/>
    </row>
    <row r="44" customHeight="1" spans="1:5">
      <c r="A44" s="10" t="s">
        <v>137</v>
      </c>
      <c r="B44" s="10" t="s">
        <v>56</v>
      </c>
      <c r="C44" s="10">
        <v>48000</v>
      </c>
      <c r="E44" s="24"/>
    </row>
    <row r="45" customHeight="1" spans="1:5">
      <c r="A45" s="10" t="s">
        <v>139</v>
      </c>
      <c r="B45" s="10" t="s">
        <v>56</v>
      </c>
      <c r="C45" s="10">
        <v>74000</v>
      </c>
      <c r="E45" s="24"/>
    </row>
    <row r="46" customHeight="1" spans="1:5">
      <c r="A46" s="10" t="s">
        <v>141</v>
      </c>
      <c r="B46" s="10" t="s">
        <v>56</v>
      </c>
      <c r="C46" s="10">
        <v>74000</v>
      </c>
      <c r="E46" s="24"/>
    </row>
    <row r="47" customHeight="1" spans="1:5">
      <c r="A47" s="10" t="s">
        <v>143</v>
      </c>
      <c r="B47" s="10" t="s">
        <v>56</v>
      </c>
      <c r="C47" s="10">
        <v>55000</v>
      </c>
      <c r="E47" s="24"/>
    </row>
    <row r="48" customHeight="1" spans="1:5">
      <c r="A48" s="10" t="s">
        <v>146</v>
      </c>
      <c r="B48" s="10" t="s">
        <v>56</v>
      </c>
      <c r="C48" s="10">
        <v>56000</v>
      </c>
      <c r="E48" s="24"/>
    </row>
    <row r="49" customHeight="1" spans="1:5">
      <c r="A49" s="10" t="s">
        <v>149</v>
      </c>
      <c r="B49" s="10" t="s">
        <v>56</v>
      </c>
      <c r="C49" s="10">
        <v>67000</v>
      </c>
      <c r="E49" s="24"/>
    </row>
    <row r="50" customHeight="1" spans="1:5">
      <c r="A50" s="10" t="s">
        <v>151</v>
      </c>
      <c r="B50" s="10" t="s">
        <v>56</v>
      </c>
      <c r="C50" s="10">
        <v>40000</v>
      </c>
      <c r="E50" s="24"/>
    </row>
    <row r="51" customHeight="1" spans="1:5">
      <c r="A51" s="10" t="s">
        <v>153</v>
      </c>
      <c r="B51" s="10" t="s">
        <v>56</v>
      </c>
      <c r="C51" s="10">
        <v>62000</v>
      </c>
      <c r="E51" s="24"/>
    </row>
    <row r="52" customHeight="1" spans="1:5">
      <c r="E52" s="24"/>
    </row>
    <row r="53" customHeight="1" spans="1:5">
      <c r="E53" s="24"/>
    </row>
    <row r="54" customHeight="1" spans="1:5">
      <c r="E54" s="24"/>
    </row>
    <row r="55" customHeight="1" spans="1:5">
      <c r="E55" s="24"/>
    </row>
    <row r="56" customHeight="1" spans="1:5">
      <c r="E56" s="24"/>
    </row>
    <row r="57" customHeight="1" spans="1:5">
      <c r="E57" s="24"/>
    </row>
    <row r="58" customHeight="1" spans="1:5">
      <c r="E58" s="24"/>
    </row>
    <row r="59" customHeight="1" spans="1:5">
      <c r="E59" s="24"/>
    </row>
    <row r="60" customHeight="1" spans="1:5">
      <c r="E60" s="24"/>
    </row>
    <row r="61" customHeight="1" spans="1:5">
      <c r="E61" s="24"/>
    </row>
    <row r="62" customHeight="1" spans="1:5">
      <c r="E62" s="24"/>
    </row>
    <row r="63" customHeight="1" spans="1:5">
      <c r="E63" s="24"/>
    </row>
    <row r="64" customHeight="1" spans="1:5">
      <c r="E64" s="24"/>
    </row>
    <row r="65" customHeight="1" spans="5:5">
      <c r="E65" s="24"/>
    </row>
    <row r="66" customHeight="1" spans="5:5">
      <c r="E66" s="24"/>
    </row>
    <row r="67" customHeight="1" spans="5:5">
      <c r="E67" s="24"/>
    </row>
    <row r="68" customHeight="1" spans="5:5">
      <c r="E68" s="24"/>
    </row>
    <row r="69" customHeight="1" spans="5:5">
      <c r="E69" s="24"/>
    </row>
    <row r="70" customHeight="1" spans="5:5">
      <c r="E70" s="24"/>
    </row>
    <row r="71" customHeight="1" spans="5:5">
      <c r="E71" s="24"/>
    </row>
    <row r="72" customHeight="1" spans="5:5">
      <c r="E72" s="24"/>
    </row>
    <row r="73" customHeight="1" spans="5:5">
      <c r="E73" s="24"/>
    </row>
    <row r="74" customHeight="1" spans="5:5">
      <c r="E74" s="24"/>
    </row>
    <row r="75" customHeight="1" spans="5:5">
      <c r="E75" s="24"/>
    </row>
    <row r="76" customHeight="1" spans="5:5">
      <c r="E76" s="24"/>
    </row>
    <row r="77" customHeight="1" spans="5:5">
      <c r="E77" s="24"/>
    </row>
    <row r="78" customHeight="1" spans="5:5">
      <c r="E78" s="24"/>
    </row>
    <row r="79" customHeight="1" spans="5:5">
      <c r="E79" s="24"/>
    </row>
    <row r="80" customHeight="1" spans="5:5">
      <c r="E80" s="24"/>
    </row>
    <row r="81" customHeight="1" spans="5:5">
      <c r="E81" s="24"/>
    </row>
    <row r="82" customHeight="1" spans="5:5">
      <c r="E82" s="24"/>
    </row>
    <row r="83" customHeight="1" spans="5:5">
      <c r="E83" s="24"/>
    </row>
    <row r="84" customHeight="1" spans="5:5">
      <c r="E84" s="24"/>
    </row>
    <row r="85" customHeight="1" spans="5:5">
      <c r="E85" s="24"/>
    </row>
    <row r="86" customHeight="1" spans="5:5">
      <c r="E86" s="24"/>
    </row>
    <row r="87" customHeight="1" spans="5:5">
      <c r="E87" s="24"/>
    </row>
    <row r="88" customHeight="1" spans="5:5">
      <c r="E88" s="24"/>
    </row>
    <row r="89" customHeight="1" spans="5:5">
      <c r="E89" s="24"/>
    </row>
    <row r="90" customHeight="1" spans="5:5">
      <c r="E90" s="24"/>
    </row>
    <row r="91" customHeight="1" spans="5:5">
      <c r="E91" s="24"/>
    </row>
    <row r="92" customHeight="1" spans="5:5">
      <c r="E92" s="24"/>
    </row>
    <row r="93" customHeight="1" spans="5:5">
      <c r="E93" s="24"/>
    </row>
    <row r="94" customHeight="1" spans="5:5">
      <c r="E94" s="24"/>
    </row>
    <row r="95" customHeight="1" spans="5:5">
      <c r="E95" s="24"/>
    </row>
    <row r="96" customHeight="1" spans="5:5">
      <c r="E96" s="24"/>
    </row>
    <row r="97" customHeight="1" spans="5:5">
      <c r="E97" s="24"/>
    </row>
    <row r="98" customHeight="1" spans="5:5">
      <c r="E98" s="24"/>
    </row>
    <row r="99" customHeight="1" spans="5:5">
      <c r="E99" s="24"/>
    </row>
    <row r="100" customHeight="1" spans="5:5">
      <c r="E100" s="24"/>
    </row>
    <row r="101" customHeight="1" spans="5:5">
      <c r="E101" s="24"/>
    </row>
    <row r="102" customHeight="1" spans="5:5">
      <c r="E102" s="24"/>
    </row>
    <row r="103" customHeight="1" spans="5:5">
      <c r="E103" s="24"/>
    </row>
    <row r="104" customHeight="1" spans="5:5">
      <c r="E104" s="24"/>
    </row>
    <row r="105" customHeight="1" spans="5:5">
      <c r="E105" s="24"/>
    </row>
    <row r="106" customHeight="1" spans="5:5">
      <c r="E106" s="24"/>
    </row>
    <row r="107" customHeight="1" spans="5:5">
      <c r="E107" s="24"/>
    </row>
    <row r="108" customHeight="1" spans="5:5">
      <c r="E108" s="24"/>
    </row>
    <row r="109" customHeight="1" spans="5:5">
      <c r="E109" s="24"/>
    </row>
    <row r="110" customHeight="1" spans="5:5">
      <c r="E110" s="24"/>
    </row>
    <row r="111" customHeight="1" spans="5:5">
      <c r="E111" s="24"/>
    </row>
    <row r="112" customHeight="1" spans="5:5">
      <c r="E112" s="24"/>
    </row>
    <row r="113" customHeight="1" spans="5:5">
      <c r="E113" s="24"/>
    </row>
    <row r="114" customHeight="1" spans="5:5">
      <c r="E114" s="24"/>
    </row>
    <row r="115" customHeight="1" spans="5:5">
      <c r="E115" s="24"/>
    </row>
    <row r="116" customHeight="1" spans="5:5">
      <c r="E116" s="24"/>
    </row>
    <row r="117" customHeight="1" spans="5:5">
      <c r="E117" s="24"/>
    </row>
    <row r="118" customHeight="1" spans="5:5">
      <c r="E118" s="24"/>
    </row>
    <row r="119" customHeight="1" spans="5:5">
      <c r="E119" s="24"/>
    </row>
    <row r="120" customHeight="1" spans="5:5">
      <c r="E120" s="24"/>
    </row>
    <row r="121" customHeight="1" spans="5:5">
      <c r="E121" s="24"/>
    </row>
    <row r="122" customHeight="1" spans="5:5">
      <c r="E122" s="24"/>
    </row>
    <row r="123" customHeight="1" spans="5:5">
      <c r="E123" s="24"/>
    </row>
    <row r="124" customHeight="1" spans="5:5">
      <c r="E124" s="24"/>
    </row>
    <row r="125" customHeight="1" spans="5:5">
      <c r="E125" s="24"/>
    </row>
    <row r="126" customHeight="1" spans="5:5">
      <c r="E126" s="24"/>
    </row>
    <row r="127" customHeight="1" spans="5:5">
      <c r="E127" s="24"/>
    </row>
    <row r="128" customHeight="1" spans="5:5">
      <c r="E128" s="24"/>
    </row>
    <row r="129" customHeight="1" spans="5:5">
      <c r="E129" s="24"/>
    </row>
    <row r="130" customHeight="1" spans="5:5">
      <c r="E130" s="24"/>
    </row>
    <row r="131" customHeight="1" spans="5:5">
      <c r="E131" s="24"/>
    </row>
    <row r="132" customHeight="1" spans="5:5">
      <c r="E132" s="24"/>
    </row>
    <row r="133" customHeight="1" spans="5:5">
      <c r="E133" s="24"/>
    </row>
    <row r="134" customHeight="1" spans="5:5">
      <c r="E134" s="24"/>
    </row>
    <row r="135" customHeight="1" spans="5:5">
      <c r="E135" s="24"/>
    </row>
    <row r="136" customHeight="1" spans="5:5">
      <c r="E136" s="24"/>
    </row>
    <row r="137" customHeight="1" spans="5:5">
      <c r="E137" s="24"/>
    </row>
    <row r="138" customHeight="1" spans="5:5">
      <c r="E138" s="24"/>
    </row>
    <row r="139" customHeight="1" spans="5:5">
      <c r="E139" s="24"/>
    </row>
    <row r="140" customHeight="1" spans="5:5">
      <c r="E140" s="24"/>
    </row>
    <row r="141" customHeight="1" spans="5:5">
      <c r="E141" s="24"/>
    </row>
    <row r="142" customHeight="1" spans="5:5">
      <c r="E142" s="24"/>
    </row>
    <row r="143" customHeight="1" spans="5:5">
      <c r="E143" s="24"/>
    </row>
    <row r="144" customHeight="1" spans="5:5">
      <c r="E144" s="24"/>
    </row>
    <row r="145" customHeight="1" spans="5:5">
      <c r="E145" s="24"/>
    </row>
    <row r="146" customHeight="1" spans="5:5">
      <c r="E146" s="24"/>
    </row>
    <row r="147" customHeight="1" spans="5:5">
      <c r="E147" s="24"/>
    </row>
    <row r="148" customHeight="1" spans="5:5">
      <c r="E148" s="24"/>
    </row>
    <row r="149" customHeight="1" spans="5:5">
      <c r="E149" s="24"/>
    </row>
    <row r="150" customHeight="1" spans="5:5">
      <c r="E150" s="24"/>
    </row>
    <row r="151" customHeight="1" spans="5:5">
      <c r="E151" s="24"/>
    </row>
    <row r="152" customHeight="1" spans="5:5">
      <c r="E152" s="24"/>
    </row>
    <row r="153" customHeight="1" spans="5:5">
      <c r="E153" s="24"/>
    </row>
    <row r="154" customHeight="1" spans="5:5">
      <c r="E154" s="24"/>
    </row>
    <row r="155" customHeight="1" spans="5:5">
      <c r="E155" s="24"/>
    </row>
    <row r="156" customHeight="1" spans="5:5">
      <c r="E156" s="24"/>
    </row>
    <row r="157" customHeight="1" spans="5:5">
      <c r="E157" s="24"/>
    </row>
    <row r="158" customHeight="1" spans="5:5">
      <c r="E158" s="24"/>
    </row>
    <row r="159" customHeight="1" spans="5:5">
      <c r="E159" s="24"/>
    </row>
    <row r="160" customHeight="1" spans="5:5">
      <c r="E160" s="24"/>
    </row>
    <row r="161" customHeight="1" spans="5:5">
      <c r="E161" s="24"/>
    </row>
    <row r="162" customHeight="1" spans="5:5">
      <c r="E162" s="24"/>
    </row>
    <row r="163" customHeight="1" spans="5:5">
      <c r="E163" s="24"/>
    </row>
    <row r="164" customHeight="1" spans="5:5">
      <c r="E164" s="24"/>
    </row>
    <row r="165" customHeight="1" spans="5:5">
      <c r="E165" s="24"/>
    </row>
    <row r="166" customHeight="1" spans="5:5">
      <c r="E166" s="24"/>
    </row>
    <row r="167" customHeight="1" spans="5:5">
      <c r="E167" s="24"/>
    </row>
    <row r="168" customHeight="1" spans="5:5">
      <c r="E168" s="24"/>
    </row>
    <row r="169" customHeight="1" spans="5:5">
      <c r="E169" s="24"/>
    </row>
    <row r="170" customHeight="1" spans="5:5">
      <c r="E170" s="24"/>
    </row>
    <row r="171" customHeight="1" spans="5:5">
      <c r="E171" s="24"/>
    </row>
    <row r="172" customHeight="1" spans="5:5">
      <c r="E172" s="24"/>
    </row>
    <row r="173" customHeight="1" spans="5:5">
      <c r="E173" s="24"/>
    </row>
    <row r="174" customHeight="1" spans="5:5">
      <c r="E174" s="24"/>
    </row>
    <row r="175" customHeight="1" spans="5:5">
      <c r="E175" s="24"/>
    </row>
    <row r="176" customHeight="1" spans="5:5">
      <c r="E176" s="24"/>
    </row>
    <row r="177" customHeight="1" spans="5:5">
      <c r="E177" s="24"/>
    </row>
    <row r="178" customHeight="1" spans="5:5">
      <c r="E178" s="24"/>
    </row>
    <row r="179" customHeight="1" spans="5:5">
      <c r="E179" s="24"/>
    </row>
    <row r="180" customHeight="1" spans="5:5">
      <c r="E180" s="24"/>
    </row>
    <row r="181" customHeight="1" spans="5:5">
      <c r="E181" s="24"/>
    </row>
    <row r="182" customHeight="1" spans="5:5">
      <c r="E182" s="24"/>
    </row>
    <row r="183" customHeight="1" spans="5:5">
      <c r="E183" s="24"/>
    </row>
    <row r="184" customHeight="1" spans="5:5">
      <c r="E184" s="24"/>
    </row>
    <row r="185" customHeight="1" spans="5:5">
      <c r="E185" s="24"/>
    </row>
    <row r="186" customHeight="1" spans="5:5">
      <c r="E186" s="24"/>
    </row>
    <row r="187" customHeight="1" spans="5:5">
      <c r="E187" s="24"/>
    </row>
    <row r="188" customHeight="1" spans="5:5">
      <c r="E188" s="24"/>
    </row>
    <row r="189" customHeight="1" spans="5:5">
      <c r="E189" s="24"/>
    </row>
    <row r="190" customHeight="1" spans="5:5">
      <c r="E190" s="24"/>
    </row>
    <row r="191" customHeight="1" spans="5:5">
      <c r="E191" s="24"/>
    </row>
    <row r="192" customHeight="1" spans="5:5">
      <c r="E192" s="24"/>
    </row>
    <row r="193" customHeight="1" spans="5:5">
      <c r="E193" s="24"/>
    </row>
    <row r="194" customHeight="1" spans="5:5">
      <c r="E194" s="24"/>
    </row>
    <row r="195" customHeight="1" spans="5:5">
      <c r="E195" s="24"/>
    </row>
    <row r="196" customHeight="1" spans="5:5">
      <c r="E196" s="24"/>
    </row>
    <row r="197" customHeight="1" spans="5:5">
      <c r="E197" s="24"/>
    </row>
    <row r="198" customHeight="1" spans="5:5">
      <c r="E198" s="24"/>
    </row>
    <row r="199" customHeight="1" spans="5:5">
      <c r="E199" s="24"/>
    </row>
    <row r="200" customHeight="1" spans="5:5">
      <c r="E200" s="24"/>
    </row>
    <row r="201" customHeight="1" spans="5:5">
      <c r="E201" s="24"/>
    </row>
    <row r="202" customHeight="1" spans="5:5">
      <c r="E202" s="24"/>
    </row>
    <row r="203" customHeight="1" spans="5:5">
      <c r="E203" s="24"/>
    </row>
    <row r="204" customHeight="1" spans="5:5">
      <c r="E204" s="24"/>
    </row>
    <row r="205" customHeight="1" spans="5:5">
      <c r="E205" s="24"/>
    </row>
    <row r="206" customHeight="1" spans="5:5">
      <c r="E206" s="24"/>
    </row>
    <row r="207" customHeight="1" spans="5:5">
      <c r="E207" s="24"/>
    </row>
    <row r="208" customHeight="1" spans="5:5">
      <c r="E208" s="24"/>
    </row>
    <row r="209" customHeight="1" spans="5:5">
      <c r="E209" s="24"/>
    </row>
    <row r="210" customHeight="1" spans="5:5">
      <c r="E210" s="24"/>
    </row>
    <row r="211" customHeight="1" spans="5:5">
      <c r="E211" s="24"/>
    </row>
    <row r="212" customHeight="1" spans="5:5">
      <c r="E212" s="24"/>
    </row>
    <row r="213" customHeight="1" spans="5:5">
      <c r="E213" s="24"/>
    </row>
    <row r="214" customHeight="1" spans="5:5">
      <c r="E214" s="24"/>
    </row>
    <row r="215" customHeight="1" spans="5:5">
      <c r="E215" s="24"/>
    </row>
    <row r="216" customHeight="1" spans="5:5">
      <c r="E216" s="24"/>
    </row>
    <row r="217" customHeight="1" spans="5:5">
      <c r="E217" s="24"/>
    </row>
    <row r="218" customHeight="1" spans="5:5">
      <c r="E218" s="24"/>
    </row>
    <row r="219" customHeight="1" spans="5:5">
      <c r="E219" s="24"/>
    </row>
    <row r="220" customHeight="1" spans="5:5">
      <c r="E220" s="24"/>
    </row>
    <row r="221" customHeight="1" spans="5:5">
      <c r="E221" s="24"/>
    </row>
    <row r="222" customHeight="1" spans="5:5">
      <c r="E222" s="24"/>
    </row>
    <row r="223" customHeight="1" spans="5:5">
      <c r="E223" s="24"/>
    </row>
    <row r="224" customHeight="1" spans="5:5">
      <c r="E224" s="24"/>
    </row>
    <row r="225" customHeight="1" spans="5:5">
      <c r="E225" s="24"/>
    </row>
    <row r="226" customHeight="1" spans="5:5">
      <c r="E226" s="24"/>
    </row>
    <row r="227" customHeight="1" spans="5:5">
      <c r="E227" s="24"/>
    </row>
    <row r="228" customHeight="1" spans="5:5">
      <c r="E228" s="24"/>
    </row>
    <row r="229" customHeight="1" spans="5:5">
      <c r="E229" s="24"/>
    </row>
    <row r="230" customHeight="1" spans="5:5">
      <c r="E230" s="24"/>
    </row>
    <row r="231" customHeight="1" spans="5:5">
      <c r="E231" s="24"/>
    </row>
    <row r="232" customHeight="1" spans="5:5">
      <c r="E232" s="24"/>
    </row>
    <row r="233" customHeight="1" spans="5:5">
      <c r="E233" s="24"/>
    </row>
    <row r="234" customHeight="1" spans="5:5">
      <c r="E234" s="24"/>
    </row>
    <row r="235" customHeight="1" spans="5:5">
      <c r="E235" s="24"/>
    </row>
    <row r="236" customHeight="1" spans="5:5">
      <c r="E236" s="24"/>
    </row>
    <row r="237" customHeight="1" spans="5:5">
      <c r="E237" s="24"/>
    </row>
    <row r="238" customHeight="1" spans="5:5">
      <c r="E238" s="24"/>
    </row>
    <row r="239" customHeight="1" spans="5:5">
      <c r="E239" s="24"/>
    </row>
    <row r="240" customHeight="1" spans="5:5">
      <c r="E240" s="24"/>
    </row>
    <row r="241" customHeight="1" spans="5:5">
      <c r="E241" s="24"/>
    </row>
    <row r="242" customHeight="1" spans="5:5">
      <c r="E242" s="24"/>
    </row>
    <row r="243" customHeight="1" spans="5:5">
      <c r="E243" s="24"/>
    </row>
    <row r="244" customHeight="1" spans="5:5">
      <c r="E244" s="24"/>
    </row>
    <row r="245" customHeight="1" spans="5:5">
      <c r="E245" s="24"/>
    </row>
    <row r="246" customHeight="1" spans="5:5">
      <c r="E246" s="24"/>
    </row>
    <row r="247" customHeight="1" spans="5:5">
      <c r="E247" s="24"/>
    </row>
    <row r="248" customHeight="1" spans="5:5">
      <c r="E248" s="24"/>
    </row>
    <row r="249" customHeight="1" spans="5:5">
      <c r="E249" s="24"/>
    </row>
    <row r="250" customHeight="1" spans="5:5">
      <c r="E250" s="24"/>
    </row>
    <row r="251" customHeight="1" spans="5:5">
      <c r="E251" s="24"/>
    </row>
    <row r="252" customHeight="1" spans="5:5">
      <c r="E252" s="24"/>
    </row>
    <row r="253" customHeight="1" spans="5:5">
      <c r="E253" s="24"/>
    </row>
    <row r="254" customHeight="1" spans="5:5">
      <c r="E254" s="24"/>
    </row>
    <row r="255" customHeight="1" spans="5:5">
      <c r="E255" s="24"/>
    </row>
    <row r="256" customHeight="1" spans="5:5">
      <c r="E256" s="24"/>
    </row>
    <row r="257" customHeight="1" spans="5:5">
      <c r="E257" s="24"/>
    </row>
    <row r="258" customHeight="1" spans="5:5">
      <c r="E258" s="24"/>
    </row>
    <row r="259" customHeight="1" spans="5:5">
      <c r="E259" s="24"/>
    </row>
    <row r="260" customHeight="1" spans="5:5">
      <c r="E260" s="24"/>
    </row>
    <row r="261" customHeight="1" spans="5:5">
      <c r="E261" s="24"/>
    </row>
    <row r="262" customHeight="1" spans="5:5">
      <c r="E262" s="24"/>
    </row>
    <row r="263" customHeight="1" spans="5:5">
      <c r="E263" s="24"/>
    </row>
    <row r="264" customHeight="1" spans="5:5">
      <c r="E264" s="24"/>
    </row>
    <row r="265" customHeight="1" spans="5:5">
      <c r="E265" s="24"/>
    </row>
    <row r="266" customHeight="1" spans="5:5">
      <c r="E266" s="24"/>
    </row>
    <row r="267" customHeight="1" spans="5:5">
      <c r="E267" s="24"/>
    </row>
    <row r="268" customHeight="1" spans="5:5">
      <c r="E268" s="24"/>
    </row>
    <row r="269" customHeight="1" spans="5:5">
      <c r="E269" s="24"/>
    </row>
    <row r="270" customHeight="1" spans="5:5">
      <c r="E270" s="24"/>
    </row>
    <row r="271" customHeight="1" spans="5:5">
      <c r="E271" s="24"/>
    </row>
    <row r="272" customHeight="1" spans="5:5">
      <c r="E272" s="24"/>
    </row>
    <row r="273" customHeight="1" spans="5:5">
      <c r="E273" s="24"/>
    </row>
    <row r="274" customHeight="1" spans="5:5">
      <c r="E274" s="24"/>
    </row>
    <row r="275" customHeight="1" spans="5:5">
      <c r="E275" s="24"/>
    </row>
    <row r="276" customHeight="1" spans="5:5">
      <c r="E276" s="24"/>
    </row>
    <row r="277" customHeight="1" spans="5:5">
      <c r="E277" s="24"/>
    </row>
    <row r="278" customHeight="1" spans="5:5">
      <c r="E278" s="24"/>
    </row>
    <row r="279" customHeight="1" spans="5:5">
      <c r="E279" s="24"/>
    </row>
    <row r="280" customHeight="1" spans="5:5">
      <c r="E280" s="24"/>
    </row>
    <row r="281" customHeight="1" spans="5:5">
      <c r="E281" s="24"/>
    </row>
    <row r="282" customHeight="1" spans="5:5">
      <c r="E282" s="24"/>
    </row>
    <row r="283" customHeight="1" spans="5:5">
      <c r="E283" s="24"/>
    </row>
    <row r="284" customHeight="1" spans="5:5">
      <c r="E284" s="24"/>
    </row>
    <row r="285" customHeight="1" spans="5:5">
      <c r="E285" s="24"/>
    </row>
    <row r="286" customHeight="1" spans="5:5">
      <c r="E286" s="24"/>
    </row>
    <row r="287" customHeight="1" spans="5:5">
      <c r="E287" s="24"/>
    </row>
    <row r="288" customHeight="1" spans="5:5">
      <c r="E288" s="24"/>
    </row>
    <row r="289" customHeight="1" spans="5:5">
      <c r="E289" s="24"/>
    </row>
    <row r="290" customHeight="1" spans="5:5">
      <c r="E290" s="24"/>
    </row>
    <row r="291" customHeight="1" spans="5:5">
      <c r="E291" s="24"/>
    </row>
    <row r="292" customHeight="1" spans="5:5">
      <c r="E292" s="24"/>
    </row>
    <row r="293" customHeight="1" spans="5:5">
      <c r="E293" s="24"/>
    </row>
    <row r="294" customHeight="1" spans="5:5">
      <c r="E294" s="24"/>
    </row>
    <row r="295" customHeight="1" spans="5:5">
      <c r="E295" s="24"/>
    </row>
    <row r="296" customHeight="1" spans="5:5">
      <c r="E296" s="24"/>
    </row>
    <row r="297" customHeight="1" spans="5:5">
      <c r="E297" s="24"/>
    </row>
    <row r="298" customHeight="1" spans="5:5">
      <c r="E298" s="24"/>
    </row>
    <row r="299" customHeight="1" spans="5:5">
      <c r="E299" s="24"/>
    </row>
    <row r="300" customHeight="1" spans="5:5">
      <c r="E300" s="24"/>
    </row>
    <row r="301" customHeight="1" spans="5:5">
      <c r="E301" s="24"/>
    </row>
    <row r="302" customHeight="1" spans="5:5">
      <c r="E302" s="24"/>
    </row>
    <row r="303" customHeight="1" spans="5:5">
      <c r="E303" s="24"/>
    </row>
    <row r="304" customHeight="1" spans="5:5">
      <c r="E304" s="24"/>
    </row>
    <row r="305" customHeight="1" spans="5:5">
      <c r="E305" s="24"/>
    </row>
    <row r="306" customHeight="1" spans="5:5">
      <c r="E306" s="24"/>
    </row>
    <row r="307" customHeight="1" spans="5:5">
      <c r="E307" s="24"/>
    </row>
    <row r="308" customHeight="1" spans="5:5">
      <c r="E308" s="24"/>
    </row>
    <row r="309" customHeight="1" spans="5:5">
      <c r="E309" s="24"/>
    </row>
    <row r="310" customHeight="1" spans="5:5">
      <c r="E310" s="24"/>
    </row>
    <row r="311" customHeight="1" spans="5:5">
      <c r="E311" s="24"/>
    </row>
    <row r="312" customHeight="1" spans="5:5">
      <c r="E312" s="24"/>
    </row>
    <row r="313" customHeight="1" spans="5:5">
      <c r="E313" s="24"/>
    </row>
    <row r="314" customHeight="1" spans="5:5">
      <c r="E314" s="24"/>
    </row>
    <row r="315" customHeight="1" spans="5:5">
      <c r="E315" s="24"/>
    </row>
    <row r="316" customHeight="1" spans="5:5">
      <c r="E316" s="24"/>
    </row>
    <row r="317" customHeight="1" spans="5:5">
      <c r="E317" s="24"/>
    </row>
    <row r="318" customHeight="1" spans="5:5">
      <c r="E318" s="24"/>
    </row>
    <row r="319" customHeight="1" spans="5:5">
      <c r="E319" s="24"/>
    </row>
    <row r="320" customHeight="1" spans="5:5">
      <c r="E320" s="24"/>
    </row>
    <row r="321" customHeight="1" spans="5:5">
      <c r="E321" s="24"/>
    </row>
    <row r="322" customHeight="1" spans="5:5">
      <c r="E322" s="24"/>
    </row>
    <row r="323" customHeight="1" spans="5:5">
      <c r="E323" s="24"/>
    </row>
    <row r="324" customHeight="1" spans="5:5">
      <c r="E324" s="24"/>
    </row>
    <row r="325" customHeight="1" spans="5:5">
      <c r="E325" s="24"/>
    </row>
    <row r="326" customHeight="1" spans="5:5">
      <c r="E326" s="24"/>
    </row>
    <row r="327" customHeight="1" spans="5:5">
      <c r="E327" s="24"/>
    </row>
    <row r="328" customHeight="1" spans="5:5">
      <c r="E328" s="24"/>
    </row>
    <row r="329" customHeight="1" spans="5:5">
      <c r="E329" s="24"/>
    </row>
    <row r="330" customHeight="1" spans="5:5">
      <c r="E330" s="24"/>
    </row>
    <row r="331" customHeight="1" spans="5:5">
      <c r="E331" s="24"/>
    </row>
    <row r="332" customHeight="1" spans="5:5">
      <c r="E332" s="24"/>
    </row>
    <row r="333" customHeight="1" spans="5:5">
      <c r="E333" s="24"/>
    </row>
    <row r="334" customHeight="1" spans="5:5">
      <c r="E334" s="24"/>
    </row>
    <row r="335" customHeight="1" spans="5:5">
      <c r="E335" s="24"/>
    </row>
    <row r="336" customHeight="1" spans="5:5">
      <c r="E336" s="24"/>
    </row>
    <row r="337" customHeight="1" spans="5:5">
      <c r="E337" s="24"/>
    </row>
    <row r="338" customHeight="1" spans="5:5">
      <c r="E338" s="24"/>
    </row>
    <row r="339" customHeight="1" spans="5:5">
      <c r="E339" s="24"/>
    </row>
    <row r="340" customHeight="1" spans="5:5">
      <c r="E340" s="24"/>
    </row>
    <row r="341" customHeight="1" spans="5:5">
      <c r="E341" s="24"/>
    </row>
    <row r="342" customHeight="1" spans="5:5">
      <c r="E342" s="24"/>
    </row>
    <row r="343" customHeight="1" spans="5:5">
      <c r="E343" s="24"/>
    </row>
    <row r="344" customHeight="1" spans="5:5">
      <c r="E344" s="24"/>
    </row>
    <row r="345" customHeight="1" spans="5:5">
      <c r="E345" s="24"/>
    </row>
    <row r="346" customHeight="1" spans="5:5">
      <c r="E346" s="24"/>
    </row>
    <row r="347" customHeight="1" spans="5:5">
      <c r="E347" s="24"/>
    </row>
    <row r="348" customHeight="1" spans="5:5">
      <c r="E348" s="24"/>
    </row>
    <row r="349" customHeight="1" spans="5:5">
      <c r="E349" s="24"/>
    </row>
    <row r="350" customHeight="1" spans="5:5">
      <c r="E350" s="24"/>
    </row>
    <row r="351" customHeight="1" spans="5:5">
      <c r="E351" s="24"/>
    </row>
    <row r="352" customHeight="1" spans="5:5">
      <c r="E352" s="24"/>
    </row>
    <row r="353" customHeight="1" spans="5:5">
      <c r="E353" s="24"/>
    </row>
    <row r="354" customHeight="1" spans="5:5">
      <c r="E354" s="24"/>
    </row>
    <row r="355" customHeight="1" spans="5:5">
      <c r="E355" s="24"/>
    </row>
    <row r="356" customHeight="1" spans="5:5">
      <c r="E356" s="24"/>
    </row>
    <row r="357" customHeight="1" spans="5:5">
      <c r="E357" s="24"/>
    </row>
    <row r="358" customHeight="1" spans="5:5">
      <c r="E358" s="24"/>
    </row>
    <row r="359" customHeight="1" spans="5:5">
      <c r="E359" s="24"/>
    </row>
    <row r="360" customHeight="1" spans="5:5">
      <c r="E360" s="24"/>
    </row>
    <row r="361" customHeight="1" spans="5:5">
      <c r="E361" s="24"/>
    </row>
    <row r="362" customHeight="1" spans="5:5">
      <c r="E362" s="24"/>
    </row>
    <row r="363" customHeight="1" spans="5:5">
      <c r="E363" s="24"/>
    </row>
    <row r="364" customHeight="1" spans="5:5">
      <c r="E364" s="24"/>
    </row>
    <row r="365" customHeight="1" spans="5:5">
      <c r="E365" s="24"/>
    </row>
    <row r="366" customHeight="1" spans="5:5">
      <c r="E366" s="24"/>
    </row>
    <row r="367" customHeight="1" spans="5:5">
      <c r="E367" s="24"/>
    </row>
    <row r="368" customHeight="1" spans="5:5">
      <c r="E368" s="24"/>
    </row>
    <row r="369" customHeight="1" spans="5:5">
      <c r="E369" s="24"/>
    </row>
    <row r="370" customHeight="1" spans="5:5">
      <c r="E370" s="24"/>
    </row>
    <row r="371" customHeight="1" spans="5:5">
      <c r="E371" s="24"/>
    </row>
    <row r="372" customHeight="1" spans="5:5">
      <c r="E372" s="24"/>
    </row>
    <row r="373" customHeight="1" spans="5:5">
      <c r="E373" s="24"/>
    </row>
    <row r="374" customHeight="1" spans="5:5">
      <c r="E374" s="24"/>
    </row>
    <row r="375" customHeight="1" spans="5:5">
      <c r="E375" s="24"/>
    </row>
    <row r="376" customHeight="1" spans="5:5">
      <c r="E376" s="24"/>
    </row>
    <row r="377" customHeight="1" spans="5:5">
      <c r="E377" s="24"/>
    </row>
    <row r="378" customHeight="1" spans="5:5">
      <c r="E378" s="24"/>
    </row>
    <row r="379" customHeight="1" spans="5:5">
      <c r="E379" s="24"/>
    </row>
    <row r="380" customHeight="1" spans="5:5">
      <c r="E380" s="24"/>
    </row>
    <row r="381" customHeight="1" spans="5:5">
      <c r="E381" s="24"/>
    </row>
    <row r="382" customHeight="1" spans="5:5">
      <c r="E382" s="24"/>
    </row>
    <row r="383" customHeight="1" spans="5:5">
      <c r="E383" s="24"/>
    </row>
    <row r="384" customHeight="1" spans="5:5">
      <c r="E384" s="24"/>
    </row>
    <row r="385" customHeight="1" spans="5:5">
      <c r="E385" s="24"/>
    </row>
    <row r="386" customHeight="1" spans="5:5">
      <c r="E386" s="24"/>
    </row>
    <row r="387" customHeight="1" spans="5:5">
      <c r="E387" s="24"/>
    </row>
    <row r="388" customHeight="1" spans="5:5">
      <c r="E388" s="24"/>
    </row>
    <row r="389" customHeight="1" spans="5:5">
      <c r="E389" s="24"/>
    </row>
    <row r="390" customHeight="1" spans="5:5">
      <c r="E390" s="24"/>
    </row>
    <row r="391" customHeight="1" spans="5:5">
      <c r="E391" s="24"/>
    </row>
    <row r="392" customHeight="1" spans="5:5">
      <c r="E392" s="24"/>
    </row>
    <row r="393" customHeight="1" spans="5:5">
      <c r="E393" s="24"/>
    </row>
    <row r="394" customHeight="1" spans="5:5">
      <c r="E394" s="24"/>
    </row>
    <row r="395" customHeight="1" spans="5:5">
      <c r="E395" s="24"/>
    </row>
    <row r="396" customHeight="1" spans="5:5">
      <c r="E396" s="24"/>
    </row>
    <row r="397" customHeight="1" spans="5:5">
      <c r="E397" s="24"/>
    </row>
    <row r="398" customHeight="1" spans="5:5">
      <c r="E398" s="24"/>
    </row>
    <row r="399" customHeight="1" spans="5:5">
      <c r="E399" s="24"/>
    </row>
    <row r="400" customHeight="1" spans="5:5">
      <c r="E400" s="24"/>
    </row>
    <row r="401" customHeight="1" spans="5:5">
      <c r="E401" s="24"/>
    </row>
    <row r="402" customHeight="1" spans="5:5">
      <c r="E402" s="24"/>
    </row>
    <row r="403" customHeight="1" spans="5:5">
      <c r="E403" s="24"/>
    </row>
    <row r="404" customHeight="1" spans="5:5">
      <c r="E404" s="24"/>
    </row>
    <row r="405" customHeight="1" spans="5:5">
      <c r="E405" s="24"/>
    </row>
    <row r="406" customHeight="1" spans="5:5">
      <c r="E406" s="24"/>
    </row>
    <row r="407" customHeight="1" spans="5:5">
      <c r="E407" s="24"/>
    </row>
    <row r="408" customHeight="1" spans="5:5">
      <c r="E408" s="24"/>
    </row>
    <row r="409" customHeight="1" spans="5:5">
      <c r="E409" s="24"/>
    </row>
    <row r="410" customHeight="1" spans="5:5">
      <c r="E410" s="24"/>
    </row>
    <row r="411" customHeight="1" spans="5:5">
      <c r="E411" s="24"/>
    </row>
    <row r="412" customHeight="1" spans="5:5">
      <c r="E412" s="24"/>
    </row>
    <row r="413" customHeight="1" spans="5:5">
      <c r="E413" s="24"/>
    </row>
    <row r="414" customHeight="1" spans="5:5">
      <c r="E414" s="24"/>
    </row>
    <row r="415" customHeight="1" spans="5:5">
      <c r="E415" s="24"/>
    </row>
    <row r="416" customHeight="1" spans="5:5">
      <c r="E416" s="24"/>
    </row>
    <row r="417" customHeight="1" spans="5:5">
      <c r="E417" s="24"/>
    </row>
    <row r="418" customHeight="1" spans="5:5">
      <c r="E418" s="24"/>
    </row>
    <row r="419" customHeight="1" spans="5:5">
      <c r="E419" s="24"/>
    </row>
    <row r="420" customHeight="1" spans="5:5">
      <c r="E420" s="24"/>
    </row>
    <row r="421" customHeight="1" spans="5:5">
      <c r="E421" s="24"/>
    </row>
    <row r="422" customHeight="1" spans="5:5">
      <c r="E422" s="24"/>
    </row>
    <row r="423" customHeight="1" spans="5:5">
      <c r="E423" s="24"/>
    </row>
    <row r="424" customHeight="1" spans="5:5">
      <c r="E424" s="24"/>
    </row>
    <row r="425" customHeight="1" spans="5:5">
      <c r="E425" s="24"/>
    </row>
    <row r="426" customHeight="1" spans="5:5">
      <c r="E426" s="24"/>
    </row>
    <row r="427" customHeight="1" spans="5:5">
      <c r="E427" s="24"/>
    </row>
    <row r="428" customHeight="1" spans="5:5">
      <c r="E428" s="24"/>
    </row>
    <row r="429" customHeight="1" spans="5:5">
      <c r="E429" s="24"/>
    </row>
    <row r="430" customHeight="1" spans="5:5">
      <c r="E430" s="24"/>
    </row>
    <row r="431" customHeight="1" spans="5:5">
      <c r="E431" s="24"/>
    </row>
    <row r="432" customHeight="1" spans="5:5">
      <c r="E432" s="24"/>
    </row>
    <row r="433" customHeight="1" spans="5:5">
      <c r="E433" s="24"/>
    </row>
    <row r="434" customHeight="1" spans="5:5">
      <c r="E434" s="24"/>
    </row>
    <row r="435" customHeight="1" spans="5:5">
      <c r="E435" s="24"/>
    </row>
    <row r="436" customHeight="1" spans="5:5">
      <c r="E436" s="24"/>
    </row>
    <row r="437" customHeight="1" spans="5:5">
      <c r="E437" s="24"/>
    </row>
    <row r="438" customHeight="1" spans="5:5">
      <c r="E438" s="24"/>
    </row>
    <row r="439" customHeight="1" spans="5:5">
      <c r="E439" s="24"/>
    </row>
    <row r="440" customHeight="1" spans="5:5">
      <c r="E440" s="24"/>
    </row>
    <row r="441" customHeight="1" spans="5:5">
      <c r="E441" s="24"/>
    </row>
    <row r="442" customHeight="1" spans="5:5">
      <c r="E442" s="24"/>
    </row>
    <row r="443" customHeight="1" spans="5:5">
      <c r="E443" s="24"/>
    </row>
    <row r="444" customHeight="1" spans="5:5">
      <c r="E444" s="24"/>
    </row>
    <row r="445" customHeight="1" spans="5:5">
      <c r="E445" s="24"/>
    </row>
    <row r="446" customHeight="1" spans="5:5">
      <c r="E446" s="24"/>
    </row>
    <row r="447" customHeight="1" spans="5:5">
      <c r="E447" s="24"/>
    </row>
    <row r="448" customHeight="1" spans="5:5">
      <c r="E448" s="24"/>
    </row>
    <row r="449" customHeight="1" spans="5:5">
      <c r="E449" s="24"/>
    </row>
    <row r="450" customHeight="1" spans="5:5">
      <c r="E450" s="24"/>
    </row>
    <row r="451" customHeight="1" spans="5:5">
      <c r="E451" s="24"/>
    </row>
    <row r="452" customHeight="1" spans="5:5">
      <c r="E452" s="24"/>
    </row>
    <row r="453" customHeight="1" spans="5:5">
      <c r="E453" s="24"/>
    </row>
    <row r="454" customHeight="1" spans="5:5">
      <c r="E454" s="24"/>
    </row>
    <row r="455" customHeight="1" spans="5:5">
      <c r="E455" s="24"/>
    </row>
    <row r="456" customHeight="1" spans="5:5">
      <c r="E456" s="24"/>
    </row>
    <row r="457" customHeight="1" spans="5:5">
      <c r="E457" s="24"/>
    </row>
    <row r="458" customHeight="1" spans="5:5">
      <c r="E458" s="24"/>
    </row>
    <row r="459" customHeight="1" spans="5:5">
      <c r="E459" s="24"/>
    </row>
    <row r="460" customHeight="1" spans="5:5">
      <c r="E460" s="24"/>
    </row>
    <row r="461" customHeight="1" spans="5:5">
      <c r="E461" s="24"/>
    </row>
    <row r="462" customHeight="1" spans="5:5">
      <c r="E462" s="24"/>
    </row>
    <row r="463" customHeight="1" spans="5:5">
      <c r="E463" s="24"/>
    </row>
    <row r="464" customHeight="1" spans="5:5">
      <c r="E464" s="24"/>
    </row>
    <row r="465" customHeight="1" spans="5:5">
      <c r="E465" s="24"/>
    </row>
    <row r="466" customHeight="1" spans="5:5">
      <c r="E466" s="24"/>
    </row>
    <row r="467" customHeight="1" spans="5:5">
      <c r="E467" s="24"/>
    </row>
    <row r="468" customHeight="1" spans="5:5">
      <c r="E468" s="24"/>
    </row>
    <row r="469" customHeight="1" spans="5:5">
      <c r="E469" s="24"/>
    </row>
    <row r="470" customHeight="1" spans="5:5">
      <c r="E470" s="24"/>
    </row>
    <row r="471" customHeight="1" spans="5:5">
      <c r="E471" s="24"/>
    </row>
    <row r="472" customHeight="1" spans="5:5">
      <c r="E472" s="24"/>
    </row>
    <row r="473" customHeight="1" spans="5:5">
      <c r="E473" s="24"/>
    </row>
    <row r="474" customHeight="1" spans="5:5">
      <c r="E474" s="24"/>
    </row>
    <row r="475" customHeight="1" spans="5:5">
      <c r="E475" s="24"/>
    </row>
    <row r="476" customHeight="1" spans="5:5">
      <c r="E476" s="24"/>
    </row>
    <row r="477" customHeight="1" spans="5:5">
      <c r="E477" s="24"/>
    </row>
    <row r="478" customHeight="1" spans="5:5">
      <c r="E478" s="24"/>
    </row>
    <row r="479" customHeight="1" spans="5:5">
      <c r="E479" s="24"/>
    </row>
    <row r="480" customHeight="1" spans="5:5">
      <c r="E480" s="24"/>
    </row>
    <row r="481" customHeight="1" spans="5:5">
      <c r="E481" s="24"/>
    </row>
    <row r="482" customHeight="1" spans="5:5">
      <c r="E482" s="24"/>
    </row>
    <row r="483" customHeight="1" spans="5:5">
      <c r="E483" s="24"/>
    </row>
    <row r="484" customHeight="1" spans="5:5">
      <c r="E484" s="24"/>
    </row>
    <row r="485" customHeight="1" spans="5:5">
      <c r="E485" s="24"/>
    </row>
    <row r="486" customHeight="1" spans="5:5">
      <c r="E486" s="24"/>
    </row>
    <row r="487" customHeight="1" spans="5:5">
      <c r="E487" s="24"/>
    </row>
    <row r="488" customHeight="1" spans="5:5">
      <c r="E488" s="24"/>
    </row>
    <row r="489" customHeight="1" spans="5:5">
      <c r="E489" s="24"/>
    </row>
    <row r="490" customHeight="1" spans="5:5">
      <c r="E490" s="24"/>
    </row>
    <row r="491" customHeight="1" spans="5:5">
      <c r="E491" s="24"/>
    </row>
    <row r="492" customHeight="1" spans="5:5">
      <c r="E492" s="24"/>
    </row>
    <row r="493" customHeight="1" spans="5:5">
      <c r="E493" s="24"/>
    </row>
    <row r="494" customHeight="1" spans="5:5">
      <c r="E494" s="24"/>
    </row>
    <row r="495" customHeight="1" spans="5:5">
      <c r="E495" s="24"/>
    </row>
    <row r="496" customHeight="1" spans="5:5">
      <c r="E496" s="24"/>
    </row>
    <row r="497" customHeight="1" spans="5:5">
      <c r="E497" s="24"/>
    </row>
    <row r="498" customHeight="1" spans="5:5">
      <c r="E498" s="24"/>
    </row>
    <row r="499" customHeight="1" spans="5:5">
      <c r="E499" s="24"/>
    </row>
    <row r="500" customHeight="1" spans="5:5">
      <c r="E500" s="24"/>
    </row>
    <row r="501" customHeight="1" spans="5:5">
      <c r="E501" s="24"/>
    </row>
    <row r="502" customHeight="1" spans="5:5">
      <c r="E502" s="24"/>
    </row>
    <row r="503" customHeight="1" spans="5:5">
      <c r="E503" s="24"/>
    </row>
    <row r="504" customHeight="1" spans="5:5">
      <c r="E504" s="24"/>
    </row>
    <row r="505" customHeight="1" spans="5:5">
      <c r="E505" s="24"/>
    </row>
    <row r="506" customHeight="1" spans="5:5">
      <c r="E506" s="24"/>
    </row>
    <row r="507" customHeight="1" spans="5:5">
      <c r="E507" s="24"/>
    </row>
    <row r="508" customHeight="1" spans="5:5">
      <c r="E508" s="24"/>
    </row>
    <row r="509" customHeight="1" spans="5:5">
      <c r="E509" s="24"/>
    </row>
    <row r="510" customHeight="1" spans="5:5">
      <c r="E510" s="24"/>
    </row>
    <row r="511" customHeight="1" spans="5:5">
      <c r="E511" s="24"/>
    </row>
    <row r="512" customHeight="1" spans="5:5">
      <c r="E512" s="24"/>
    </row>
    <row r="513" customHeight="1" spans="5:5">
      <c r="E513" s="24"/>
    </row>
    <row r="514" customHeight="1" spans="5:5">
      <c r="E514" s="24"/>
    </row>
    <row r="515" customHeight="1" spans="5:5">
      <c r="E515" s="24"/>
    </row>
    <row r="516" customHeight="1" spans="5:5">
      <c r="E516" s="24"/>
    </row>
    <row r="517" customHeight="1" spans="5:5">
      <c r="E517" s="24"/>
    </row>
    <row r="518" customHeight="1" spans="5:5">
      <c r="E518" s="24"/>
    </row>
    <row r="519" customHeight="1" spans="5:5">
      <c r="E519" s="24"/>
    </row>
    <row r="520" customHeight="1" spans="5:5">
      <c r="E520" s="24"/>
    </row>
    <row r="521" customHeight="1" spans="5:5">
      <c r="E521" s="24"/>
    </row>
    <row r="522" customHeight="1" spans="5:5">
      <c r="E522" s="24"/>
    </row>
    <row r="523" customHeight="1" spans="5:5">
      <c r="E523" s="24"/>
    </row>
    <row r="524" customHeight="1" spans="5:5">
      <c r="E524" s="24"/>
    </row>
    <row r="525" customHeight="1" spans="5:5">
      <c r="E525" s="24"/>
    </row>
    <row r="526" customHeight="1" spans="5:5">
      <c r="E526" s="24"/>
    </row>
    <row r="527" customHeight="1" spans="5:5">
      <c r="E527" s="24"/>
    </row>
    <row r="528" customHeight="1" spans="5:5">
      <c r="E528" s="24"/>
    </row>
    <row r="529" customHeight="1" spans="5:5">
      <c r="E529" s="24"/>
    </row>
    <row r="530" customHeight="1" spans="5:5">
      <c r="E530" s="24"/>
    </row>
    <row r="531" customHeight="1" spans="5:5">
      <c r="E531" s="24"/>
    </row>
    <row r="532" customHeight="1" spans="5:5">
      <c r="E532" s="24"/>
    </row>
    <row r="533" customHeight="1" spans="5:5">
      <c r="E533" s="24"/>
    </row>
    <row r="534" customHeight="1" spans="5:5">
      <c r="E534" s="24"/>
    </row>
    <row r="535" customHeight="1" spans="5:5">
      <c r="E535" s="24"/>
    </row>
    <row r="536" customHeight="1" spans="5:5">
      <c r="E536" s="24"/>
    </row>
    <row r="537" customHeight="1" spans="5:5">
      <c r="E537" s="24"/>
    </row>
    <row r="538" customHeight="1" spans="5:5">
      <c r="E538" s="24"/>
    </row>
    <row r="539" customHeight="1" spans="5:5">
      <c r="E539" s="24"/>
    </row>
    <row r="540" customHeight="1" spans="5:5">
      <c r="E540" s="24"/>
    </row>
    <row r="541" customHeight="1" spans="5:5">
      <c r="E541" s="24"/>
    </row>
    <row r="542" customHeight="1" spans="5:5">
      <c r="E542" s="24"/>
    </row>
    <row r="543" customHeight="1" spans="5:5">
      <c r="E543" s="24"/>
    </row>
    <row r="544" customHeight="1" spans="5:5">
      <c r="E544" s="24"/>
    </row>
    <row r="545" customHeight="1" spans="5:5">
      <c r="E545" s="24"/>
    </row>
    <row r="546" customHeight="1" spans="5:5">
      <c r="E546" s="24"/>
    </row>
    <row r="547" customHeight="1" spans="5:5">
      <c r="E547" s="24"/>
    </row>
    <row r="548" customHeight="1" spans="5:5">
      <c r="E548" s="24"/>
    </row>
    <row r="549" customHeight="1" spans="5:5">
      <c r="E549" s="24"/>
    </row>
    <row r="550" customHeight="1" spans="5:5">
      <c r="E550" s="24"/>
    </row>
    <row r="551" customHeight="1" spans="5:5">
      <c r="E551" s="24"/>
    </row>
    <row r="552" customHeight="1" spans="5:5">
      <c r="E552" s="24"/>
    </row>
    <row r="553" customHeight="1" spans="5:5">
      <c r="E553" s="24"/>
    </row>
    <row r="554" customHeight="1" spans="5:5">
      <c r="E554" s="24"/>
    </row>
    <row r="555" customHeight="1" spans="5:5">
      <c r="E555" s="24"/>
    </row>
    <row r="556" customHeight="1" spans="5:5">
      <c r="E556" s="24"/>
    </row>
    <row r="557" customHeight="1" spans="5:5">
      <c r="E557" s="24"/>
    </row>
    <row r="558" customHeight="1" spans="5:5">
      <c r="E558" s="24"/>
    </row>
    <row r="559" customHeight="1" spans="5:5">
      <c r="E559" s="24"/>
    </row>
    <row r="560" customHeight="1" spans="5:5">
      <c r="E560" s="24"/>
    </row>
    <row r="561" customHeight="1" spans="5:5">
      <c r="E561" s="24"/>
    </row>
    <row r="562" customHeight="1" spans="5:5">
      <c r="E562" s="24"/>
    </row>
    <row r="563" customHeight="1" spans="5:5">
      <c r="E563" s="24"/>
    </row>
    <row r="564" customHeight="1" spans="5:5">
      <c r="E564" s="24"/>
    </row>
    <row r="565" customHeight="1" spans="5:5">
      <c r="E565" s="24"/>
    </row>
    <row r="566" customHeight="1" spans="5:5">
      <c r="E566" s="24"/>
    </row>
    <row r="567" customHeight="1" spans="5:5">
      <c r="E567" s="24"/>
    </row>
    <row r="568" customHeight="1" spans="5:5">
      <c r="E568" s="24"/>
    </row>
    <row r="569" customHeight="1" spans="5:5">
      <c r="E569" s="24"/>
    </row>
    <row r="570" customHeight="1" spans="5:5">
      <c r="E570" s="24"/>
    </row>
    <row r="571" customHeight="1" spans="5:5">
      <c r="E571" s="24"/>
    </row>
    <row r="572" customHeight="1" spans="5:5">
      <c r="E572" s="24"/>
    </row>
    <row r="573" customHeight="1" spans="5:5">
      <c r="E573" s="24"/>
    </row>
    <row r="574" customHeight="1" spans="5:5">
      <c r="E574" s="24"/>
    </row>
    <row r="575" customHeight="1" spans="5:5">
      <c r="E575" s="24"/>
    </row>
    <row r="576" customHeight="1" spans="5:5">
      <c r="E576" s="24"/>
    </row>
    <row r="577" customHeight="1" spans="5:5">
      <c r="E577" s="24"/>
    </row>
    <row r="578" customHeight="1" spans="5:5">
      <c r="E578" s="24"/>
    </row>
    <row r="579" customHeight="1" spans="5:5">
      <c r="E579" s="24"/>
    </row>
    <row r="580" customHeight="1" spans="5:5">
      <c r="E580" s="24"/>
    </row>
    <row r="581" customHeight="1" spans="5:5">
      <c r="E581" s="24"/>
    </row>
    <row r="582" customHeight="1" spans="5:5">
      <c r="E582" s="24"/>
    </row>
    <row r="583" customHeight="1" spans="5:5">
      <c r="E583" s="24"/>
    </row>
    <row r="584" customHeight="1" spans="5:5">
      <c r="E584" s="24"/>
    </row>
    <row r="585" customHeight="1" spans="5:5">
      <c r="E585" s="24"/>
    </row>
    <row r="586" customHeight="1" spans="5:5">
      <c r="E586" s="24"/>
    </row>
    <row r="587" customHeight="1" spans="5:5">
      <c r="E587" s="24"/>
    </row>
    <row r="588" customHeight="1" spans="5:5">
      <c r="E588" s="24"/>
    </row>
    <row r="589" customHeight="1" spans="5:5">
      <c r="E589" s="24"/>
    </row>
    <row r="590" customHeight="1" spans="5:5">
      <c r="E590" s="24"/>
    </row>
    <row r="591" customHeight="1" spans="5:5">
      <c r="E591" s="24"/>
    </row>
    <row r="592" customHeight="1" spans="5:5">
      <c r="E592" s="24"/>
    </row>
    <row r="593" customHeight="1" spans="5:5">
      <c r="E593" s="24"/>
    </row>
    <row r="594" customHeight="1" spans="5:5">
      <c r="E594" s="24"/>
    </row>
    <row r="595" customHeight="1" spans="5:5">
      <c r="E595" s="24"/>
    </row>
    <row r="596" customHeight="1" spans="5:5">
      <c r="E596" s="24"/>
    </row>
    <row r="597" customHeight="1" spans="5:5">
      <c r="E597" s="24"/>
    </row>
    <row r="598" customHeight="1" spans="5:5">
      <c r="E598" s="24"/>
    </row>
    <row r="599" customHeight="1" spans="5:5">
      <c r="E599" s="24"/>
    </row>
    <row r="600" customHeight="1" spans="5:5">
      <c r="E600" s="24"/>
    </row>
    <row r="601" customHeight="1" spans="5:5">
      <c r="E601" s="24"/>
    </row>
    <row r="602" customHeight="1" spans="5:5">
      <c r="E602" s="24"/>
    </row>
    <row r="603" customHeight="1" spans="5:5">
      <c r="E603" s="24"/>
    </row>
    <row r="604" customHeight="1" spans="5:5">
      <c r="E604" s="24"/>
    </row>
    <row r="605" customHeight="1" spans="5:5">
      <c r="E605" s="24"/>
    </row>
    <row r="606" customHeight="1" spans="5:5">
      <c r="E606" s="24"/>
    </row>
    <row r="607" customHeight="1" spans="5:5">
      <c r="E607" s="24"/>
    </row>
    <row r="608" customHeight="1" spans="5:5">
      <c r="E608" s="24"/>
    </row>
    <row r="609" customHeight="1" spans="5:5">
      <c r="E609" s="24"/>
    </row>
    <row r="610" customHeight="1" spans="5:5">
      <c r="E610" s="24"/>
    </row>
    <row r="611" customHeight="1" spans="5:5">
      <c r="E611" s="24"/>
    </row>
    <row r="612" customHeight="1" spans="5:5">
      <c r="E612" s="24"/>
    </row>
    <row r="613" customHeight="1" spans="5:5">
      <c r="E613" s="24"/>
    </row>
    <row r="614" customHeight="1" spans="5:5">
      <c r="E614" s="24"/>
    </row>
    <row r="615" customHeight="1" spans="5:5">
      <c r="E615" s="24"/>
    </row>
    <row r="616" customHeight="1" spans="5:5">
      <c r="E616" s="24"/>
    </row>
    <row r="617" customHeight="1" spans="5:5">
      <c r="E617" s="24"/>
    </row>
    <row r="618" customHeight="1" spans="5:5">
      <c r="E618" s="24"/>
    </row>
    <row r="619" customHeight="1" spans="5:5">
      <c r="E619" s="24"/>
    </row>
    <row r="620" customHeight="1" spans="5:5">
      <c r="E620" s="24"/>
    </row>
    <row r="621" customHeight="1" spans="5:5">
      <c r="E621" s="24"/>
    </row>
    <row r="622" customHeight="1" spans="5:5">
      <c r="E622" s="24"/>
    </row>
    <row r="623" customHeight="1" spans="5:5">
      <c r="E623" s="24"/>
    </row>
    <row r="624" customHeight="1" spans="5:5">
      <c r="E624" s="24"/>
    </row>
    <row r="625" customHeight="1" spans="5:5">
      <c r="E625" s="24"/>
    </row>
    <row r="626" customHeight="1" spans="5:5">
      <c r="E626" s="24"/>
    </row>
    <row r="627" customHeight="1" spans="5:5">
      <c r="E627" s="24"/>
    </row>
    <row r="628" customHeight="1" spans="5:5">
      <c r="E628" s="24"/>
    </row>
    <row r="629" customHeight="1" spans="5:5">
      <c r="E629" s="24"/>
    </row>
    <row r="630" customHeight="1" spans="5:5">
      <c r="E630" s="24"/>
    </row>
    <row r="631" customHeight="1" spans="5:5">
      <c r="E631" s="24"/>
    </row>
    <row r="632" customHeight="1" spans="5:5">
      <c r="E632" s="24"/>
    </row>
    <row r="633" customHeight="1" spans="5:5">
      <c r="E633" s="24"/>
    </row>
    <row r="634" customHeight="1" spans="5:5">
      <c r="E634" s="24"/>
    </row>
    <row r="635" customHeight="1" spans="5:5">
      <c r="E635" s="24"/>
    </row>
    <row r="636" customHeight="1" spans="5:5">
      <c r="E636" s="24"/>
    </row>
    <row r="637" customHeight="1" spans="5:5">
      <c r="E637" s="24"/>
    </row>
    <row r="638" customHeight="1" spans="5:5">
      <c r="E638" s="24"/>
    </row>
    <row r="639" customHeight="1" spans="5:5">
      <c r="E639" s="24"/>
    </row>
    <row r="640" customHeight="1" spans="5:5">
      <c r="E640" s="24"/>
    </row>
    <row r="641" customHeight="1" spans="5:5">
      <c r="E641" s="24"/>
    </row>
    <row r="642" customHeight="1" spans="5:5">
      <c r="E642" s="24"/>
    </row>
    <row r="643" customHeight="1" spans="5:5">
      <c r="E643" s="24"/>
    </row>
    <row r="644" customHeight="1" spans="5:5">
      <c r="E644" s="24"/>
    </row>
    <row r="645" customHeight="1" spans="5:5">
      <c r="E645" s="24"/>
    </row>
    <row r="646" customHeight="1" spans="5:5">
      <c r="E646" s="24"/>
    </row>
    <row r="647" customHeight="1" spans="5:5">
      <c r="E647" s="24"/>
    </row>
    <row r="648" customHeight="1" spans="5:5">
      <c r="E648" s="24"/>
    </row>
    <row r="649" customHeight="1" spans="5:5">
      <c r="E649" s="24"/>
    </row>
    <row r="650" customHeight="1" spans="5:5">
      <c r="E650" s="24"/>
    </row>
    <row r="651" customHeight="1" spans="5:5">
      <c r="E651" s="24"/>
    </row>
    <row r="652" customHeight="1" spans="5:5">
      <c r="E652" s="24"/>
    </row>
    <row r="653" customHeight="1" spans="5:5">
      <c r="E653" s="24"/>
    </row>
    <row r="654" customHeight="1" spans="5:5">
      <c r="E654" s="24"/>
    </row>
    <row r="655" customHeight="1" spans="5:5">
      <c r="E655" s="24"/>
    </row>
    <row r="656" customHeight="1" spans="5:5">
      <c r="E656" s="24"/>
    </row>
    <row r="657" customHeight="1" spans="5:5">
      <c r="E657" s="24"/>
    </row>
    <row r="658" customHeight="1" spans="5:5">
      <c r="E658" s="24"/>
    </row>
    <row r="659" customHeight="1" spans="5:5">
      <c r="E659" s="24"/>
    </row>
    <row r="660" customHeight="1" spans="5:5">
      <c r="E660" s="24"/>
    </row>
    <row r="661" customHeight="1" spans="5:5">
      <c r="E661" s="24"/>
    </row>
    <row r="662" customHeight="1" spans="5:5">
      <c r="E662" s="24"/>
    </row>
    <row r="663" customHeight="1" spans="5:5">
      <c r="E663" s="24"/>
    </row>
    <row r="664" customHeight="1" spans="5:5">
      <c r="E664" s="24"/>
    </row>
    <row r="665" customHeight="1" spans="5:5">
      <c r="E665" s="24"/>
    </row>
    <row r="666" customHeight="1" spans="5:5">
      <c r="E666" s="24"/>
    </row>
    <row r="667" customHeight="1" spans="5:5">
      <c r="E667" s="24"/>
    </row>
    <row r="668" customHeight="1" spans="5:5">
      <c r="E668" s="24"/>
    </row>
    <row r="669" customHeight="1" spans="5:5">
      <c r="E669" s="24"/>
    </row>
    <row r="670" customHeight="1" spans="5:5">
      <c r="E670" s="24"/>
    </row>
    <row r="671" customHeight="1" spans="5:5">
      <c r="E671" s="24"/>
    </row>
    <row r="672" customHeight="1" spans="5:5">
      <c r="E672" s="24"/>
    </row>
    <row r="673" customHeight="1" spans="5:5">
      <c r="E673" s="24"/>
    </row>
    <row r="674" customHeight="1" spans="5:5">
      <c r="E674" s="24"/>
    </row>
    <row r="675" customHeight="1" spans="5:5">
      <c r="E675" s="24"/>
    </row>
    <row r="676" customHeight="1" spans="5:5">
      <c r="E676" s="24"/>
    </row>
    <row r="677" customHeight="1" spans="5:5">
      <c r="E677" s="24"/>
    </row>
    <row r="678" customHeight="1" spans="5:5">
      <c r="E678" s="24"/>
    </row>
    <row r="679" customHeight="1" spans="5:5">
      <c r="E679" s="24"/>
    </row>
    <row r="680" customHeight="1" spans="5:5">
      <c r="E680" s="24"/>
    </row>
    <row r="681" customHeight="1" spans="5:5">
      <c r="E681" s="24"/>
    </row>
    <row r="682" customHeight="1" spans="5:5">
      <c r="E682" s="24"/>
    </row>
    <row r="683" customHeight="1" spans="5:5">
      <c r="E683" s="24"/>
    </row>
    <row r="684" customHeight="1" spans="5:5">
      <c r="E684" s="24"/>
    </row>
    <row r="685" customHeight="1" spans="5:5">
      <c r="E685" s="24"/>
    </row>
    <row r="686" customHeight="1" spans="5:5">
      <c r="E686" s="24"/>
    </row>
    <row r="687" customHeight="1" spans="5:5">
      <c r="E687" s="24"/>
    </row>
    <row r="688" customHeight="1" spans="5:5">
      <c r="E688" s="24"/>
    </row>
    <row r="689" customHeight="1" spans="5:5">
      <c r="E689" s="24"/>
    </row>
    <row r="690" customHeight="1" spans="5:5">
      <c r="E690" s="24"/>
    </row>
    <row r="691" customHeight="1" spans="5:5">
      <c r="E691" s="24"/>
    </row>
    <row r="692" customHeight="1" spans="5:5">
      <c r="E692" s="24"/>
    </row>
    <row r="693" customHeight="1" spans="5:5">
      <c r="E693" s="24"/>
    </row>
    <row r="694" customHeight="1" spans="5:5">
      <c r="E694" s="24"/>
    </row>
    <row r="695" customHeight="1" spans="5:5">
      <c r="E695" s="24"/>
    </row>
    <row r="696" customHeight="1" spans="5:5">
      <c r="E696" s="24"/>
    </row>
    <row r="697" customHeight="1" spans="5:5">
      <c r="E697" s="24"/>
    </row>
    <row r="698" customHeight="1" spans="5:5">
      <c r="E698" s="24"/>
    </row>
    <row r="699" customHeight="1" spans="5:5">
      <c r="E699" s="24"/>
    </row>
    <row r="700" customHeight="1" spans="5:5">
      <c r="E700" s="24"/>
    </row>
    <row r="701" customHeight="1" spans="5:5">
      <c r="E701" s="24"/>
    </row>
    <row r="702" customHeight="1" spans="5:5">
      <c r="E702" s="24"/>
    </row>
    <row r="703" customHeight="1" spans="5:5">
      <c r="E703" s="24"/>
    </row>
    <row r="704" customHeight="1" spans="5:5">
      <c r="E704" s="24"/>
    </row>
    <row r="705" customHeight="1" spans="5:5">
      <c r="E705" s="24"/>
    </row>
    <row r="706" customHeight="1" spans="5:5">
      <c r="E706" s="24"/>
    </row>
    <row r="707" customHeight="1" spans="5:5">
      <c r="E707" s="24"/>
    </row>
    <row r="708" customHeight="1" spans="5:5">
      <c r="E708" s="24"/>
    </row>
    <row r="709" customHeight="1" spans="5:5">
      <c r="E709" s="24"/>
    </row>
    <row r="710" customHeight="1" spans="5:5">
      <c r="E710" s="24"/>
    </row>
    <row r="711" customHeight="1" spans="5:5">
      <c r="E711" s="24"/>
    </row>
    <row r="712" customHeight="1" spans="5:5">
      <c r="E712" s="24"/>
    </row>
    <row r="713" customHeight="1" spans="5:5">
      <c r="E713" s="24"/>
    </row>
    <row r="714" customHeight="1" spans="5:5">
      <c r="E714" s="24"/>
    </row>
    <row r="715" customHeight="1" spans="5:5">
      <c r="E715" s="24"/>
    </row>
    <row r="716" customHeight="1" spans="5:5">
      <c r="E716" s="24"/>
    </row>
    <row r="717" customHeight="1" spans="5:5">
      <c r="E717" s="24"/>
    </row>
    <row r="718" customHeight="1" spans="5:5">
      <c r="E718" s="24"/>
    </row>
    <row r="719" customHeight="1" spans="5:5">
      <c r="E719" s="24"/>
    </row>
    <row r="720" customHeight="1" spans="5:5">
      <c r="E720" s="24"/>
    </row>
    <row r="721" customHeight="1" spans="5:5">
      <c r="E721" s="24"/>
    </row>
    <row r="722" customHeight="1" spans="5:5">
      <c r="E722" s="24"/>
    </row>
    <row r="723" customHeight="1" spans="5:5">
      <c r="E723" s="24"/>
    </row>
    <row r="724" customHeight="1" spans="5:5">
      <c r="E724" s="24"/>
    </row>
    <row r="725" customHeight="1" spans="5:5">
      <c r="E725" s="24"/>
    </row>
    <row r="726" customHeight="1" spans="5:5">
      <c r="E726" s="24"/>
    </row>
    <row r="727" customHeight="1" spans="5:5">
      <c r="E727" s="24"/>
    </row>
    <row r="728" customHeight="1" spans="5:5">
      <c r="E728" s="24"/>
    </row>
    <row r="729" customHeight="1" spans="5:5">
      <c r="E729" s="24"/>
    </row>
    <row r="730" customHeight="1" spans="5:5">
      <c r="E730" s="24"/>
    </row>
    <row r="731" customHeight="1" spans="5:5">
      <c r="E731" s="24"/>
    </row>
    <row r="732" customHeight="1" spans="5:5">
      <c r="E732" s="24"/>
    </row>
    <row r="733" customHeight="1" spans="5:5">
      <c r="E733" s="24"/>
    </row>
    <row r="734" customHeight="1" spans="5:5">
      <c r="E734" s="24"/>
    </row>
    <row r="735" customHeight="1" spans="5:5">
      <c r="E735" s="24"/>
    </row>
    <row r="736" customHeight="1" spans="5:5">
      <c r="E736" s="24"/>
    </row>
    <row r="737" customHeight="1" spans="5:5">
      <c r="E737" s="24"/>
    </row>
    <row r="738" customHeight="1" spans="5:5">
      <c r="E738" s="24"/>
    </row>
    <row r="739" customHeight="1" spans="5:5">
      <c r="E739" s="24"/>
    </row>
    <row r="740" customHeight="1" spans="5:5">
      <c r="E740" s="24"/>
    </row>
    <row r="741" customHeight="1" spans="5:5">
      <c r="E741" s="24"/>
    </row>
    <row r="742" customHeight="1" spans="5:5">
      <c r="E742" s="24"/>
    </row>
    <row r="743" customHeight="1" spans="5:5">
      <c r="E743" s="24"/>
    </row>
    <row r="744" customHeight="1" spans="5:5">
      <c r="E744" s="24"/>
    </row>
    <row r="745" customHeight="1" spans="5:5">
      <c r="E745" s="24"/>
    </row>
    <row r="746" customHeight="1" spans="5:5">
      <c r="E746" s="24"/>
    </row>
    <row r="747" customHeight="1" spans="5:5">
      <c r="E747" s="24"/>
    </row>
    <row r="748" customHeight="1" spans="5:5">
      <c r="E748" s="24"/>
    </row>
    <row r="749" customHeight="1" spans="5:5">
      <c r="E749" s="24"/>
    </row>
    <row r="750" customHeight="1" spans="5:5">
      <c r="E750" s="24"/>
    </row>
    <row r="751" customHeight="1" spans="5:5">
      <c r="E751" s="24"/>
    </row>
    <row r="752" customHeight="1" spans="5:5">
      <c r="E752" s="24"/>
    </row>
    <row r="753" customHeight="1" spans="5:5">
      <c r="E753" s="24"/>
    </row>
    <row r="754" customHeight="1" spans="5:5">
      <c r="E754" s="24"/>
    </row>
    <row r="755" customHeight="1" spans="5:5">
      <c r="E755" s="24"/>
    </row>
    <row r="756" customHeight="1" spans="5:5">
      <c r="E756" s="24"/>
    </row>
    <row r="757" customHeight="1" spans="5:5">
      <c r="E757" s="24"/>
    </row>
    <row r="758" customHeight="1" spans="5:5">
      <c r="E758" s="24"/>
    </row>
    <row r="759" customHeight="1" spans="5:5">
      <c r="E759" s="24"/>
    </row>
    <row r="760" customHeight="1" spans="5:5">
      <c r="E760" s="24"/>
    </row>
    <row r="761" customHeight="1" spans="5:5">
      <c r="E761" s="24"/>
    </row>
    <row r="762" customHeight="1" spans="5:5">
      <c r="E762" s="24"/>
    </row>
    <row r="763" customHeight="1" spans="5:5">
      <c r="E763" s="24"/>
    </row>
    <row r="764" customHeight="1" spans="5:5">
      <c r="E764" s="24"/>
    </row>
    <row r="765" customHeight="1" spans="5:5">
      <c r="E765" s="24"/>
    </row>
    <row r="766" customHeight="1" spans="5:5">
      <c r="E766" s="24"/>
    </row>
    <row r="767" customHeight="1" spans="5:5">
      <c r="E767" s="24"/>
    </row>
    <row r="768" customHeight="1" spans="5:5">
      <c r="E768" s="24"/>
    </row>
    <row r="769" customHeight="1" spans="5:5">
      <c r="E769" s="24"/>
    </row>
    <row r="770" customHeight="1" spans="5:5">
      <c r="E770" s="24"/>
    </row>
    <row r="771" customHeight="1" spans="5:5">
      <c r="E771" s="24"/>
    </row>
    <row r="772" customHeight="1" spans="5:5">
      <c r="E772" s="24"/>
    </row>
    <row r="773" customHeight="1" spans="5:5">
      <c r="E773" s="24"/>
    </row>
    <row r="774" customHeight="1" spans="5:5">
      <c r="E774" s="24"/>
    </row>
    <row r="775" customHeight="1" spans="5:5">
      <c r="E775" s="24"/>
    </row>
    <row r="776" customHeight="1" spans="5:5">
      <c r="E776" s="24"/>
    </row>
    <row r="777" customHeight="1" spans="5:5">
      <c r="E777" s="24"/>
    </row>
    <row r="778" customHeight="1" spans="5:5">
      <c r="E778" s="24"/>
    </row>
    <row r="779" customHeight="1" spans="5:5">
      <c r="E779" s="24"/>
    </row>
    <row r="780" customHeight="1" spans="5:5">
      <c r="E780" s="24"/>
    </row>
    <row r="781" customHeight="1" spans="5:5">
      <c r="E781" s="24"/>
    </row>
    <row r="782" customHeight="1" spans="5:5">
      <c r="E782" s="24"/>
    </row>
    <row r="783" customHeight="1" spans="5:5">
      <c r="E783" s="24"/>
    </row>
    <row r="784" customHeight="1" spans="5:5">
      <c r="E784" s="24"/>
    </row>
    <row r="785" customHeight="1" spans="5:5">
      <c r="E785" s="24"/>
    </row>
    <row r="786" customHeight="1" spans="5:5">
      <c r="E786" s="24"/>
    </row>
    <row r="787" customHeight="1" spans="5:5">
      <c r="E787" s="24"/>
    </row>
    <row r="788" customHeight="1" spans="5:5">
      <c r="E788" s="24"/>
    </row>
    <row r="789" customHeight="1" spans="5:5">
      <c r="E789" s="24"/>
    </row>
    <row r="790" customHeight="1" spans="5:5">
      <c r="E790" s="24"/>
    </row>
    <row r="791" customHeight="1" spans="5:5">
      <c r="E791" s="24"/>
    </row>
    <row r="792" customHeight="1" spans="5:5">
      <c r="E792" s="24"/>
    </row>
    <row r="793" customHeight="1" spans="5:5">
      <c r="E793" s="24"/>
    </row>
    <row r="794" customHeight="1" spans="5:5">
      <c r="E794" s="24"/>
    </row>
    <row r="795" customHeight="1" spans="5:5">
      <c r="E795" s="24"/>
    </row>
    <row r="796" customHeight="1" spans="5:5">
      <c r="E796" s="24"/>
    </row>
    <row r="797" customHeight="1" spans="5:5">
      <c r="E797" s="24"/>
    </row>
    <row r="798" customHeight="1" spans="5:5">
      <c r="E798" s="24"/>
    </row>
    <row r="799" customHeight="1" spans="5:5">
      <c r="E799" s="24"/>
    </row>
    <row r="800" customHeight="1" spans="5:5">
      <c r="E800" s="24"/>
    </row>
    <row r="801" customHeight="1" spans="5:5">
      <c r="E801" s="24"/>
    </row>
    <row r="802" customHeight="1" spans="5:5">
      <c r="E802" s="24"/>
    </row>
    <row r="803" customHeight="1" spans="5:5">
      <c r="E803" s="24"/>
    </row>
    <row r="804" customHeight="1" spans="5:5">
      <c r="E804" s="24"/>
    </row>
    <row r="805" customHeight="1" spans="5:5">
      <c r="E805" s="24"/>
    </row>
    <row r="806" customHeight="1" spans="5:5">
      <c r="E806" s="24"/>
    </row>
    <row r="807" customHeight="1" spans="5:5">
      <c r="E807" s="24"/>
    </row>
    <row r="808" customHeight="1" spans="5:5">
      <c r="E808" s="24"/>
    </row>
    <row r="809" customHeight="1" spans="5:5">
      <c r="E809" s="24"/>
    </row>
    <row r="810" customHeight="1" spans="5:5">
      <c r="E810" s="24"/>
    </row>
    <row r="811" customHeight="1" spans="5:5">
      <c r="E811" s="24"/>
    </row>
    <row r="812" customHeight="1" spans="5:5">
      <c r="E812" s="24"/>
    </row>
    <row r="813" customHeight="1" spans="5:5">
      <c r="E813" s="24"/>
    </row>
    <row r="814" customHeight="1" spans="5:5">
      <c r="E814" s="24"/>
    </row>
    <row r="815" customHeight="1" spans="5:5">
      <c r="E815" s="24"/>
    </row>
    <row r="816" customHeight="1" spans="5:5">
      <c r="E816" s="24"/>
    </row>
    <row r="817" customHeight="1" spans="5:5">
      <c r="E817" s="24"/>
    </row>
    <row r="818" customHeight="1" spans="5:5">
      <c r="E818" s="24"/>
    </row>
    <row r="819" customHeight="1" spans="5:5">
      <c r="E819" s="24"/>
    </row>
    <row r="820" customHeight="1" spans="5:5">
      <c r="E820" s="24"/>
    </row>
    <row r="821" customHeight="1" spans="5:5">
      <c r="E821" s="24"/>
    </row>
    <row r="822" customHeight="1" spans="5:5">
      <c r="E822" s="24"/>
    </row>
    <row r="823" customHeight="1" spans="5:5">
      <c r="E823" s="24"/>
    </row>
    <row r="824" customHeight="1" spans="5:5">
      <c r="E824" s="24"/>
    </row>
    <row r="825" customHeight="1" spans="5:5">
      <c r="E825" s="24"/>
    </row>
    <row r="826" customHeight="1" spans="5:5">
      <c r="E826" s="24"/>
    </row>
    <row r="827" customHeight="1" spans="5:5">
      <c r="E827" s="24"/>
    </row>
    <row r="828" customHeight="1" spans="5:5">
      <c r="E828" s="24"/>
    </row>
    <row r="829" customHeight="1" spans="5:5">
      <c r="E829" s="24"/>
    </row>
    <row r="830" customHeight="1" spans="5:5">
      <c r="E830" s="24"/>
    </row>
    <row r="831" customHeight="1" spans="5:5">
      <c r="E831" s="24"/>
    </row>
    <row r="832" customHeight="1" spans="5:5">
      <c r="E832" s="24"/>
    </row>
    <row r="833" customHeight="1" spans="5:5">
      <c r="E833" s="24"/>
    </row>
    <row r="834" customHeight="1" spans="5:5">
      <c r="E834" s="24"/>
    </row>
    <row r="835" customHeight="1" spans="5:5">
      <c r="E835" s="24"/>
    </row>
    <row r="836" customHeight="1" spans="5:5">
      <c r="E836" s="24"/>
    </row>
    <row r="837" customHeight="1" spans="5:5">
      <c r="E837" s="24"/>
    </row>
    <row r="838" customHeight="1" spans="5:5">
      <c r="E838" s="24"/>
    </row>
    <row r="839" customHeight="1" spans="5:5">
      <c r="E839" s="24"/>
    </row>
    <row r="840" customHeight="1" spans="5:5">
      <c r="E840" s="24"/>
    </row>
    <row r="841" customHeight="1" spans="5:5">
      <c r="E841" s="24"/>
    </row>
    <row r="842" customHeight="1" spans="5:5">
      <c r="E842" s="24"/>
    </row>
    <row r="843" customHeight="1" spans="5:5">
      <c r="E843" s="24"/>
    </row>
    <row r="844" customHeight="1" spans="5:5">
      <c r="E844" s="24"/>
    </row>
    <row r="845" customHeight="1" spans="5:5">
      <c r="E845" s="24"/>
    </row>
    <row r="846" customHeight="1" spans="5:5">
      <c r="E846" s="24"/>
    </row>
    <row r="847" customHeight="1" spans="5:5">
      <c r="E847" s="24"/>
    </row>
    <row r="848" customHeight="1" spans="5:5">
      <c r="E848" s="24"/>
    </row>
    <row r="849" customHeight="1" spans="5:5">
      <c r="E849" s="24"/>
    </row>
    <row r="850" customHeight="1" spans="5:5">
      <c r="E850" s="24"/>
    </row>
    <row r="851" customHeight="1" spans="5:5">
      <c r="E851" s="24"/>
    </row>
    <row r="852" customHeight="1" spans="5:5">
      <c r="E852" s="24"/>
    </row>
    <row r="853" customHeight="1" spans="5:5">
      <c r="E853" s="24"/>
    </row>
    <row r="854" customHeight="1" spans="5:5">
      <c r="E854" s="24"/>
    </row>
    <row r="855" customHeight="1" spans="5:5">
      <c r="E855" s="24"/>
    </row>
    <row r="856" customHeight="1" spans="5:5">
      <c r="E856" s="24"/>
    </row>
    <row r="857" customHeight="1" spans="5:5">
      <c r="E857" s="24"/>
    </row>
    <row r="858" customHeight="1" spans="5:5">
      <c r="E858" s="24"/>
    </row>
    <row r="859" customHeight="1" spans="5:5">
      <c r="E859" s="24"/>
    </row>
    <row r="860" customHeight="1" spans="5:5">
      <c r="E860" s="24"/>
    </row>
    <row r="861" customHeight="1" spans="5:5">
      <c r="E861" s="24"/>
    </row>
    <row r="862" customHeight="1" spans="5:5">
      <c r="E862" s="24"/>
    </row>
    <row r="863" customHeight="1" spans="5:5">
      <c r="E863" s="24"/>
    </row>
    <row r="864" customHeight="1" spans="5:5">
      <c r="E864" s="24"/>
    </row>
    <row r="865" customHeight="1" spans="5:5">
      <c r="E865" s="24"/>
    </row>
    <row r="866" customHeight="1" spans="5:5">
      <c r="E866" s="24"/>
    </row>
    <row r="867" customHeight="1" spans="5:5">
      <c r="E867" s="24"/>
    </row>
    <row r="868" customHeight="1" spans="5:5">
      <c r="E868" s="24"/>
    </row>
    <row r="869" customHeight="1" spans="5:5">
      <c r="E869" s="24"/>
    </row>
    <row r="870" customHeight="1" spans="5:5">
      <c r="E870" s="24"/>
    </row>
    <row r="871" customHeight="1" spans="5:5">
      <c r="E871" s="24"/>
    </row>
    <row r="872" customHeight="1" spans="5:5">
      <c r="E872" s="24"/>
    </row>
    <row r="873" customHeight="1" spans="5:5">
      <c r="E873" s="24"/>
    </row>
    <row r="874" customHeight="1" spans="5:5">
      <c r="E874" s="24"/>
    </row>
    <row r="875" customHeight="1" spans="5:5">
      <c r="E875" s="24"/>
    </row>
    <row r="876" customHeight="1" spans="5:5">
      <c r="E876" s="24"/>
    </row>
    <row r="877" customHeight="1" spans="5:5">
      <c r="E877" s="24"/>
    </row>
    <row r="878" customHeight="1" spans="5:5">
      <c r="E878" s="24"/>
    </row>
    <row r="879" customHeight="1" spans="5:5">
      <c r="E879" s="24"/>
    </row>
    <row r="880" customHeight="1" spans="5:5">
      <c r="E880" s="24"/>
    </row>
    <row r="881" customHeight="1" spans="5:5">
      <c r="E881" s="24"/>
    </row>
    <row r="882" customHeight="1" spans="5:5">
      <c r="E882" s="24"/>
    </row>
    <row r="883" customHeight="1" spans="5:5">
      <c r="E883" s="24"/>
    </row>
    <row r="884" customHeight="1" spans="5:5">
      <c r="E884" s="24"/>
    </row>
    <row r="885" customHeight="1" spans="5:5">
      <c r="E885" s="24"/>
    </row>
    <row r="886" customHeight="1" spans="5:5">
      <c r="E886" s="24"/>
    </row>
    <row r="887" customHeight="1" spans="5:5">
      <c r="E887" s="24"/>
    </row>
    <row r="888" customHeight="1" spans="5:5">
      <c r="E888" s="24"/>
    </row>
    <row r="889" customHeight="1" spans="5:5">
      <c r="E889" s="24"/>
    </row>
    <row r="890" customHeight="1" spans="5:5">
      <c r="E890" s="24"/>
    </row>
    <row r="891" customHeight="1" spans="5:5">
      <c r="E891" s="24"/>
    </row>
    <row r="892" customHeight="1" spans="5:5">
      <c r="E892" s="24"/>
    </row>
    <row r="893" customHeight="1" spans="5:5">
      <c r="E893" s="24"/>
    </row>
    <row r="894" customHeight="1" spans="5:5">
      <c r="E894" s="24"/>
    </row>
    <row r="895" customHeight="1" spans="5:5">
      <c r="E895" s="24"/>
    </row>
    <row r="896" customHeight="1" spans="5:5">
      <c r="E896" s="24"/>
    </row>
    <row r="897" customHeight="1" spans="5:5">
      <c r="E897" s="24"/>
    </row>
    <row r="898" customHeight="1" spans="5:5">
      <c r="E898" s="24"/>
    </row>
    <row r="899" customHeight="1" spans="5:5">
      <c r="E899" s="24"/>
    </row>
    <row r="900" customHeight="1" spans="5:5">
      <c r="E900" s="24"/>
    </row>
    <row r="901" customHeight="1" spans="5:5">
      <c r="E901" s="24"/>
    </row>
    <row r="902" customHeight="1" spans="5:5">
      <c r="E902" s="24"/>
    </row>
    <row r="903" customHeight="1" spans="5:5">
      <c r="E903" s="24"/>
    </row>
    <row r="904" customHeight="1" spans="5:5">
      <c r="E904" s="24"/>
    </row>
    <row r="905" customHeight="1" spans="5:5">
      <c r="E905" s="24"/>
    </row>
    <row r="906" customHeight="1" spans="5:5">
      <c r="E906" s="24"/>
    </row>
    <row r="907" customHeight="1" spans="5:5">
      <c r="E907" s="24"/>
    </row>
    <row r="908" customHeight="1" spans="5:5">
      <c r="E908" s="24"/>
    </row>
    <row r="909" customHeight="1" spans="5:5">
      <c r="E909" s="24"/>
    </row>
    <row r="910" customHeight="1" spans="5:5">
      <c r="E910" s="24"/>
    </row>
    <row r="911" customHeight="1" spans="5:5">
      <c r="E911" s="24"/>
    </row>
    <row r="912" customHeight="1" spans="5:5">
      <c r="E912" s="24"/>
    </row>
    <row r="913" customHeight="1" spans="5:5">
      <c r="E913" s="24"/>
    </row>
    <row r="914" customHeight="1" spans="5:5">
      <c r="E914" s="24"/>
    </row>
    <row r="915" customHeight="1" spans="5:5">
      <c r="E915" s="24"/>
    </row>
    <row r="916" customHeight="1" spans="5:5">
      <c r="E916" s="24"/>
    </row>
    <row r="917" customHeight="1" spans="5:5">
      <c r="E917" s="24"/>
    </row>
    <row r="918" customHeight="1" spans="5:5">
      <c r="E918" s="24"/>
    </row>
    <row r="919" customHeight="1" spans="5:5">
      <c r="E919" s="24"/>
    </row>
    <row r="920" customHeight="1" spans="5:5">
      <c r="E920" s="24"/>
    </row>
    <row r="921" customHeight="1" spans="5:5">
      <c r="E921" s="24"/>
    </row>
    <row r="922" customHeight="1" spans="5:5">
      <c r="E922" s="24"/>
    </row>
    <row r="923" customHeight="1" spans="5:5">
      <c r="E923" s="24"/>
    </row>
    <row r="924" customHeight="1" spans="5:5">
      <c r="E924" s="24"/>
    </row>
    <row r="925" customHeight="1" spans="5:5">
      <c r="E925" s="24"/>
    </row>
    <row r="926" customHeight="1" spans="5:5">
      <c r="E926" s="24"/>
    </row>
    <row r="927" customHeight="1" spans="5:5">
      <c r="E927" s="24"/>
    </row>
    <row r="928" customHeight="1" spans="5:5">
      <c r="E928" s="24"/>
    </row>
    <row r="929" customHeight="1" spans="5:5">
      <c r="E929" s="24"/>
    </row>
    <row r="930" customHeight="1" spans="5:5">
      <c r="E930" s="24"/>
    </row>
    <row r="931" customHeight="1" spans="5:5">
      <c r="E931" s="24"/>
    </row>
    <row r="932" customHeight="1" spans="5:5">
      <c r="E932" s="24"/>
    </row>
    <row r="933" customHeight="1" spans="5:5">
      <c r="E933" s="24"/>
    </row>
    <row r="934" customHeight="1" spans="5:5">
      <c r="E934" s="24"/>
    </row>
    <row r="935" customHeight="1" spans="5:5">
      <c r="E935" s="24"/>
    </row>
    <row r="936" customHeight="1" spans="5:5">
      <c r="E936" s="24"/>
    </row>
    <row r="937" customHeight="1" spans="5:5">
      <c r="E937" s="24"/>
    </row>
    <row r="938" customHeight="1" spans="5:5">
      <c r="E938" s="24"/>
    </row>
    <row r="939" customHeight="1" spans="5:5">
      <c r="E939" s="24"/>
    </row>
    <row r="940" customHeight="1" spans="5:5">
      <c r="E940" s="24"/>
    </row>
    <row r="941" customHeight="1" spans="5:5">
      <c r="E941" s="24"/>
    </row>
    <row r="942" customHeight="1" spans="5:5">
      <c r="E942" s="24"/>
    </row>
    <row r="943" customHeight="1" spans="5:5">
      <c r="E943" s="24"/>
    </row>
    <row r="944" customHeight="1" spans="5:5">
      <c r="E944" s="24"/>
    </row>
    <row r="945" customHeight="1" spans="5:5">
      <c r="E945" s="24"/>
    </row>
    <row r="946" customHeight="1" spans="5:5">
      <c r="E946" s="24"/>
    </row>
    <row r="947" customHeight="1" spans="5:5">
      <c r="E947" s="24"/>
    </row>
    <row r="948" customHeight="1" spans="5:5">
      <c r="E948" s="24"/>
    </row>
    <row r="949" customHeight="1" spans="5:5">
      <c r="E949" s="24"/>
    </row>
    <row r="950" customHeight="1" spans="5:5">
      <c r="E950" s="24"/>
    </row>
    <row r="951" customHeight="1" spans="5:5">
      <c r="E951" s="24"/>
    </row>
    <row r="952" customHeight="1" spans="5:5">
      <c r="E952" s="24"/>
    </row>
    <row r="953" customHeight="1" spans="5:5">
      <c r="E953" s="24"/>
    </row>
    <row r="954" customHeight="1" spans="5:5">
      <c r="E954" s="24"/>
    </row>
    <row r="955" customHeight="1" spans="5:5">
      <c r="E955" s="24"/>
    </row>
    <row r="956" customHeight="1" spans="5:5">
      <c r="E956" s="24"/>
    </row>
    <row r="957" customHeight="1" spans="5:5">
      <c r="E957" s="24"/>
    </row>
    <row r="958" customHeight="1" spans="5:5">
      <c r="E958" s="24"/>
    </row>
    <row r="959" customHeight="1" spans="5:5">
      <c r="E959" s="24"/>
    </row>
    <row r="960" customHeight="1" spans="5:5">
      <c r="E960" s="24"/>
    </row>
    <row r="961" customHeight="1" spans="5:5">
      <c r="E961" s="24"/>
    </row>
    <row r="962" customHeight="1" spans="5:5">
      <c r="E962" s="24"/>
    </row>
    <row r="963" customHeight="1" spans="5:5">
      <c r="E963" s="24"/>
    </row>
    <row r="964" customHeight="1" spans="5:5">
      <c r="E964" s="24"/>
    </row>
    <row r="965" customHeight="1" spans="5:5">
      <c r="E965" s="24"/>
    </row>
    <row r="966" customHeight="1" spans="5:5">
      <c r="E966" s="24"/>
    </row>
    <row r="967" customHeight="1" spans="5:5">
      <c r="E967" s="24"/>
    </row>
    <row r="968" customHeight="1" spans="5:5">
      <c r="E968" s="24"/>
    </row>
    <row r="969" customHeight="1" spans="5:5">
      <c r="E969" s="24"/>
    </row>
    <row r="970" customHeight="1" spans="5:5">
      <c r="E970" s="24"/>
    </row>
    <row r="971" customHeight="1" spans="5:5">
      <c r="E971" s="24"/>
    </row>
    <row r="972" customHeight="1" spans="5:5">
      <c r="E972" s="24"/>
    </row>
    <row r="973" customHeight="1" spans="5:5">
      <c r="E973" s="24"/>
    </row>
    <row r="974" customHeight="1" spans="5:5">
      <c r="E974" s="24"/>
    </row>
    <row r="975" customHeight="1" spans="5:5">
      <c r="E975" s="24"/>
    </row>
    <row r="976" customHeight="1" spans="5:5">
      <c r="E976" s="24"/>
    </row>
    <row r="977" customHeight="1" spans="5:5">
      <c r="E977" s="24"/>
    </row>
    <row r="978" customHeight="1" spans="5:5">
      <c r="E978" s="24"/>
    </row>
    <row r="979" customHeight="1" spans="5:5">
      <c r="E979" s="24"/>
    </row>
    <row r="980" customHeight="1" spans="5:5">
      <c r="E980" s="24"/>
    </row>
    <row r="981" customHeight="1" spans="5:5">
      <c r="E981" s="24"/>
    </row>
    <row r="982" customHeight="1" spans="5:5">
      <c r="E982" s="24"/>
    </row>
    <row r="983" customHeight="1" spans="5:5">
      <c r="E983" s="24"/>
    </row>
    <row r="984" customHeight="1" spans="5:5">
      <c r="E984" s="24"/>
    </row>
    <row r="985" customHeight="1" spans="5:5">
      <c r="E985" s="24"/>
    </row>
    <row r="986" customHeight="1" spans="5:5">
      <c r="E986" s="24"/>
    </row>
    <row r="987" customHeight="1" spans="5:5">
      <c r="E987" s="24"/>
    </row>
    <row r="988" customHeight="1" spans="5:5">
      <c r="E988" s="24"/>
    </row>
    <row r="989" customHeight="1" spans="5:5">
      <c r="E989" s="24"/>
    </row>
    <row r="990" customHeight="1" spans="5:5">
      <c r="E990" s="24"/>
    </row>
    <row r="991" customHeight="1" spans="5:5">
      <c r="E991" s="24"/>
    </row>
    <row r="992" customHeight="1" spans="5:5">
      <c r="E992" s="24"/>
    </row>
    <row r="993" customHeight="1" spans="5:5">
      <c r="E993" s="24"/>
    </row>
    <row r="994" customHeight="1" spans="5:5">
      <c r="E994" s="24"/>
    </row>
    <row r="995" customHeight="1" spans="5:5">
      <c r="E995" s="24"/>
    </row>
    <row r="996" customHeight="1" spans="5:5">
      <c r="E996" s="24"/>
    </row>
    <row r="997" customHeight="1" spans="5:5">
      <c r="E997" s="24"/>
    </row>
    <row r="998" customHeight="1" spans="5:5">
      <c r="E998" s="24"/>
    </row>
    <row r="999" customHeight="1" spans="5:5">
      <c r="E999" s="24"/>
    </row>
  </sheetData>
  <mergeCells count="1">
    <mergeCell ref="I3:L3"/>
  </mergeCells>
  <conditionalFormatting sqref="A1:C51">
    <cfRule type="expression" dxfId="38" priority="1">
      <formula>MOD(ROW(),2)=1</formula>
    </cfRule>
  </conditionalFormatting>
  <conditionalFormatting sqref="E2:F8">
    <cfRule type="expression" dxfId="38" priority="2">
      <formula>MOD(ROW(),2)=1</formula>
    </cfRule>
  </conditionalFormatting>
  <pageMargins left="0.75" right="0.75" top="1" bottom="1" header="0.5" footer="0.5"/>
  <headerFooter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000000"/>
          <x14:colorNegative indexed="65"/>
          <x14:colorAxis indexed="65"/>
          <x14:colorMarkers indexed="65"/>
          <x14:colorFirst indexed="65"/>
          <x14:colorLast indexed="65"/>
          <x14:colorHigh indexed="65"/>
          <x14:colorLow indexed="65"/>
          <x14:sparklines>
            <x14:sparkline>
              <xm:f>'8'!C2:C11</xm:f>
              <xm:sqref>G3</xm:sqref>
            </x14:sparkline>
          </x14:sparklines>
        </x14:sparklineGroup>
        <x14:sparklineGroup type="line" displayEmptyCellsAs="gap">
          <x14:colorSeries rgb="FF000000"/>
          <x14:colorNegative indexed="65"/>
          <x14:colorAxis indexed="65"/>
          <x14:colorMarkers indexed="65"/>
          <x14:colorFirst indexed="65"/>
          <x14:colorLast indexed="65"/>
          <x14:colorHigh indexed="65"/>
          <x14:colorLow indexed="65"/>
          <x14:sparklines>
            <x14:sparkline>
              <xm:f>'8'!C12:C21</xm:f>
              <xm:sqref>G4</xm:sqref>
            </x14:sparkline>
          </x14:sparklines>
        </x14:sparklineGroup>
        <x14:sparklineGroup type="line" displayEmptyCellsAs="gap">
          <x14:colorSeries rgb="FF000000"/>
          <x14:colorNegative indexed="65"/>
          <x14:colorAxis indexed="65"/>
          <x14:colorMarkers indexed="65"/>
          <x14:colorFirst indexed="65"/>
          <x14:colorLast indexed="65"/>
          <x14:colorHigh indexed="65"/>
          <x14:colorLow indexed="65"/>
          <x14:sparklines>
            <x14:sparkline>
              <xm:f>'8'!C22:C31</xm:f>
              <xm:sqref>G5</xm:sqref>
            </x14:sparkline>
          </x14:sparklines>
        </x14:sparklineGroup>
        <x14:sparklineGroup type="line" displayEmptyCellsAs="gap">
          <x14:colorSeries rgb="FF000000"/>
          <x14:colorNegative indexed="65"/>
          <x14:colorAxis indexed="65"/>
          <x14:colorMarkers indexed="65"/>
          <x14:colorFirst indexed="65"/>
          <x14:colorLast indexed="65"/>
          <x14:colorHigh indexed="65"/>
          <x14:colorLow indexed="65"/>
          <x14:sparklines>
            <x14:sparkline>
              <xm:f>'8'!C32:C41</xm:f>
              <xm:sqref>G6</xm:sqref>
            </x14:sparkline>
          </x14:sparklines>
        </x14:sparklineGroup>
        <x14:sparklineGroup type="line" displayEmptyCellsAs="gap">
          <x14:colorSeries rgb="FF000000"/>
          <x14:colorNegative indexed="65"/>
          <x14:colorAxis indexed="65"/>
          <x14:colorMarkers indexed="65"/>
          <x14:colorFirst indexed="65"/>
          <x14:colorLast indexed="65"/>
          <x14:colorHigh indexed="65"/>
          <x14:colorLow indexed="65"/>
          <x14:sparklines>
            <x14:sparkline>
              <xm:f>'8'!C42:C51</xm:f>
              <xm:sqref>G7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workbookViewId="0">
      <selection activeCell="H8" sqref="H8"/>
    </sheetView>
  </sheetViews>
  <sheetFormatPr defaultColWidth="9.14285714285714" defaultRowHeight="12.75"/>
  <cols>
    <col min="1" max="1" width="24.3428571428571" customWidth="1"/>
    <col min="2" max="2" width="11.8666666666667" customWidth="1"/>
    <col min="3" max="4" width="15.2952380952381" customWidth="1"/>
    <col min="5" max="6" width="16.4380952380952" customWidth="1"/>
    <col min="8" max="8" width="13.1428571428571" customWidth="1"/>
    <col min="9" max="9" width="8" customWidth="1"/>
    <col min="16" max="16" width="28.2857142857143" customWidth="1"/>
  </cols>
  <sheetData>
    <row r="1" ht="22.5" customHeight="1" spans="1:16">
      <c r="A1" s="1" t="s">
        <v>19</v>
      </c>
      <c r="B1" s="1" t="s">
        <v>23</v>
      </c>
      <c r="C1" s="1" t="s">
        <v>178</v>
      </c>
      <c r="D1" s="1" t="s">
        <v>179</v>
      </c>
      <c r="E1" s="1" t="s">
        <v>180</v>
      </c>
      <c r="F1" s="1" t="s">
        <v>181</v>
      </c>
      <c r="I1" s="2" t="s">
        <v>17</v>
      </c>
      <c r="J1" s="2"/>
      <c r="K1" s="2"/>
      <c r="L1" s="2"/>
      <c r="M1" s="2"/>
      <c r="N1" s="2"/>
      <c r="O1" s="2"/>
      <c r="P1" s="2"/>
    </row>
    <row r="2" ht="22.5" customHeight="1" spans="1:16">
      <c r="A2" s="3"/>
      <c r="B2" s="3">
        <f>I6</f>
        <v>46000</v>
      </c>
      <c r="C2" s="4">
        <v>0</v>
      </c>
      <c r="D2" s="4">
        <v>0.05</v>
      </c>
      <c r="E2" s="4">
        <v>0.1</v>
      </c>
      <c r="F2" s="4">
        <v>0.15</v>
      </c>
      <c r="I2" s="2"/>
      <c r="J2" s="2"/>
      <c r="K2" s="2"/>
      <c r="L2" s="2"/>
      <c r="M2" s="2"/>
      <c r="N2" s="2"/>
      <c r="O2" s="2"/>
      <c r="P2" s="2"/>
    </row>
    <row r="3" ht="22.5" customHeight="1" spans="1:16">
      <c r="A3" s="5" t="s">
        <v>151</v>
      </c>
      <c r="B3" s="5">
        <v>40000</v>
      </c>
      <c r="C3" s="6">
        <f t="dataTable" ref="C3:F52" dt2D="1" dtr="1" r1="I5" r2="I4"/>
        <v>40000</v>
      </c>
      <c r="D3" s="6">
        <v>42000</v>
      </c>
      <c r="E3" s="6">
        <v>44000</v>
      </c>
      <c r="F3" s="6">
        <v>46000</v>
      </c>
    </row>
    <row r="4" ht="22.5" customHeight="1" spans="1:16">
      <c r="A4" s="5" t="s">
        <v>84</v>
      </c>
      <c r="B4" s="5">
        <v>43000</v>
      </c>
      <c r="C4" s="5">
        <v>43000</v>
      </c>
      <c r="D4" s="5">
        <v>45150</v>
      </c>
      <c r="E4" s="5">
        <v>47300</v>
      </c>
      <c r="F4" s="5">
        <v>49450</v>
      </c>
      <c r="H4" s="7" t="s">
        <v>23</v>
      </c>
      <c r="I4" s="7">
        <v>40000</v>
      </c>
    </row>
    <row r="5" ht="22.5" customHeight="1" spans="1:16">
      <c r="A5" s="5" t="s">
        <v>123</v>
      </c>
      <c r="B5" s="5">
        <v>45000</v>
      </c>
      <c r="C5" s="5">
        <v>45000</v>
      </c>
      <c r="D5" s="5">
        <v>47250</v>
      </c>
      <c r="E5" s="5">
        <v>49500</v>
      </c>
      <c r="F5" s="5">
        <v>51750</v>
      </c>
      <c r="H5" s="7" t="s">
        <v>182</v>
      </c>
      <c r="I5" s="8">
        <v>0.15</v>
      </c>
    </row>
    <row r="6" ht="22.5" customHeight="1" spans="1:16">
      <c r="A6" s="5" t="s">
        <v>86</v>
      </c>
      <c r="B6" s="5">
        <v>47000</v>
      </c>
      <c r="C6" s="5">
        <v>47000</v>
      </c>
      <c r="D6" s="5">
        <v>49350</v>
      </c>
      <c r="E6" s="5">
        <v>51700</v>
      </c>
      <c r="F6" s="5">
        <v>54050</v>
      </c>
      <c r="H6" s="7" t="s">
        <v>183</v>
      </c>
      <c r="I6" s="7">
        <f>(I4*I5)+I4</f>
        <v>46000</v>
      </c>
    </row>
    <row r="7" ht="22.5" customHeight="1" spans="1:16">
      <c r="A7" s="5" t="s">
        <v>98</v>
      </c>
      <c r="B7" s="5">
        <v>47000</v>
      </c>
      <c r="C7" s="5">
        <v>47000</v>
      </c>
      <c r="D7" s="5">
        <v>49350</v>
      </c>
      <c r="E7" s="5">
        <v>51700</v>
      </c>
      <c r="F7" s="5">
        <v>54050</v>
      </c>
    </row>
    <row r="8" ht="22.5" customHeight="1" spans="1:16">
      <c r="A8" s="5" t="s">
        <v>137</v>
      </c>
      <c r="B8" s="5">
        <v>48000</v>
      </c>
      <c r="C8" s="5">
        <v>48000</v>
      </c>
      <c r="D8" s="5">
        <v>50400</v>
      </c>
      <c r="E8" s="5">
        <v>52800</v>
      </c>
      <c r="F8" s="5">
        <v>55200</v>
      </c>
    </row>
    <row r="9" ht="22.5" customHeight="1" spans="1:16">
      <c r="A9" s="5" t="s">
        <v>61</v>
      </c>
      <c r="B9" s="5">
        <v>49000</v>
      </c>
      <c r="C9" s="5">
        <v>49000</v>
      </c>
      <c r="D9" s="5">
        <v>51450</v>
      </c>
      <c r="E9" s="5">
        <v>53900</v>
      </c>
      <c r="F9" s="5">
        <v>56350</v>
      </c>
    </row>
    <row r="10" ht="22.5" customHeight="1" spans="1:16">
      <c r="A10" s="5" t="s">
        <v>71</v>
      </c>
      <c r="B10" s="5">
        <v>49000</v>
      </c>
      <c r="C10" s="5">
        <v>49000</v>
      </c>
      <c r="D10" s="5">
        <v>51450</v>
      </c>
      <c r="E10" s="5">
        <v>53900</v>
      </c>
      <c r="F10" s="5">
        <v>56350</v>
      </c>
      <c r="H10" t="s">
        <v>184</v>
      </c>
    </row>
    <row r="11" ht="22.5" customHeight="1" spans="1:16">
      <c r="A11" s="5" t="s">
        <v>78</v>
      </c>
      <c r="B11" s="5">
        <v>52000</v>
      </c>
      <c r="C11" s="5">
        <v>52000</v>
      </c>
      <c r="D11" s="5">
        <v>54600</v>
      </c>
      <c r="E11" s="5">
        <v>57200</v>
      </c>
      <c r="F11" s="5">
        <v>59800</v>
      </c>
    </row>
    <row r="12" ht="22.5" customHeight="1" spans="1:16">
      <c r="A12" s="5" t="s">
        <v>119</v>
      </c>
      <c r="B12" s="5">
        <v>52000</v>
      </c>
      <c r="C12" s="5">
        <v>52000</v>
      </c>
      <c r="D12" s="5">
        <v>54600</v>
      </c>
      <c r="E12" s="5">
        <v>57200</v>
      </c>
      <c r="F12" s="5">
        <v>59800</v>
      </c>
    </row>
    <row r="13" ht="22.5" customHeight="1" spans="1:16">
      <c r="A13" s="5" t="s">
        <v>80</v>
      </c>
      <c r="B13" s="5">
        <v>53000</v>
      </c>
      <c r="C13" s="5">
        <v>53000</v>
      </c>
      <c r="D13" s="5">
        <v>55650</v>
      </c>
      <c r="E13" s="5">
        <v>58300</v>
      </c>
      <c r="F13" s="5">
        <v>60950</v>
      </c>
    </row>
    <row r="14" ht="22.5" customHeight="1" spans="1:16">
      <c r="A14" s="5" t="s">
        <v>127</v>
      </c>
      <c r="B14" s="5">
        <v>53000</v>
      </c>
      <c r="C14" s="5">
        <v>53000</v>
      </c>
      <c r="D14" s="5">
        <v>55650</v>
      </c>
      <c r="E14" s="5">
        <v>58300</v>
      </c>
      <c r="F14" s="5">
        <v>60950</v>
      </c>
    </row>
    <row r="15" ht="22.5" customHeight="1" spans="1:16">
      <c r="A15" s="5" t="s">
        <v>143</v>
      </c>
      <c r="B15" s="5">
        <v>55000</v>
      </c>
      <c r="C15" s="5">
        <v>55000</v>
      </c>
      <c r="D15" s="5">
        <v>57750</v>
      </c>
      <c r="E15" s="5">
        <v>60500</v>
      </c>
      <c r="F15" s="5">
        <v>63250</v>
      </c>
    </row>
    <row r="16" ht="22.5" customHeight="1" spans="1:16">
      <c r="A16" s="5" t="s">
        <v>96</v>
      </c>
      <c r="B16" s="5">
        <v>56000</v>
      </c>
      <c r="C16" s="5">
        <v>56000</v>
      </c>
      <c r="D16" s="5">
        <v>58800</v>
      </c>
      <c r="E16" s="5">
        <v>61600</v>
      </c>
      <c r="F16" s="5">
        <v>64400</v>
      </c>
    </row>
    <row r="17" ht="22.5" customHeight="1" spans="1:6">
      <c r="A17" s="5" t="s">
        <v>146</v>
      </c>
      <c r="B17" s="5">
        <v>56000</v>
      </c>
      <c r="C17" s="5">
        <v>56000</v>
      </c>
      <c r="D17" s="5">
        <v>58800</v>
      </c>
      <c r="E17" s="5">
        <v>61600</v>
      </c>
      <c r="F17" s="5">
        <v>64400</v>
      </c>
    </row>
    <row r="18" ht="22.5" customHeight="1" spans="1:6">
      <c r="A18" s="5" t="s">
        <v>130</v>
      </c>
      <c r="B18" s="5">
        <v>59000</v>
      </c>
      <c r="C18" s="5">
        <v>59000</v>
      </c>
      <c r="D18" s="5">
        <v>61950</v>
      </c>
      <c r="E18" s="5">
        <v>64900</v>
      </c>
      <c r="F18" s="5">
        <v>67850</v>
      </c>
    </row>
    <row r="19" ht="22.5" customHeight="1" spans="1:6">
      <c r="A19" s="5" t="s">
        <v>121</v>
      </c>
      <c r="B19" s="5">
        <v>61000</v>
      </c>
      <c r="C19" s="5">
        <v>61000</v>
      </c>
      <c r="D19" s="5">
        <v>64050</v>
      </c>
      <c r="E19" s="5">
        <v>67100</v>
      </c>
      <c r="F19" s="5">
        <v>70150</v>
      </c>
    </row>
    <row r="20" ht="22.5" customHeight="1" spans="1:6">
      <c r="A20" s="5" t="s">
        <v>153</v>
      </c>
      <c r="B20" s="5">
        <v>62000</v>
      </c>
      <c r="C20" s="5">
        <v>62000</v>
      </c>
      <c r="D20" s="5">
        <v>65100</v>
      </c>
      <c r="E20" s="5">
        <v>68200</v>
      </c>
      <c r="F20" s="5">
        <v>71300</v>
      </c>
    </row>
    <row r="21" ht="22.5" customHeight="1" spans="1:6">
      <c r="A21" s="5" t="s">
        <v>76</v>
      </c>
      <c r="B21" s="5">
        <v>64000</v>
      </c>
      <c r="C21" s="5">
        <v>64000</v>
      </c>
      <c r="D21" s="5">
        <v>67200</v>
      </c>
      <c r="E21" s="5">
        <v>70400</v>
      </c>
      <c r="F21" s="5">
        <v>73600</v>
      </c>
    </row>
    <row r="22" ht="22.5" customHeight="1" spans="1:6">
      <c r="A22" s="5" t="s">
        <v>59</v>
      </c>
      <c r="B22" s="5">
        <v>66000</v>
      </c>
      <c r="C22" s="5">
        <v>66000</v>
      </c>
      <c r="D22" s="5">
        <v>69300</v>
      </c>
      <c r="E22" s="5">
        <v>72600</v>
      </c>
      <c r="F22" s="5">
        <v>75900</v>
      </c>
    </row>
    <row r="23" ht="22.5" customHeight="1" spans="1:6">
      <c r="A23" s="5" t="s">
        <v>105</v>
      </c>
      <c r="B23" s="5">
        <v>66000</v>
      </c>
      <c r="C23" s="5">
        <v>66000</v>
      </c>
      <c r="D23" s="5">
        <v>69300</v>
      </c>
      <c r="E23" s="5">
        <v>72600</v>
      </c>
      <c r="F23" s="5">
        <v>75900</v>
      </c>
    </row>
    <row r="24" ht="22.5" customHeight="1" spans="1:6">
      <c r="A24" s="5" t="s">
        <v>117</v>
      </c>
      <c r="B24" s="5">
        <v>66000</v>
      </c>
      <c r="C24" s="5">
        <v>66000</v>
      </c>
      <c r="D24" s="5">
        <v>69300</v>
      </c>
      <c r="E24" s="5">
        <v>72600</v>
      </c>
      <c r="F24" s="5">
        <v>75900</v>
      </c>
    </row>
    <row r="25" ht="22.5" customHeight="1" spans="1:6">
      <c r="A25" s="5" t="s">
        <v>115</v>
      </c>
      <c r="B25" s="5">
        <v>67000</v>
      </c>
      <c r="C25" s="5">
        <v>67000</v>
      </c>
      <c r="D25" s="5">
        <v>70350</v>
      </c>
      <c r="E25" s="5">
        <v>73700</v>
      </c>
      <c r="F25" s="5">
        <v>77050</v>
      </c>
    </row>
    <row r="26" ht="22.5" customHeight="1" spans="1:6">
      <c r="A26" s="5" t="s">
        <v>149</v>
      </c>
      <c r="B26" s="5">
        <v>67000</v>
      </c>
      <c r="C26" s="5">
        <v>67000</v>
      </c>
      <c r="D26" s="5">
        <v>70350</v>
      </c>
      <c r="E26" s="5">
        <v>73700</v>
      </c>
      <c r="F26" s="5">
        <v>77050</v>
      </c>
    </row>
    <row r="27" ht="22.5" customHeight="1" spans="1:6">
      <c r="A27" s="5" t="s">
        <v>109</v>
      </c>
      <c r="B27" s="5">
        <v>69000</v>
      </c>
      <c r="C27" s="5">
        <v>69000</v>
      </c>
      <c r="D27" s="5">
        <v>72450</v>
      </c>
      <c r="E27" s="5">
        <v>75900</v>
      </c>
      <c r="F27" s="5">
        <v>79350</v>
      </c>
    </row>
    <row r="28" ht="22.5" customHeight="1" spans="1:6">
      <c r="A28" s="5" t="s">
        <v>134</v>
      </c>
      <c r="B28" s="5">
        <v>73000</v>
      </c>
      <c r="C28" s="5">
        <v>73000</v>
      </c>
      <c r="D28" s="5">
        <v>76650</v>
      </c>
      <c r="E28" s="5">
        <v>80300</v>
      </c>
      <c r="F28" s="5">
        <v>83950</v>
      </c>
    </row>
    <row r="29" ht="22.5" customHeight="1" spans="1:6">
      <c r="A29" s="5" t="s">
        <v>139</v>
      </c>
      <c r="B29" s="5">
        <v>74000</v>
      </c>
      <c r="C29" s="5">
        <v>74000</v>
      </c>
      <c r="D29" s="5">
        <v>77700</v>
      </c>
      <c r="E29" s="5">
        <v>81400</v>
      </c>
      <c r="F29" s="5">
        <v>85100</v>
      </c>
    </row>
    <row r="30" ht="22.5" customHeight="1" spans="1:6">
      <c r="A30" s="5" t="s">
        <v>141</v>
      </c>
      <c r="B30" s="5">
        <v>74000</v>
      </c>
      <c r="C30" s="5">
        <v>74000</v>
      </c>
      <c r="D30" s="5">
        <v>77700</v>
      </c>
      <c r="E30" s="5">
        <v>81400</v>
      </c>
      <c r="F30" s="5">
        <v>85100</v>
      </c>
    </row>
    <row r="31" ht="22.5" customHeight="1" spans="1:6">
      <c r="A31" s="5" t="s">
        <v>55</v>
      </c>
      <c r="B31" s="5">
        <v>75000</v>
      </c>
      <c r="C31" s="5">
        <v>75000</v>
      </c>
      <c r="D31" s="5">
        <v>78750</v>
      </c>
      <c r="E31" s="5">
        <v>82500</v>
      </c>
      <c r="F31" s="5">
        <v>86250</v>
      </c>
    </row>
    <row r="32" ht="22.5" customHeight="1" spans="1:6">
      <c r="A32" s="5" t="s">
        <v>94</v>
      </c>
      <c r="B32" s="5">
        <v>76000</v>
      </c>
      <c r="C32" s="5">
        <v>76000</v>
      </c>
      <c r="D32" s="5">
        <v>79800</v>
      </c>
      <c r="E32" s="5">
        <v>83600</v>
      </c>
      <c r="F32" s="5">
        <v>87400</v>
      </c>
    </row>
    <row r="33" ht="22.5" customHeight="1" spans="1:6">
      <c r="A33" s="5" t="s">
        <v>112</v>
      </c>
      <c r="B33" s="5">
        <v>76000</v>
      </c>
      <c r="C33" s="5">
        <v>76000</v>
      </c>
      <c r="D33" s="5">
        <v>79800</v>
      </c>
      <c r="E33" s="5">
        <v>83600</v>
      </c>
      <c r="F33" s="5">
        <v>87400</v>
      </c>
    </row>
    <row r="34" ht="22.5" customHeight="1" spans="1:6">
      <c r="A34" s="5" t="s">
        <v>91</v>
      </c>
      <c r="B34" s="5">
        <v>77000</v>
      </c>
      <c r="C34" s="5">
        <v>77000</v>
      </c>
      <c r="D34" s="5">
        <v>80850</v>
      </c>
      <c r="E34" s="5">
        <v>84700</v>
      </c>
      <c r="F34" s="5">
        <v>88550</v>
      </c>
    </row>
    <row r="35" ht="22.5" customHeight="1" spans="1:6">
      <c r="A35" s="5" t="s">
        <v>125</v>
      </c>
      <c r="B35" s="5">
        <v>77000</v>
      </c>
      <c r="C35" s="5">
        <v>77000</v>
      </c>
      <c r="D35" s="5">
        <v>80850</v>
      </c>
      <c r="E35" s="5">
        <v>84700</v>
      </c>
      <c r="F35" s="5">
        <v>88550</v>
      </c>
    </row>
    <row r="36" ht="22.5" customHeight="1" spans="1:6">
      <c r="A36" s="5" t="s">
        <v>35</v>
      </c>
      <c r="B36" s="5">
        <v>78000</v>
      </c>
      <c r="C36" s="5">
        <v>78000</v>
      </c>
      <c r="D36" s="5">
        <v>81900</v>
      </c>
      <c r="E36" s="5">
        <v>85800</v>
      </c>
      <c r="F36" s="5">
        <v>89700</v>
      </c>
    </row>
    <row r="37" ht="22.5" customHeight="1" spans="1:6">
      <c r="A37" s="5" t="s">
        <v>42</v>
      </c>
      <c r="B37" s="5">
        <v>79000</v>
      </c>
      <c r="C37" s="5">
        <v>79000</v>
      </c>
      <c r="D37" s="5">
        <v>82950</v>
      </c>
      <c r="E37" s="5">
        <v>86900</v>
      </c>
      <c r="F37" s="5">
        <v>90850</v>
      </c>
    </row>
    <row r="38" ht="22.5" customHeight="1" spans="1:6">
      <c r="A38" s="5" t="s">
        <v>101</v>
      </c>
      <c r="B38" s="5">
        <v>79000</v>
      </c>
      <c r="C38" s="5">
        <v>79000</v>
      </c>
      <c r="D38" s="5">
        <v>82950</v>
      </c>
      <c r="E38" s="5">
        <v>86900</v>
      </c>
      <c r="F38" s="5">
        <v>90850</v>
      </c>
    </row>
    <row r="39" ht="22.5" customHeight="1" spans="1:6">
      <c r="A39" s="5" t="s">
        <v>28</v>
      </c>
      <c r="B39" s="5">
        <v>83000</v>
      </c>
      <c r="C39" s="5">
        <v>83000</v>
      </c>
      <c r="D39" s="5">
        <v>87150</v>
      </c>
      <c r="E39" s="5">
        <v>91300</v>
      </c>
      <c r="F39" s="5">
        <v>95450</v>
      </c>
    </row>
    <row r="40" ht="22.5" customHeight="1" spans="1:6">
      <c r="A40" s="5" t="s">
        <v>66</v>
      </c>
      <c r="B40" s="5">
        <v>83000</v>
      </c>
      <c r="C40" s="5">
        <v>83000</v>
      </c>
      <c r="D40" s="5">
        <v>87150</v>
      </c>
      <c r="E40" s="5">
        <v>91300</v>
      </c>
      <c r="F40" s="5">
        <v>95450</v>
      </c>
    </row>
    <row r="41" ht="22.5" customHeight="1" spans="1:6">
      <c r="A41" s="5" t="s">
        <v>89</v>
      </c>
      <c r="B41" s="5">
        <v>85000</v>
      </c>
      <c r="C41" s="5">
        <v>85000</v>
      </c>
      <c r="D41" s="5">
        <v>89250</v>
      </c>
      <c r="E41" s="5">
        <v>93500</v>
      </c>
      <c r="F41" s="5">
        <v>97750</v>
      </c>
    </row>
    <row r="42" ht="22.5" customHeight="1" spans="1:6">
      <c r="A42" s="5" t="s">
        <v>103</v>
      </c>
      <c r="B42" s="5">
        <v>85000</v>
      </c>
      <c r="C42" s="5">
        <v>85000</v>
      </c>
      <c r="D42" s="5">
        <v>89250</v>
      </c>
      <c r="E42" s="5">
        <v>93500</v>
      </c>
      <c r="F42" s="5">
        <v>97750</v>
      </c>
    </row>
    <row r="43" ht="22.5" customHeight="1" spans="1:6">
      <c r="A43" s="5" t="s">
        <v>64</v>
      </c>
      <c r="B43" s="5">
        <v>87000</v>
      </c>
      <c r="C43" s="5">
        <v>87000</v>
      </c>
      <c r="D43" s="5">
        <v>91350</v>
      </c>
      <c r="E43" s="5">
        <v>95700</v>
      </c>
      <c r="F43" s="5">
        <v>100050</v>
      </c>
    </row>
    <row r="44" ht="22.5" customHeight="1" spans="1:6">
      <c r="A44" s="5" t="s">
        <v>73</v>
      </c>
      <c r="B44" s="5">
        <v>92000</v>
      </c>
      <c r="C44" s="5">
        <v>92000</v>
      </c>
      <c r="D44" s="5">
        <v>96600</v>
      </c>
      <c r="E44" s="5">
        <v>101200</v>
      </c>
      <c r="F44" s="5">
        <v>105800</v>
      </c>
    </row>
    <row r="45" ht="22.5" customHeight="1" spans="1:6">
      <c r="A45" s="5" t="s">
        <v>33</v>
      </c>
      <c r="B45" s="5">
        <v>93000</v>
      </c>
      <c r="C45" s="5">
        <v>93000</v>
      </c>
      <c r="D45" s="5">
        <v>97650</v>
      </c>
      <c r="E45" s="5">
        <v>102300</v>
      </c>
      <c r="F45" s="5">
        <v>106950</v>
      </c>
    </row>
    <row r="46" ht="22.5" customHeight="1" spans="1:6">
      <c r="A46" s="5" t="s">
        <v>51</v>
      </c>
      <c r="B46" s="5">
        <v>95000</v>
      </c>
      <c r="C46" s="5">
        <v>95000</v>
      </c>
      <c r="D46" s="5">
        <v>99750</v>
      </c>
      <c r="E46" s="5">
        <v>104500</v>
      </c>
      <c r="F46" s="5">
        <v>109250</v>
      </c>
    </row>
    <row r="47" ht="22.5" customHeight="1" spans="1:6">
      <c r="A47" s="5" t="s">
        <v>69</v>
      </c>
      <c r="B47" s="5">
        <v>95000</v>
      </c>
      <c r="C47" s="5">
        <v>95000</v>
      </c>
      <c r="D47" s="5">
        <v>99750</v>
      </c>
      <c r="E47" s="5">
        <v>104500</v>
      </c>
      <c r="F47" s="5">
        <v>109250</v>
      </c>
    </row>
    <row r="48" ht="22.5" customHeight="1" spans="1:6">
      <c r="A48" s="5" t="s">
        <v>46</v>
      </c>
      <c r="B48" s="5">
        <v>101000</v>
      </c>
      <c r="C48" s="5">
        <v>101000</v>
      </c>
      <c r="D48" s="5">
        <v>106050</v>
      </c>
      <c r="E48" s="5">
        <v>111100</v>
      </c>
      <c r="F48" s="5">
        <v>116150</v>
      </c>
    </row>
    <row r="49" ht="22.5" customHeight="1" spans="1:6">
      <c r="A49" s="5" t="s">
        <v>44</v>
      </c>
      <c r="B49" s="5">
        <v>105000</v>
      </c>
      <c r="C49" s="5">
        <v>105000</v>
      </c>
      <c r="D49" s="5">
        <v>110250</v>
      </c>
      <c r="E49" s="5">
        <v>115500</v>
      </c>
      <c r="F49" s="5">
        <v>120750</v>
      </c>
    </row>
    <row r="50" ht="22.5" customHeight="1" spans="1:6">
      <c r="A50" s="5" t="s">
        <v>49</v>
      </c>
      <c r="B50" s="5">
        <v>108000</v>
      </c>
      <c r="C50" s="5">
        <v>108000</v>
      </c>
      <c r="D50" s="5">
        <v>113400</v>
      </c>
      <c r="E50" s="5">
        <v>118800</v>
      </c>
      <c r="F50" s="5">
        <v>124200</v>
      </c>
    </row>
    <row r="51" ht="22.5" customHeight="1" spans="1:6">
      <c r="A51" s="5" t="s">
        <v>38</v>
      </c>
      <c r="B51" s="5">
        <v>122000</v>
      </c>
      <c r="C51" s="5">
        <v>122000</v>
      </c>
      <c r="D51" s="5">
        <v>128100</v>
      </c>
      <c r="E51" s="5">
        <v>134200</v>
      </c>
      <c r="F51" s="5">
        <v>140300</v>
      </c>
    </row>
    <row r="52" ht="22.5" customHeight="1" spans="1:6">
      <c r="A52" s="5" t="s">
        <v>53</v>
      </c>
      <c r="B52" s="5">
        <v>126000</v>
      </c>
      <c r="C52" s="5">
        <v>126000</v>
      </c>
      <c r="D52" s="5">
        <v>132300</v>
      </c>
      <c r="E52" s="5">
        <v>138600</v>
      </c>
      <c r="F52" s="5">
        <v>144900</v>
      </c>
    </row>
  </sheetData>
  <mergeCells count="1">
    <mergeCell ref="I1:P1"/>
  </mergeCells>
  <conditionalFormatting sqref="A1:F52">
    <cfRule type="expression" dxfId="38" priority="2">
      <formula>MOD(ROW(),2)=1</formula>
    </cfRule>
  </conditionalFormatting>
  <conditionalFormatting sqref="H4:I6">
    <cfRule type="expression" dxfId="38" priority="1">
      <formula>MOD(ROW(),2)=1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Problem Statement</vt:lpstr>
      <vt:lpstr>Employees</vt:lpstr>
      <vt:lpstr>TaxBrackets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</cp:lastModifiedBy>
  <dcterms:created xsi:type="dcterms:W3CDTF">2026-06-09T09:36:00Z</dcterms:created>
  <dcterms:modified xsi:type="dcterms:W3CDTF">2026-06-23T08:28:58Z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5347D0F6742046ACA71D3E2FF30638E0_12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