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Problem Statement" sheetId="1" r:id="rId1"/>
    <sheet name="RawOrders" sheetId="2" r:id="rId2"/>
    <sheet name="Discounts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</sheets>
  <definedNames>
    <definedName name="_xlnm._FilterDatabase" localSheetId="6" hidden="1">'4'!$A$1:$D$202</definedName>
    <definedName name="_xlnm._FilterDatabase" localSheetId="8" hidden="1">'6'!$A$1:$C$201</definedName>
    <definedName name="_xlnm._FilterDatabase" localSheetId="9" hidden="1">'7'!$A$1:$C$213</definedName>
    <definedName name="_xlnm._FilterDatabase" localSheetId="11" hidden="1">'9'!$A$1:$D$201</definedName>
  </definedName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<sst xmlns="http://schemas.openxmlformats.org/spreadsheetml/2006/main" count="3108" uniqueCount="378">
  <si>
    <t>Scenario</t>
  </si>
  <si>
    <t>You work at a small online store. You receive a messy raw export from the order management system every month. Your job: clean it, analyze it, and build a live-ish dashboard for the manager.</t>
  </si>
  <si>
    <t>Dataset to build</t>
  </si>
  <si>
    <t>Sheet: RawOrders — OrderID (format: "ORD-2024-00123"), CustomerName (mixed case, extra spaces), ProductCode, Category, OrderDate (some as text "15-Jan-2024"), Qty, UnitPrice, DiscountCode, ShipDate</t>
  </si>
  <si>
    <t>Sheet: Discounts — DiscountCode, DiscountPct</t>
  </si>
  <si>
    <t>200 rows, 8 product categories, deliberate data quality issues</t>
  </si>
  <si>
    <t>Tasks</t>
  </si>
  <si>
    <t>Status</t>
  </si>
  <si>
    <t>Use TRIM, PROPER, TEXTSPLIT, MID, FIND to clean CustomerName and extract the numeric order number from OrderID.</t>
  </si>
  <si>
    <t>Done</t>
  </si>
  <si>
    <t>Convert text-format dates to real dates using DATEVALUE; extract Month, Weekday, Hour-of-day columns.</t>
  </si>
  <si>
    <t>Use XLOOKUP to pull discount %, then calculate FinalRevenue = Qty × UnitPrice × (1 − Discount%).</t>
  </si>
  <si>
    <t>Build an array formula that returns total revenue per category without a pivot table.</t>
  </si>
  <si>
    <t>Use TEXTJOIN to create a "Customer Order Summary" string: "CustomerName ordered X items across Y categories".</t>
  </si>
  <si>
    <t>Use COUNTIF by hour to find peak order hours and chart it as a line chart.</t>
  </si>
  <si>
    <t>Build a Pivot Table + Pivot Chart: Revenue by Category by Month, with a timeline slicer.</t>
  </si>
  <si>
    <t>Use Power Query to load RawOrders, clean the date column, remove duplicates, and merge with Discounts table.</t>
  </si>
  <si>
    <t>Add a FORECAST.ETS to project next 3 months of revenue based on historical monthly totals.</t>
  </si>
  <si>
    <t>OrderID</t>
  </si>
  <si>
    <t>CustomerName</t>
  </si>
  <si>
    <t>ProductCode</t>
  </si>
  <si>
    <t>ProductName</t>
  </si>
  <si>
    <t>Category</t>
  </si>
  <si>
    <t>OrderDateTime</t>
  </si>
  <si>
    <t>Qty</t>
  </si>
  <si>
    <t>UnitPrice</t>
  </si>
  <si>
    <t>DiscountCode</t>
  </si>
  <si>
    <t>ShipDate</t>
  </si>
  <si>
    <t>ORD-2024-00143</t>
  </si>
  <si>
    <t>SHREYA GHOSH</t>
  </si>
  <si>
    <t>E005</t>
  </si>
  <si>
    <t>Bluetooth Speaker</t>
  </si>
  <si>
    <t>Electronics</t>
  </si>
  <si>
    <t>VIP25</t>
  </si>
  <si>
    <t>ORD-2024-00114</t>
  </si>
  <si>
    <t>Zara sinha</t>
  </si>
  <si>
    <t>S004</t>
  </si>
  <si>
    <t>Dumbbell Set</t>
  </si>
  <si>
    <t>Sports</t>
  </si>
  <si>
    <t>NONE</t>
  </si>
  <si>
    <t>ORD-2024-00019</t>
  </si>
  <si>
    <t>nitin Wagh</t>
  </si>
  <si>
    <t>C002</t>
  </si>
  <si>
    <t>Denim Jeans</t>
  </si>
  <si>
    <t>Clothing</t>
  </si>
  <si>
    <t>ORD-2024-00106</t>
  </si>
  <si>
    <t>rekha BOSE</t>
  </si>
  <si>
    <t>S002</t>
  </si>
  <si>
    <t>Resistance Bands</t>
  </si>
  <si>
    <t>WELCOME15</t>
  </si>
  <si>
    <t>ORD-2024-00055</t>
  </si>
  <si>
    <t>deepa DESAI</t>
  </si>
  <si>
    <t>T002</t>
  </si>
  <si>
    <t>Puzzle 500pc</t>
  </si>
  <si>
    <t>Toys</t>
  </si>
  <si>
    <t>ORD-2024-00176</t>
  </si>
  <si>
    <t>akash MISHRA</t>
  </si>
  <si>
    <t>T001</t>
  </si>
  <si>
    <t>Building Blocks</t>
  </si>
  <si>
    <t>ORD-2024-00026</t>
  </si>
  <si>
    <t>nikhil Singh</t>
  </si>
  <si>
    <t>G002</t>
  </si>
  <si>
    <t>Green Tea 50pk</t>
  </si>
  <si>
    <t>Grocery</t>
  </si>
  <si>
    <t>ORD-2024-00023</t>
  </si>
  <si>
    <t>raj joshi</t>
  </si>
  <si>
    <t>B002</t>
  </si>
  <si>
    <t>Python Basics</t>
  </si>
  <si>
    <t>Books</t>
  </si>
  <si>
    <t>FLASH20</t>
  </si>
  <si>
    <t>ORD-2024-00105</t>
  </si>
  <si>
    <t>nikhil Shukla</t>
  </si>
  <si>
    <t>G003</t>
  </si>
  <si>
    <t>Honey 500g</t>
  </si>
  <si>
    <t>ORD-2024-00093</t>
  </si>
  <si>
    <t>VARUN Mehta</t>
  </si>
  <si>
    <t>BT001</t>
  </si>
  <si>
    <t>Face Wash</t>
  </si>
  <si>
    <t>Beauty</t>
  </si>
  <si>
    <t>ORD-2024-00015</t>
  </si>
  <si>
    <t>ORD-2024-00194</t>
  </si>
  <si>
    <t>leena dubey</t>
  </si>
  <si>
    <t>G005</t>
  </si>
  <si>
    <t>Dark Chocolate</t>
  </si>
  <si>
    <t>ORD-2024-00018</t>
  </si>
  <si>
    <t>Amit SHINDE</t>
  </si>
  <si>
    <t>ORD-2024-00034</t>
  </si>
  <si>
    <t>S005</t>
  </si>
  <si>
    <t>Water Flask</t>
  </si>
  <si>
    <t>FESTIVE30</t>
  </si>
  <si>
    <t>ORD-2024-00073</t>
  </si>
  <si>
    <t>ORD-2024-00121</t>
  </si>
  <si>
    <t>sneha shah</t>
  </si>
  <si>
    <t>ORD-2024-00180</t>
  </si>
  <si>
    <t>KAVYA das</t>
  </si>
  <si>
    <t>E001</t>
  </si>
  <si>
    <t>Wireless Earbuds</t>
  </si>
  <si>
    <t>ORD-2024-00001</t>
  </si>
  <si>
    <t>Preeti BOSE</t>
  </si>
  <si>
    <t>H002</t>
  </si>
  <si>
    <t>Water Bottle</t>
  </si>
  <si>
    <t>Home &amp; Kitchen</t>
  </si>
  <si>
    <t>SAVE10</t>
  </si>
  <si>
    <t>ORD-2024-00086</t>
  </si>
  <si>
    <t>C001</t>
  </si>
  <si>
    <t>Cotton T-Shirt</t>
  </si>
  <si>
    <t>ORD-2024-00100</t>
  </si>
  <si>
    <t>anjali Reddy</t>
  </si>
  <si>
    <t>ORD-2024-00154</t>
  </si>
  <si>
    <t>Tanya Wagh</t>
  </si>
  <si>
    <t>E003</t>
  </si>
  <si>
    <t>Phone Stand</t>
  </si>
  <si>
    <t>ORD-2024-00078</t>
  </si>
  <si>
    <t>Ananya joshi</t>
  </si>
  <si>
    <t>ORD-2024-00119</t>
  </si>
  <si>
    <t>manav Singh</t>
  </si>
  <si>
    <t>S003</t>
  </si>
  <si>
    <t>Jump Rope</t>
  </si>
  <si>
    <t>ORD-2024-00098</t>
  </si>
  <si>
    <t>tarun pillai</t>
  </si>
  <si>
    <t>BT004</t>
  </si>
  <si>
    <t>Sunscreen SPF50</t>
  </si>
  <si>
    <t>ORD-2024-00158</t>
  </si>
  <si>
    <t>aarav YADAV</t>
  </si>
  <si>
    <t>B003</t>
  </si>
  <si>
    <t>Excel Mastery</t>
  </si>
  <si>
    <t>ORD-2024-00066</t>
  </si>
  <si>
    <t>Zara GAIKWAD</t>
  </si>
  <si>
    <t>ORD-2024-00057</t>
  </si>
  <si>
    <t>Rohan GUPTA</t>
  </si>
  <si>
    <t>BT005</t>
  </si>
  <si>
    <t>Hair Serum</t>
  </si>
  <si>
    <t>ORD-2024-00007</t>
  </si>
  <si>
    <t>H003</t>
  </si>
  <si>
    <t>Coffee Mug</t>
  </si>
  <si>
    <t>ORD-2024-00014</t>
  </si>
  <si>
    <t>ORD-2024-00025</t>
  </si>
  <si>
    <t>nikhil trivedi</t>
  </si>
  <si>
    <t>ORD-2024-00006</t>
  </si>
  <si>
    <t>ORD-2024-00190</t>
  </si>
  <si>
    <t>G004</t>
  </si>
  <si>
    <t>Almonds 200g</t>
  </si>
  <si>
    <t>ORD-2024-00136</t>
  </si>
  <si>
    <t>T003</t>
  </si>
  <si>
    <t>Board Game</t>
  </si>
  <si>
    <t>ORD-2024-00175</t>
  </si>
  <si>
    <t>harsh KULKARNI</t>
  </si>
  <si>
    <t>ORD-2024-00111</t>
  </si>
  <si>
    <t>ORD-2024-00173</t>
  </si>
  <si>
    <t>ORD-2024-00181</t>
  </si>
  <si>
    <t>aditya YADAV</t>
  </si>
  <si>
    <t>ORD-2024-00094</t>
  </si>
  <si>
    <t>G001</t>
  </si>
  <si>
    <t>Organic Oats</t>
  </si>
  <si>
    <t>ORD-2024-00126</t>
  </si>
  <si>
    <t>KAVYA chauhan</t>
  </si>
  <si>
    <t>C005</t>
  </si>
  <si>
    <t>Track Pants</t>
  </si>
  <si>
    <t>ORD-2024-00088</t>
  </si>
  <si>
    <t>ORD-2024-00020</t>
  </si>
  <si>
    <t>ORD-2024-00144</t>
  </si>
  <si>
    <t>ORD-2024-00124</t>
  </si>
  <si>
    <t>B001</t>
  </si>
  <si>
    <t>Data Science 101</t>
  </si>
  <si>
    <t>ORD-2024-00035</t>
  </si>
  <si>
    <t>aarav AGARWAL</t>
  </si>
  <si>
    <t>ORD-2024-00042</t>
  </si>
  <si>
    <t>alok  joshi</t>
  </si>
  <si>
    <t>B005</t>
  </si>
  <si>
    <t>Business Stats</t>
  </si>
  <si>
    <t>ORD-2024-00013</t>
  </si>
  <si>
    <t>ORD-2024-00070</t>
  </si>
  <si>
    <t>ORD-2024-00074</t>
  </si>
  <si>
    <t>jyoti joshi</t>
  </si>
  <si>
    <t>ORD-2024-00033</t>
  </si>
  <si>
    <t>ORD-2024-00149</t>
  </si>
  <si>
    <t>ORD-2024-00138</t>
  </si>
  <si>
    <t>manav Bajaj</t>
  </si>
  <si>
    <t>T005</t>
  </si>
  <si>
    <t>Drawing Kit</t>
  </si>
  <si>
    <t>ORD-2024-00195</t>
  </si>
  <si>
    <t>ORD-2024-00027</t>
  </si>
  <si>
    <t>SHREYA trivedi</t>
  </si>
  <si>
    <t>ORD-2024-00072</t>
  </si>
  <si>
    <t>RIYA bhatnagar</t>
  </si>
  <si>
    <t>E002</t>
  </si>
  <si>
    <t>USB-C Hub</t>
  </si>
  <si>
    <t>ORD-2024-00054</t>
  </si>
  <si>
    <t>ORD-2024-00092</t>
  </si>
  <si>
    <t>siddharth jadhav</t>
  </si>
  <si>
    <t>ORD-2024-00117</t>
  </si>
  <si>
    <t>PRIYA NAIR</t>
  </si>
  <si>
    <t>ORD-2024-00147</t>
  </si>
  <si>
    <t>ORD-2024-00163</t>
  </si>
  <si>
    <t>saurav BOSE</t>
  </si>
  <si>
    <t>ORD-2024-00184</t>
  </si>
  <si>
    <t>H001</t>
  </si>
  <si>
    <t>Non-stick Pan</t>
  </si>
  <si>
    <t>ORD-2024-00010</t>
  </si>
  <si>
    <t>T004</t>
  </si>
  <si>
    <t>Soft Toy Bear</t>
  </si>
  <si>
    <t>ORD-2024-00091</t>
  </si>
  <si>
    <t>H005</t>
  </si>
  <si>
    <t>Dish Rack</t>
  </si>
  <si>
    <t>ORD-2024-00171</t>
  </si>
  <si>
    <t>anjali More</t>
  </si>
  <si>
    <t>ORD-2024-00071</t>
  </si>
  <si>
    <t>leena GAIKWAD</t>
  </si>
  <si>
    <t>ORD-2024-00200</t>
  </si>
  <si>
    <t>ORD-2024-00178</t>
  </si>
  <si>
    <t>simran Bajaj</t>
  </si>
  <si>
    <t>ORD-2024-00153</t>
  </si>
  <si>
    <t>ORD-2024-00130</t>
  </si>
  <si>
    <t>rekha patil</t>
  </si>
  <si>
    <t>H004</t>
  </si>
  <si>
    <t>Chopping Board</t>
  </si>
  <si>
    <t>ORD-2024-00155</t>
  </si>
  <si>
    <t>ORD-2024-00087</t>
  </si>
  <si>
    <t>ORD-2024-00063</t>
  </si>
  <si>
    <t>ORD-2024-00090</t>
  </si>
  <si>
    <t>ORD-2024-00152</t>
  </si>
  <si>
    <t>BT002</t>
  </si>
  <si>
    <t>Moisturizer</t>
  </si>
  <si>
    <t>ORD-2024-00198</t>
  </si>
  <si>
    <t>ORD-2024-00162</t>
  </si>
  <si>
    <t>ORD-2024-00115</t>
  </si>
  <si>
    <t>ORD-2024-00028</t>
  </si>
  <si>
    <t>ORD-2024-00182</t>
  </si>
  <si>
    <t>ORD-2024-00197</t>
  </si>
  <si>
    <t>ORD-2024-00048</t>
  </si>
  <si>
    <t>raj dubey</t>
  </si>
  <si>
    <t>ORD-2024-00030</t>
  </si>
  <si>
    <t>ORD-2024-00196</t>
  </si>
  <si>
    <t>Pooja More</t>
  </si>
  <si>
    <t>ORD-2024-00107</t>
  </si>
  <si>
    <t>ORD-2024-00075</t>
  </si>
  <si>
    <t>ORD-2024-00172</t>
  </si>
  <si>
    <t>BT003</t>
  </si>
  <si>
    <t>Lip Balm</t>
  </si>
  <si>
    <t>ORD-2024-00120</t>
  </si>
  <si>
    <t>ORD-2024-00177</t>
  </si>
  <si>
    <t>ORD-2024-00151</t>
  </si>
  <si>
    <t>ORD-2024-00110</t>
  </si>
  <si>
    <t>Divya Rao</t>
  </si>
  <si>
    <t>ORD-2024-00053</t>
  </si>
  <si>
    <t>ORD-2024-00134</t>
  </si>
  <si>
    <t>ORD-2024-00097</t>
  </si>
  <si>
    <t>ORD-2024-00170</t>
  </si>
  <si>
    <t>ORD-2024-00045</t>
  </si>
  <si>
    <t>ORD-2024-00076</t>
  </si>
  <si>
    <t>ORD-2024-00036</t>
  </si>
  <si>
    <t>ORD-2024-00146</t>
  </si>
  <si>
    <t>ORD-2024-00095</t>
  </si>
  <si>
    <t>ORD-2024-00009</t>
  </si>
  <si>
    <t>ORD-2024-00022</t>
  </si>
  <si>
    <t>ORD-2024-00084</t>
  </si>
  <si>
    <t>S001</t>
  </si>
  <si>
    <t>Yoga Mat</t>
  </si>
  <si>
    <t>ORD-2024-00043</t>
  </si>
  <si>
    <t>ORD-2024-00089</t>
  </si>
  <si>
    <t>ORD-2024-00122</t>
  </si>
  <si>
    <t>ORD-2024-00191</t>
  </si>
  <si>
    <t>ORD-2024-00064</t>
  </si>
  <si>
    <t>ORD-2024-00058</t>
  </si>
  <si>
    <t>ORD-2024-00188</t>
  </si>
  <si>
    <t>ORD-2024-00183</t>
  </si>
  <si>
    <t>ORD-2024-00067</t>
  </si>
  <si>
    <t>VARUN YADAV</t>
  </si>
  <si>
    <t>ORD-2024-00101</t>
  </si>
  <si>
    <t>B004</t>
  </si>
  <si>
    <t>SQL for Analysts</t>
  </si>
  <si>
    <t>ORD-2024-00096</t>
  </si>
  <si>
    <t>ORD-2024-00062</t>
  </si>
  <si>
    <t>ORD-2024-00132</t>
  </si>
  <si>
    <t>ORD-2024-00157</t>
  </si>
  <si>
    <t>C003</t>
  </si>
  <si>
    <t>Sports Jacket</t>
  </si>
  <si>
    <t>ORD-2024-00039</t>
  </si>
  <si>
    <t>ORD-2024-00125</t>
  </si>
  <si>
    <t>ORD-2024-00081</t>
  </si>
  <si>
    <t>E004</t>
  </si>
  <si>
    <t>LED Desk Lamp</t>
  </si>
  <si>
    <t>ORD-2024-00038</t>
  </si>
  <si>
    <t>ORD-2024-00168</t>
  </si>
  <si>
    <t>ORD-2024-00164</t>
  </si>
  <si>
    <t>ORD-2024-00050</t>
  </si>
  <si>
    <t>ORD-2024-00161</t>
  </si>
  <si>
    <t>ORD-2024-00046</t>
  </si>
  <si>
    <t>ORD-2024-00169</t>
  </si>
  <si>
    <t>ORD-2024-00103</t>
  </si>
  <si>
    <t>ORD-2024-00059</t>
  </si>
  <si>
    <t>ORD-2024-00065</t>
  </si>
  <si>
    <t>ORD-2024-00032</t>
  </si>
  <si>
    <t>ORD-2024-00199</t>
  </si>
  <si>
    <t>ORD-2024-00077</t>
  </si>
  <si>
    <t>ORD-2024-00179</t>
  </si>
  <si>
    <t>ORD-2024-00060</t>
  </si>
  <si>
    <t>ORD-2024-00127</t>
  </si>
  <si>
    <t>ORD-2024-00141</t>
  </si>
  <si>
    <t>ORD-2024-00193</t>
  </si>
  <si>
    <t>ORD-2024-00137</t>
  </si>
  <si>
    <t>ORD-2024-00012</t>
  </si>
  <si>
    <t>ORD-2024-00029</t>
  </si>
  <si>
    <t>ORD-2024-00102</t>
  </si>
  <si>
    <t>ORD-2024-00118</t>
  </si>
  <si>
    <t>ORD-2024-00051</t>
  </si>
  <si>
    <t>ORD-2024-00150</t>
  </si>
  <si>
    <t>ORD-2024-00135</t>
  </si>
  <si>
    <t>ORD-2024-00085</t>
  </si>
  <si>
    <t>ORD-2024-00159</t>
  </si>
  <si>
    <t>ORD-2024-00113</t>
  </si>
  <si>
    <t>ORD-2024-00145</t>
  </si>
  <si>
    <t>ORD-2024-00082</t>
  </si>
  <si>
    <t>ORD-2024-00131</t>
  </si>
  <si>
    <t>ORD-2024-00148</t>
  </si>
  <si>
    <t>ORD-2024-00165</t>
  </si>
  <si>
    <t>ORD-2024-00047</t>
  </si>
  <si>
    <t>ORD-2024-00133</t>
  </si>
  <si>
    <t>ORD-2024-00123</t>
  </si>
  <si>
    <t>ORD-2024-00044</t>
  </si>
  <si>
    <t>ORD-2024-00109</t>
  </si>
  <si>
    <t>ORD-2024-00142</t>
  </si>
  <si>
    <t>ORD-2024-00068</t>
  </si>
  <si>
    <t>ORD-2024-00049</t>
  </si>
  <si>
    <t>NISHA shah</t>
  </si>
  <si>
    <t>ORD-2024-00052</t>
  </si>
  <si>
    <t>ORD-2024-00069</t>
  </si>
  <si>
    <t>ORD-2024-00192</t>
  </si>
  <si>
    <t>ORD-2024-00187</t>
  </si>
  <si>
    <t>ORD-2024-00129</t>
  </si>
  <si>
    <t>ORD-2024-00031</t>
  </si>
  <si>
    <t>ORD-2024-00174</t>
  </si>
  <si>
    <t>ORD-2024-00083</t>
  </si>
  <si>
    <t>ORD-2024-00021</t>
  </si>
  <si>
    <t>ORD-2024-00061</t>
  </si>
  <si>
    <t>ORD-2024-00056</t>
  </si>
  <si>
    <t>ORD-2024-00185</t>
  </si>
  <si>
    <t>ORD-2024-00104</t>
  </si>
  <si>
    <t>ORD-2024-00005</t>
  </si>
  <si>
    <t>ORD-2024-00004</t>
  </si>
  <si>
    <t>Pooja Tiwari</t>
  </si>
  <si>
    <t>ORD-2024-00128</t>
  </si>
  <si>
    <t>ORD-2024-00167</t>
  </si>
  <si>
    <t>ORD-2024-00166</t>
  </si>
  <si>
    <t>ORD-2024-00003</t>
  </si>
  <si>
    <t>ORD-2024-00041</t>
  </si>
  <si>
    <t>ORD-2024-00112</t>
  </si>
  <si>
    <t>ORD-2024-00156</t>
  </si>
  <si>
    <t>ORD-2024-00140</t>
  </si>
  <si>
    <t>ORD-2024-00016</t>
  </si>
  <si>
    <t>ORD-2024-00002</t>
  </si>
  <si>
    <t>ORD-2024-00099</t>
  </si>
  <si>
    <t>ORD-2024-00186</t>
  </si>
  <si>
    <t>ORD-2024-00139</t>
  </si>
  <si>
    <t>ORD-2024-00008</t>
  </si>
  <si>
    <t>ORD-2024-00011</t>
  </si>
  <si>
    <t>ORD-2024-00017</t>
  </si>
  <si>
    <t>DiscountPct</t>
  </si>
  <si>
    <t>Find (2024)</t>
  </si>
  <si>
    <t>Mid (Order No)</t>
  </si>
  <si>
    <t>Textsplit</t>
  </si>
  <si>
    <t>Proper</t>
  </si>
  <si>
    <t>Trim</t>
  </si>
  <si>
    <t>Month</t>
  </si>
  <si>
    <t>Weekday</t>
  </si>
  <si>
    <t>Hour of day</t>
  </si>
  <si>
    <t>Discount %</t>
  </si>
  <si>
    <t>Final Revenue</t>
  </si>
  <si>
    <t>Total Revenue</t>
  </si>
  <si>
    <t>Customer order summary</t>
  </si>
  <si>
    <t>Hours</t>
  </si>
  <si>
    <t>Frequency</t>
  </si>
  <si>
    <t>Hour</t>
  </si>
  <si>
    <t>Peak</t>
  </si>
  <si>
    <t>Revenue</t>
  </si>
  <si>
    <t>Sum of Revenue</t>
  </si>
  <si>
    <t>Grand Total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</si>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</sst>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0_ "/>
    <numFmt numFmtId="180" formatCode="[$-409]mmmm\-yy;@"/>
    <numFmt numFmtId="181" formatCode="yyyy\-mm\-dd\ hh:mm"/>
    <numFmt numFmtId="182" formatCode="dd\-mmm\-yyyy\ hh:mm"/>
    <numFmt numFmtId="183" formatCode="dd/mm/yyyy\ hh:mm"/>
    <numFmt numFmtId="184" formatCode="d\-mmm\-yyyy\ hh:mm"/>
    <numFmt numFmtId="185" formatCode="d\-mmmm\-yyyy\ hh:mm"/>
    <numFmt numFmtId="186" formatCode="dd\-mmmm\-yyyy\ hh:mm"/>
    <numFmt numFmtId="187" formatCode="[$-409]m/d/yy\ h:mm\ AM/PM;@"/>
    <numFmt numFmtId="188" formatCode="[$-409]dddd;@"/>
    <numFmt numFmtId="189" formatCode="[$-409]h:mm\ AM/PM;@"/>
    <numFmt numFmtId="190" formatCode="yyyy\-mm\-dd"/>
  </numFmts>
  <fonts count="28">
    <font>
      <sz val="10"/>
      <color rgb="FF000000"/>
      <name val="Arial"/>
      <charset val="134"/>
      <scheme val="minor"/>
    </font>
    <font>
      <b/>
      <sz val="12"/>
      <color theme="1"/>
      <name val="Microsoft Yahei"/>
      <charset val="134"/>
    </font>
    <font>
      <sz val="12"/>
      <name val="Microsoft Yahei"/>
      <charset val="134"/>
    </font>
    <font>
      <sz val="10"/>
      <color theme="1"/>
      <name val="Microsoft Yahei"/>
      <charset val="134"/>
    </font>
    <font>
      <b/>
      <sz val="12"/>
      <name val="Microsoft Yahei"/>
      <charset val="134"/>
    </font>
    <font>
      <b/>
      <sz val="12"/>
      <color rgb="FF000000"/>
      <name val="Microsoft Yahei"/>
      <charset val="134"/>
    </font>
    <font>
      <sz val="12"/>
      <color theme="1"/>
      <name val="Microsoft Yahei"/>
      <charset val="134"/>
    </font>
    <font>
      <sz val="12"/>
      <color rgb="FF000000"/>
      <name val="Microsoft Yahe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2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6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68">
    <xf numFmtId="0" fontId="0" fillId="0" borderId="0" xfId="0" applyFont="1" applyAlignment="1"/>
    <xf numFmtId="178" fontId="0" fillId="0" borderId="0" xfId="0" applyNumberFormat="1" applyFont="1" applyAlignment="1"/>
    <xf numFmtId="179" fontId="0" fillId="0" borderId="0" xfId="0" applyNumberFormat="1" applyFont="1" applyAlignment="1"/>
    <xf numFmtId="178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178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/>
    </xf>
    <xf numFmtId="179" fontId="3" fillId="0" borderId="0" xfId="0" applyNumberFormat="1" applyFont="1" applyBorder="1" applyAlignment="1">
      <alignment horizontal="center" vertical="center"/>
    </xf>
    <xf numFmtId="178" fontId="3" fillId="0" borderId="2" xfId="0" applyNumberFormat="1" applyFont="1" applyBorder="1" applyAlignment="1">
      <alignment horizontal="center" vertical="center"/>
    </xf>
    <xf numFmtId="179" fontId="3" fillId="0" borderId="3" xfId="0" applyNumberFormat="1" applyFont="1" applyBorder="1" applyAlignment="1">
      <alignment horizontal="center" vertical="center"/>
    </xf>
    <xf numFmtId="178" fontId="3" fillId="0" borderId="4" xfId="0" applyNumberFormat="1" applyFont="1" applyBorder="1" applyAlignment="1">
      <alignment horizontal="center" vertical="center"/>
    </xf>
    <xf numFmtId="179" fontId="3" fillId="0" borderId="5" xfId="0" applyNumberFormat="1" applyFont="1" applyBorder="1" applyAlignment="1">
      <alignment horizontal="center" vertical="center"/>
    </xf>
    <xf numFmtId="178" fontId="3" fillId="0" borderId="6" xfId="0" applyNumberFormat="1" applyFont="1" applyBorder="1" applyAlignment="1">
      <alignment horizontal="center" vertical="center"/>
    </xf>
    <xf numFmtId="179" fontId="3" fillId="0" borderId="7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80" fontId="0" fillId="0" borderId="1" xfId="0" applyNumberFormat="1" applyFont="1" applyBorder="1" applyAlignment="1">
      <alignment horizontal="center" vertical="center"/>
    </xf>
    <xf numFmtId="180" fontId="1" fillId="0" borderId="0" xfId="0" applyNumberFormat="1" applyFont="1" applyBorder="1" applyAlignment="1">
      <alignment horizontal="center" vertical="center"/>
    </xf>
    <xf numFmtId="180" fontId="3" fillId="0" borderId="0" xfId="0" applyNumberFormat="1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180" fontId="0" fillId="0" borderId="8" xfId="0" applyNumberFormat="1" applyFont="1" applyBorder="1" applyAlignment="1">
      <alignment horizontal="center" vertical="center"/>
    </xf>
    <xf numFmtId="0" fontId="0" fillId="0" borderId="0" xfId="0" applyNumberFormat="1" applyFont="1" applyAlignment="1"/>
    <xf numFmtId="0" fontId="1" fillId="0" borderId="0" xfId="0" applyNumberFormat="1" applyFont="1" applyBorder="1" applyAlignment="1">
      <alignment horizontal="center" vertical="center"/>
    </xf>
    <xf numFmtId="181" fontId="3" fillId="0" borderId="0" xfId="0" applyNumberFormat="1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182" fontId="3" fillId="0" borderId="0" xfId="0" applyNumberFormat="1" applyFont="1" applyBorder="1" applyAlignment="1">
      <alignment horizontal="center" vertical="center"/>
    </xf>
    <xf numFmtId="183" fontId="3" fillId="0" borderId="0" xfId="0" applyNumberFormat="1" applyFont="1" applyBorder="1" applyAlignment="1">
      <alignment horizontal="center" vertical="center"/>
    </xf>
    <xf numFmtId="184" fontId="3" fillId="2" borderId="0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/>
    </xf>
    <xf numFmtId="184" fontId="3" fillId="0" borderId="0" xfId="0" applyNumberFormat="1" applyFont="1" applyBorder="1" applyAlignment="1">
      <alignment horizontal="center" vertical="center"/>
    </xf>
    <xf numFmtId="185" fontId="3" fillId="0" borderId="0" xfId="0" applyNumberFormat="1" applyFont="1" applyBorder="1" applyAlignment="1">
      <alignment horizontal="center" vertical="center"/>
    </xf>
    <xf numFmtId="186" fontId="3" fillId="0" borderId="0" xfId="0" applyNumberFormat="1" applyFont="1" applyBorder="1" applyAlignment="1">
      <alignment horizontal="center" vertical="center"/>
    </xf>
    <xf numFmtId="181" fontId="3" fillId="2" borderId="0" xfId="0" applyNumberFormat="1" applyFont="1" applyFill="1" applyBorder="1" applyAlignment="1">
      <alignment horizontal="center" vertical="center"/>
    </xf>
    <xf numFmtId="183" fontId="3" fillId="2" borderId="0" xfId="0" applyNumberFormat="1" applyFont="1" applyFill="1" applyBorder="1" applyAlignment="1">
      <alignment horizontal="center" vertical="center"/>
    </xf>
    <xf numFmtId="186" fontId="3" fillId="2" borderId="0" xfId="0" applyNumberFormat="1" applyFont="1" applyFill="1" applyBorder="1" applyAlignment="1">
      <alignment horizontal="center" vertical="center"/>
    </xf>
    <xf numFmtId="182" fontId="3" fillId="2" borderId="0" xfId="0" applyNumberFormat="1" applyFont="1" applyFill="1" applyBorder="1" applyAlignment="1">
      <alignment horizontal="center" vertical="center"/>
    </xf>
    <xf numFmtId="185" fontId="3" fillId="2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87" fontId="0" fillId="0" borderId="0" xfId="0" applyNumberFormat="1" applyFont="1" applyAlignment="1"/>
    <xf numFmtId="188" fontId="0" fillId="0" borderId="0" xfId="0" applyNumberFormat="1" applyFont="1" applyAlignment="1"/>
    <xf numFmtId="189" fontId="0" fillId="0" borderId="0" xfId="0" applyNumberFormat="1" applyFont="1" applyAlignment="1"/>
    <xf numFmtId="187" fontId="1" fillId="0" borderId="0" xfId="0" applyNumberFormat="1" applyFont="1" applyBorder="1" applyAlignment="1">
      <alignment horizontal="center" vertical="center"/>
    </xf>
    <xf numFmtId="188" fontId="1" fillId="0" borderId="0" xfId="0" applyNumberFormat="1" applyFont="1" applyBorder="1" applyAlignment="1">
      <alignment horizontal="center" vertical="center"/>
    </xf>
    <xf numFmtId="189" fontId="1" fillId="0" borderId="0" xfId="0" applyNumberFormat="1" applyFont="1" applyBorder="1" applyAlignment="1">
      <alignment horizontal="center" vertical="center"/>
    </xf>
    <xf numFmtId="187" fontId="3" fillId="0" borderId="0" xfId="0" applyNumberFormat="1" applyFont="1" applyBorder="1" applyAlignment="1">
      <alignment horizontal="center" vertical="center"/>
    </xf>
    <xf numFmtId="188" fontId="3" fillId="0" borderId="0" xfId="0" applyNumberFormat="1" applyFont="1" applyBorder="1" applyAlignment="1">
      <alignment horizontal="center" vertical="center"/>
    </xf>
    <xf numFmtId="189" fontId="3" fillId="0" borderId="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84" fontId="3" fillId="0" borderId="1" xfId="0" applyNumberFormat="1" applyFont="1" applyBorder="1" applyAlignment="1">
      <alignment horizontal="center" vertical="center"/>
    </xf>
    <xf numFmtId="190" fontId="3" fillId="0" borderId="1" xfId="0" applyNumberFormat="1" applyFont="1" applyBorder="1" applyAlignment="1">
      <alignment horizontal="center" vertical="center"/>
    </xf>
    <xf numFmtId="181" fontId="3" fillId="0" borderId="1" xfId="0" applyNumberFormat="1" applyFont="1" applyBorder="1" applyAlignment="1">
      <alignment horizontal="center" vertical="center"/>
    </xf>
    <xf numFmtId="183" fontId="3" fillId="0" borderId="1" xfId="0" applyNumberFormat="1" applyFont="1" applyBorder="1" applyAlignment="1">
      <alignment horizontal="center" vertical="center"/>
    </xf>
    <xf numFmtId="182" fontId="3" fillId="0" borderId="1" xfId="0" applyNumberFormat="1" applyFont="1" applyBorder="1" applyAlignment="1">
      <alignment horizontal="center" vertical="center"/>
    </xf>
    <xf numFmtId="185" fontId="3" fillId="0" borderId="1" xfId="0" applyNumberFormat="1" applyFont="1" applyBorder="1" applyAlignment="1">
      <alignment horizontal="center" vertical="center"/>
    </xf>
    <xf numFmtId="186" fontId="3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7">
    <dxf>
      <font>
        <name val="Microsoft Yahei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Microsoft Yahei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"/>
        <scheme val="none"/>
        <charset val="134"/>
        <family val="0"/>
        <b val="0"/>
        <i val="0"/>
        <strike val="0"/>
        <u val="none"/>
        <sz val="10"/>
        <color theme="1"/>
      </font>
      <numFmt numFmtId="190" formatCode="yyyy\-mm\-dd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4" tint="0.6"/>
        </patternFill>
      </fill>
    </dxf>
    <dxf>
      <font>
        <name val="Microsoft Yahei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border>
        <bottom style="medium">
          <color theme="4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399975585192419"/>
        </vertical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2_Accent1" pivot="0" count="7" xr9:uid="{92C47A86-FE51-431D-9334-A9A9FE1DDEBB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TableStylePreset3_Accent1" pivot="0" count="7" xr9:uid="{59DB682C-5494-4EDE-A608-00C9E5F0F923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 xr9:uid="{267968C8-6FFD-4C36-ACC1-9EA1FD1885CA}">
      <tableStyleElement type="headerRow" dxfId="36"/>
      <tableStyleElement type="totalRow" dxfId="35"/>
      <tableStyleElement type="firstRowStripe" dxfId="34"/>
      <tableStyleElement type="firstColumnStripe" dxfId="33"/>
      <tableStyleElement type="firstSubtotalRow" dxfId="32"/>
      <tableStyleElement type="secondSubtotalRow" dxfId="31"/>
      <tableStyleElement type="firstRowSubheading" dxfId="30"/>
      <tableStyleElement type="secondRowSubheading" dxfId="29"/>
      <tableStyleElement type="pageFieldLabels" dxfId="28"/>
      <tableStyleElement type="pageFieldValues" dxfId="2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microsoft.com/office/2017/06/relationships/rdRichValue" Target="richData/rdrichvalue.xml"/><Relationship Id="rId17" Type="http://schemas.microsoft.com/office/2017/06/relationships/rdRichValueStructure" Target="richData/rdrichvaluestructure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'6'!$D$1</c:f>
              <c:strCache>
                <c:ptCount val="1"/>
                <c:pt idx="0">
                  <c:v>Hour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'6'!$D$2:$D$18</c:f>
              <c:numCache>
                <c:formatCode>General</c:formatCode>
                <c:ptCount val="17"/>
                <c:pt idx="0">
                  <c:v>18</c:v>
                </c:pt>
                <c:pt idx="1">
                  <c:v>16</c:v>
                </c:pt>
                <c:pt idx="2">
                  <c:v>19</c:v>
                </c:pt>
                <c:pt idx="3">
                  <c:v>9</c:v>
                </c:pt>
                <c:pt idx="4">
                  <c:v>13</c:v>
                </c:pt>
                <c:pt idx="5">
                  <c:v>7</c:v>
                </c:pt>
                <c:pt idx="6">
                  <c:v>21</c:v>
                </c:pt>
                <c:pt idx="7">
                  <c:v>15</c:v>
                </c:pt>
                <c:pt idx="8">
                  <c:v>12</c:v>
                </c:pt>
                <c:pt idx="9">
                  <c:v>8</c:v>
                </c:pt>
                <c:pt idx="10">
                  <c:v>20</c:v>
                </c:pt>
                <c:pt idx="11">
                  <c:v>11</c:v>
                </c:pt>
                <c:pt idx="12">
                  <c:v>22</c:v>
                </c:pt>
                <c:pt idx="13">
                  <c:v>17</c:v>
                </c:pt>
                <c:pt idx="14">
                  <c:v>23</c:v>
                </c:pt>
                <c:pt idx="15">
                  <c:v>10</c:v>
                </c:pt>
                <c:pt idx="16">
                  <c:v>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31864228"/>
        <c:axId val="29467035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'6'!$E$1</c15:sqref>
                        </c15:formulaRef>
                      </c:ext>
                    </c:extLst>
                    <c:strCache>
                      <c:ptCount val="1"/>
                      <c:pt idx="0">
                        <c:v>Peak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'6'!$E$2:$E$18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18</c:v>
                      </c:pt>
                      <c:pt idx="1">
                        <c:v>18</c:v>
                      </c:pt>
                      <c:pt idx="2">
                        <c:v>15</c:v>
                      </c:pt>
                      <c:pt idx="3">
                        <c:v>15</c:v>
                      </c:pt>
                      <c:pt idx="4">
                        <c:v>14</c:v>
                      </c:pt>
                      <c:pt idx="5">
                        <c:v>13</c:v>
                      </c:pt>
                      <c:pt idx="6">
                        <c:v>12</c:v>
                      </c:pt>
                      <c:pt idx="7">
                        <c:v>12</c:v>
                      </c:pt>
                      <c:pt idx="8">
                        <c:v>12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10</c:v>
                      </c:pt>
                      <c:pt idx="12">
                        <c:v>10</c:v>
                      </c:pt>
                      <c:pt idx="13">
                        <c:v>9</c:v>
                      </c:pt>
                      <c:pt idx="14">
                        <c:v>8</c:v>
                      </c:pt>
                      <c:pt idx="15">
                        <c:v>8</c:v>
                      </c:pt>
                      <c:pt idx="16">
                        <c:v>4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4318642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4670355"/>
        <c:crosses val="autoZero"/>
        <c:auto val="1"/>
        <c:lblAlgn val="ctr"/>
        <c:lblOffset val="100"/>
        <c:noMultiLvlLbl val="0"/>
      </c:catAx>
      <c:valAx>
        <c:axId val="2946703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18642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4f21dfc-d24e-43d6-b353-5ce26e46b25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444500</xdr:colOff>
      <xdr:row>3</xdr:row>
      <xdr:rowOff>120650</xdr:rowOff>
    </xdr:from>
    <xdr:to>
      <xdr:col>7</xdr:col>
      <xdr:colOff>4051300</xdr:colOff>
      <xdr:row>16</xdr:row>
      <xdr:rowOff>139700</xdr:rowOff>
    </xdr:to>
    <xdr:graphicFrame>
      <xdr:nvGraphicFramePr>
        <xdr:cNvPr id="7" name="Chart 6"/>
        <xdr:cNvGraphicFramePr/>
      </xdr:nvGraphicFramePr>
      <xdr:xfrm>
        <a:off x="5073650" y="7778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96.8680208333" refreshedBy="Pratham" recordCount="200">
  <cacheSource type="worksheet">
    <worksheetSource ref="A1:C201" sheet="7"/>
  </cacheSource>
  <cacheFields count="3">
    <cacheField name="Category" numFmtId="0">
      <sharedItems count="8">
        <s v="Electronics"/>
        <s v="Sports"/>
        <s v="Clothing"/>
        <s v="Toys"/>
        <s v="Grocery"/>
        <s v="Books"/>
        <s v="Beauty"/>
        <s v="Home &amp; Kitchen"/>
      </sharedItems>
    </cacheField>
    <cacheField name="OrderDateTime" numFmtId="180">
      <sharedItems containsSemiMixedTypes="0" containsString="0" containsNonDate="0" containsDate="1" minDate="2024-01-01T08:00:00" maxDate="2024-06-30T18:00:00" count="192">
        <d v="2024-01-22T21:00:00"/>
        <d v="2024-03-27T19:00:00"/>
        <d v="2024-01-04T14:00:00"/>
        <d v="2024-03-12T18:00:00"/>
        <d v="2024-06-04T07:00:00"/>
        <d v="2024-01-28T11:00:00"/>
        <d v="2024-02-14T11:00:00"/>
        <d v="2024-03-02T15:00:00"/>
        <d v="2024-04-25T11:00:00"/>
        <d v="2024-01-31T12:00:00"/>
        <d v="2024-04-11T08:00:00"/>
        <d v="2024-03-01T16:00:00"/>
        <d v="2024-02-29T12:00:00"/>
        <d v="2024-06-19T21:00:00"/>
        <d v="2024-01-19T09:00:00"/>
        <d v="2024-02-01T19:00:00"/>
        <d v="2024-05-26T09:00:00"/>
        <d v="2024-02-16T20:00:00"/>
        <d v="2024-02-02T23:00:00"/>
        <d v="2024-04-08T18:00:00"/>
        <d v="2024-01-14T22:00:00"/>
        <d v="2024-04-16T13:00:00"/>
        <d v="2024-02-26T22:00:00"/>
        <d v="2024-01-12T13:00:00"/>
        <d v="2024-03-16T23:00:00"/>
        <d v="2024-05-03T08:00:00"/>
        <d v="2024-03-08T12:00:00"/>
        <d v="2024-06-07T21:00:00"/>
        <d v="2024-06-16T07:00:00"/>
        <d v="2024-02-03T22:00:00"/>
        <d v="2024-06-30T18:00:00"/>
        <d v="2024-02-21T21:00:00"/>
        <d v="2024-03-12T22:00:00"/>
        <d v="2024-03-09T17:00:00"/>
        <d v="2024-03-24T23:00:00"/>
        <d v="2024-06-09T12:00:00"/>
        <d v="2024-06-27T20:00:00"/>
        <d v="2024-04-28T15:00:00"/>
        <d v="2024-06-06T07:00:00"/>
        <d v="2024-06-20T15:00:00"/>
        <d v="2024-03-21T08:00:00"/>
        <d v="2024-04-01T21:00:00"/>
        <d v="2024-02-25T18:00:00"/>
        <d v="2024-04-23T20:00:00"/>
        <d v="2024-05-26T22:00:00"/>
        <d v="2024-04-12T16:00:00"/>
        <d v="2024-05-23T19:00:00"/>
        <d v="2024-03-03T09:00:00"/>
        <d v="2024-01-07T16:00:00"/>
        <d v="2024-03-30T19:00:00"/>
        <d v="2024-05-09T17:00:00"/>
        <d v="2024-06-29T20:00:00"/>
        <d v="2024-03-27T15:00:00"/>
        <d v="2024-05-14T21:00:00"/>
        <d v="2024-06-05T09:00:00"/>
        <d v="2024-01-22T09:00:00"/>
        <d v="2024-01-04T08:00:00"/>
        <d v="2024-01-03T11:00:00"/>
        <d v="2024-01-21T16:00:00"/>
        <d v="2024-06-10T16:00:00"/>
        <d v="2024-05-11T10:00:00"/>
        <d v="2024-02-07T21:00:00"/>
        <d v="2024-05-17T09:00:00"/>
        <d v="2024-05-14T13:00:00"/>
        <d v="2024-01-18T09:00:00"/>
        <d v="2024-03-17T13:00:00"/>
        <d v="2024-02-03T08:00:00"/>
        <d v="2024-02-13T13:00:00"/>
        <d v="2024-05-10T15:00:00"/>
        <d v="2024-01-15T09:00:00"/>
        <d v="2024-02-02T15:00:00"/>
        <d v="2024-01-19T18:00:00"/>
        <d v="2024-01-04T10:00:00"/>
        <d v="2024-02-19T12:00:00"/>
        <d v="2024-01-10T12:00:00"/>
        <d v="2024-02-07T09:00:00"/>
        <d v="2024-01-01T08:00:00"/>
        <d v="2024-04-18T13:00:00"/>
        <d v="2024-01-15T07:00:00"/>
        <d v="2024-05-01T13:00:00"/>
        <d v="2024-01-14T18:00:00"/>
        <d v="2024-01-06T08:00:00"/>
        <d v="2024-02-13T16:00:00"/>
        <d v="2024-03-19T18:00:00"/>
        <d v="2024-02-20T07:00:00"/>
        <d v="2024-05-17T18:00:00"/>
        <d v="2024-04-21T23:00:00"/>
        <d v="2024-01-18T18:00:00"/>
        <d v="2024-05-25T19:00:00"/>
        <d v="2024-02-13T21:00:00"/>
        <d v="2024-05-06T09:00:00"/>
        <d v="2024-03-04T17:00:00"/>
        <d v="2024-04-26T22:00:00"/>
        <d v="2024-06-02T11:00:00"/>
        <d v="2024-02-07T13:00:00"/>
        <d v="2024-01-01T23:00:00"/>
        <d v="2024-06-05T14:00:00"/>
        <d v="2024-05-17T07:00:00"/>
        <d v="2024-03-02T16:00:00"/>
        <d v="2024-03-06T21:00:00"/>
        <d v="2024-06-24T13:00:00"/>
        <d v="2024-01-18T15:00:00"/>
        <d v="2024-05-22T20:00:00"/>
        <d v="2024-02-14T07:00:00"/>
        <d v="2024-04-22T07:00:00"/>
        <d v="2024-06-17T07:00:00"/>
        <d v="2024-04-25T08:00:00"/>
        <d v="2024-02-02T10:00:00"/>
        <d v="2024-02-04T07:00:00"/>
        <d v="2024-02-17T12:00:00"/>
        <d v="2024-01-17T09:00:00"/>
        <d v="2024-03-26T11:00:00"/>
        <d v="2024-03-17T10:00:00"/>
        <d v="2024-06-02T22:00:00"/>
        <d v="2024-03-16T19:00:00"/>
        <d v="2024-04-28T17:00:00"/>
        <d v="2024-06-25T16:00:00"/>
        <d v="2024-03-22T16:00:00"/>
        <d v="2024-04-01T11:00:00"/>
        <d v="2024-03-01T10:00:00"/>
        <d v="2024-04-03T16:00:00"/>
        <d v="2024-05-23T10:00:00"/>
        <d v="2024-01-08T08:00:00"/>
        <d v="2024-02-15T23:00:00"/>
        <d v="2024-05-06T18:00:00"/>
        <d v="2024-02-29T07:00:00"/>
        <d v="2024-03-23T19:00:00"/>
        <d v="2024-05-03T21:00:00"/>
        <d v="2024-06-17T20:00:00"/>
        <d v="2024-06-23T07:00:00"/>
        <d v="2024-04-09T15:00:00"/>
        <d v="2024-05-03T17:00:00"/>
        <d v="2024-05-01T19:00:00"/>
        <d v="2024-05-04T18:00:00"/>
        <d v="2024-01-17T16:00:00"/>
        <d v="2024-02-14T19:00:00"/>
        <d v="2024-06-26T19:00:00"/>
        <d v="2024-05-27T23:00:00"/>
        <d v="2024-04-10T12:00:00"/>
        <d v="2024-04-14T11:00:00"/>
        <d v="2024-05-20T23:00:00"/>
        <d v="2024-06-07T19:00:00"/>
        <d v="2024-02-09T18:00:00"/>
        <d v="2024-04-28T18:00:00"/>
        <d v="2024-02-20T18:00:00"/>
        <d v="2024-02-25T19:00:00"/>
        <d v="2024-04-16T14:00:00"/>
        <d v="2024-05-21T17:00:00"/>
        <d v="2024-03-23T13:00:00"/>
        <d v="2024-06-18T16:00:00"/>
        <d v="2024-03-16T10:00:00"/>
        <d v="2024-03-09T12:00:00"/>
        <d v="2024-05-28T19:00:00"/>
        <d v="2024-02-25T16:00:00"/>
        <d v="2024-01-10T17:00:00"/>
        <d v="2024-06-21T15:00:00"/>
        <d v="2024-06-29T08:00:00"/>
        <d v="2024-05-31T19:00:00"/>
        <d v="2024-01-24T18:00:00"/>
        <d v="2024-03-08T22:00:00"/>
        <d v="2024-04-28T21:00:00"/>
        <d v="2024-02-26T10:00:00"/>
        <d v="2024-01-14T20:00:00"/>
        <d v="2024-03-23T22:00:00"/>
        <d v="2024-02-09T09:00:00"/>
        <d v="2024-05-14T16:00:00"/>
        <d v="2024-02-06T12:00:00"/>
        <d v="2024-05-06T20:00:00"/>
        <d v="2024-02-09T21:00:00"/>
        <d v="2024-02-04T16:00:00"/>
        <d v="2024-02-18T18:00:00"/>
        <d v="2024-01-09T13:00:00"/>
        <d v="2024-02-25T14:00:00"/>
        <d v="2024-01-10T18:00:00"/>
        <d v="2024-04-07T18:00:00"/>
        <d v="2024-05-06T16:00:00"/>
        <d v="2024-02-07T20:00:00"/>
        <d v="2024-01-21T07:00:00"/>
        <d v="2024-01-20T09:00:00"/>
        <d v="2024-05-24T12:00:00"/>
        <d v="2024-01-13T17:00:00"/>
        <d v="2024-05-10T11:00:00"/>
        <d v="2024-05-29T15:00:00"/>
        <d v="2024-03-22T13:00:00"/>
        <d v="2024-02-28T13:00:00"/>
        <d v="2024-05-23T17:00:00"/>
        <d v="2024-04-15T22:00:00"/>
        <d v="2024-02-05T20:00:00"/>
        <d v="2024-05-09T20:00:00"/>
        <d v="2024-06-12T15:00:00"/>
        <d v="2024-06-30T16:00:00"/>
        <d v="2024-03-31T09:00:00"/>
      </sharedItems>
    </cacheField>
    <cacheField name="Revenue" numFmtId="0">
      <sharedItems containsSemiMixedTypes="0" containsString="0" containsNumber="1" containsInteger="1" minValue="0" maxValue="14995" count="70">
        <n v="7995"/>
        <n v="5998"/>
        <n v="1199"/>
        <n v="998"/>
        <n v="649"/>
        <n v="3596"/>
        <n v="598"/>
        <n v="1995"/>
        <n v="1745"/>
        <n v="498"/>
        <n v="1497"/>
        <n v="995"/>
        <n v="1599"/>
        <n v="349"/>
        <n v="698"/>
        <n v="11996"/>
        <n v="5196"/>
        <n v="299"/>
        <n v="1596"/>
        <n v="798"/>
        <n v="1396"/>
        <n v="1797"/>
        <n v="796"/>
        <n v="6495"/>
        <n v="449"/>
        <n v="5995"/>
        <n v="499"/>
        <n v="199"/>
        <n v="3495"/>
        <n v="398"/>
        <n v="4796"/>
        <n v="379"/>
        <n v="597"/>
        <n v="399"/>
        <n v="249"/>
        <n v="2697"/>
        <n v="899"/>
        <n v="2495"/>
        <n v="996"/>
        <n v="1798"/>
        <n v="2596"/>
        <n v="14995"/>
        <n v="1198"/>
        <n v="3597"/>
        <n v="1398"/>
        <n v="1996"/>
        <n v="495"/>
        <n v="758"/>
        <n v="1047"/>
        <n v="99"/>
        <n v="198"/>
        <n v="3995"/>
        <n v="1299"/>
        <n v="2245"/>
        <n v="9996"/>
        <n v="2397"/>
        <n v="1197"/>
        <n v="4495"/>
        <n v="2796"/>
        <n v="1796"/>
        <n v="1298"/>
        <n v="1947"/>
        <n v="1495"/>
        <n v="396"/>
        <n v="1598"/>
        <n v="1137"/>
        <n v="699"/>
        <n v="3196"/>
        <n v="1895"/>
        <n v="79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x v="0"/>
    <x v="0"/>
    <x v="0"/>
  </r>
  <r>
    <x v="1"/>
    <x v="1"/>
    <x v="1"/>
  </r>
  <r>
    <x v="2"/>
    <x v="2"/>
    <x v="2"/>
  </r>
  <r>
    <x v="1"/>
    <x v="3"/>
    <x v="3"/>
  </r>
  <r>
    <x v="3"/>
    <x v="4"/>
    <x v="4"/>
  </r>
  <r>
    <x v="3"/>
    <x v="5"/>
    <x v="5"/>
  </r>
  <r>
    <x v="4"/>
    <x v="6"/>
    <x v="6"/>
  </r>
  <r>
    <x v="5"/>
    <x v="7"/>
    <x v="7"/>
  </r>
  <r>
    <x v="4"/>
    <x v="8"/>
    <x v="8"/>
  </r>
  <r>
    <x v="6"/>
    <x v="9"/>
    <x v="9"/>
  </r>
  <r>
    <x v="1"/>
    <x v="10"/>
    <x v="10"/>
  </r>
  <r>
    <x v="4"/>
    <x v="11"/>
    <x v="11"/>
  </r>
  <r>
    <x v="0"/>
    <x v="12"/>
    <x v="12"/>
  </r>
  <r>
    <x v="1"/>
    <x v="13"/>
    <x v="13"/>
  </r>
  <r>
    <x v="1"/>
    <x v="14"/>
    <x v="14"/>
  </r>
  <r>
    <x v="1"/>
    <x v="15"/>
    <x v="15"/>
  </r>
  <r>
    <x v="0"/>
    <x v="16"/>
    <x v="16"/>
  </r>
  <r>
    <x v="7"/>
    <x v="17"/>
    <x v="17"/>
  </r>
  <r>
    <x v="2"/>
    <x v="18"/>
    <x v="18"/>
  </r>
  <r>
    <x v="3"/>
    <x v="19"/>
    <x v="4"/>
  </r>
  <r>
    <x v="0"/>
    <x v="20"/>
    <x v="8"/>
  </r>
  <r>
    <x v="5"/>
    <x v="21"/>
    <x v="19"/>
  </r>
  <r>
    <x v="1"/>
    <x v="22"/>
    <x v="11"/>
  </r>
  <r>
    <x v="6"/>
    <x v="23"/>
    <x v="8"/>
  </r>
  <r>
    <x v="5"/>
    <x v="24"/>
    <x v="14"/>
  </r>
  <r>
    <x v="1"/>
    <x v="25"/>
    <x v="20"/>
  </r>
  <r>
    <x v="6"/>
    <x v="26"/>
    <x v="21"/>
  </r>
  <r>
    <x v="7"/>
    <x v="27"/>
    <x v="22"/>
  </r>
  <r>
    <x v="0"/>
    <x v="28"/>
    <x v="23"/>
  </r>
  <r>
    <x v="2"/>
    <x v="29"/>
    <x v="2"/>
  </r>
  <r>
    <x v="0"/>
    <x v="30"/>
    <x v="8"/>
  </r>
  <r>
    <x v="4"/>
    <x v="31"/>
    <x v="24"/>
  </r>
  <r>
    <x v="3"/>
    <x v="32"/>
    <x v="25"/>
  </r>
  <r>
    <x v="1"/>
    <x v="33"/>
    <x v="14"/>
  </r>
  <r>
    <x v="5"/>
    <x v="34"/>
    <x v="18"/>
  </r>
  <r>
    <x v="1"/>
    <x v="35"/>
    <x v="26"/>
  </r>
  <r>
    <x v="0"/>
    <x v="36"/>
    <x v="12"/>
  </r>
  <r>
    <x v="4"/>
    <x v="37"/>
    <x v="27"/>
  </r>
  <r>
    <x v="2"/>
    <x v="38"/>
    <x v="28"/>
  </r>
  <r>
    <x v="7"/>
    <x v="39"/>
    <x v="29"/>
  </r>
  <r>
    <x v="2"/>
    <x v="40"/>
    <x v="30"/>
  </r>
  <r>
    <x v="4"/>
    <x v="41"/>
    <x v="27"/>
  </r>
  <r>
    <x v="5"/>
    <x v="42"/>
    <x v="10"/>
  </r>
  <r>
    <x v="2"/>
    <x v="43"/>
    <x v="7"/>
  </r>
  <r>
    <x v="5"/>
    <x v="1"/>
    <x v="31"/>
  </r>
  <r>
    <x v="4"/>
    <x v="44"/>
    <x v="29"/>
  </r>
  <r>
    <x v="4"/>
    <x v="45"/>
    <x v="32"/>
  </r>
  <r>
    <x v="5"/>
    <x v="46"/>
    <x v="33"/>
  </r>
  <r>
    <x v="1"/>
    <x v="47"/>
    <x v="29"/>
  </r>
  <r>
    <x v="6"/>
    <x v="48"/>
    <x v="34"/>
  </r>
  <r>
    <x v="3"/>
    <x v="49"/>
    <x v="13"/>
  </r>
  <r>
    <x v="0"/>
    <x v="50"/>
    <x v="14"/>
  </r>
  <r>
    <x v="2"/>
    <x v="51"/>
    <x v="25"/>
  </r>
  <r>
    <x v="0"/>
    <x v="52"/>
    <x v="35"/>
  </r>
  <r>
    <x v="0"/>
    <x v="53"/>
    <x v="36"/>
  </r>
  <r>
    <x v="3"/>
    <x v="54"/>
    <x v="8"/>
  </r>
  <r>
    <x v="1"/>
    <x v="55"/>
    <x v="37"/>
  </r>
  <r>
    <x v="6"/>
    <x v="56"/>
    <x v="38"/>
  </r>
  <r>
    <x v="3"/>
    <x v="57"/>
    <x v="39"/>
  </r>
  <r>
    <x v="7"/>
    <x v="58"/>
    <x v="40"/>
  </r>
  <r>
    <x v="3"/>
    <x v="59"/>
    <x v="26"/>
  </r>
  <r>
    <x v="7"/>
    <x v="60"/>
    <x v="24"/>
  </r>
  <r>
    <x v="3"/>
    <x v="61"/>
    <x v="37"/>
  </r>
  <r>
    <x v="4"/>
    <x v="62"/>
    <x v="24"/>
  </r>
  <r>
    <x v="1"/>
    <x v="63"/>
    <x v="11"/>
  </r>
  <r>
    <x v="4"/>
    <x v="64"/>
    <x v="17"/>
  </r>
  <r>
    <x v="1"/>
    <x v="65"/>
    <x v="41"/>
  </r>
  <r>
    <x v="7"/>
    <x v="66"/>
    <x v="13"/>
  </r>
  <r>
    <x v="2"/>
    <x v="67"/>
    <x v="19"/>
  </r>
  <r>
    <x v="6"/>
    <x v="68"/>
    <x v="42"/>
  </r>
  <r>
    <x v="3"/>
    <x v="69"/>
    <x v="40"/>
  </r>
  <r>
    <x v="4"/>
    <x v="70"/>
    <x v="13"/>
  </r>
  <r>
    <x v="6"/>
    <x v="71"/>
    <x v="33"/>
  </r>
  <r>
    <x v="2"/>
    <x v="72"/>
    <x v="43"/>
  </r>
  <r>
    <x v="1"/>
    <x v="52"/>
    <x v="1"/>
  </r>
  <r>
    <x v="0"/>
    <x v="73"/>
    <x v="16"/>
  </r>
  <r>
    <x v="4"/>
    <x v="74"/>
    <x v="6"/>
  </r>
  <r>
    <x v="6"/>
    <x v="75"/>
    <x v="13"/>
  </r>
  <r>
    <x v="7"/>
    <x v="76"/>
    <x v="6"/>
  </r>
  <r>
    <x v="2"/>
    <x v="77"/>
    <x v="44"/>
  </r>
  <r>
    <x v="7"/>
    <x v="78"/>
    <x v="29"/>
  </r>
  <r>
    <x v="5"/>
    <x v="79"/>
    <x v="45"/>
  </r>
  <r>
    <x v="2"/>
    <x v="80"/>
    <x v="44"/>
  </r>
  <r>
    <x v="4"/>
    <x v="81"/>
    <x v="17"/>
  </r>
  <r>
    <x v="6"/>
    <x v="82"/>
    <x v="46"/>
  </r>
  <r>
    <x v="3"/>
    <x v="83"/>
    <x v="43"/>
  </r>
  <r>
    <x v="5"/>
    <x v="84"/>
    <x v="47"/>
  </r>
  <r>
    <x v="6"/>
    <x v="85"/>
    <x v="20"/>
  </r>
  <r>
    <x v="0"/>
    <x v="86"/>
    <x v="48"/>
  </r>
  <r>
    <x v="1"/>
    <x v="87"/>
    <x v="3"/>
  </r>
  <r>
    <x v="6"/>
    <x v="88"/>
    <x v="49"/>
  </r>
  <r>
    <x v="6"/>
    <x v="89"/>
    <x v="42"/>
  </r>
  <r>
    <x v="3"/>
    <x v="90"/>
    <x v="45"/>
  </r>
  <r>
    <x v="4"/>
    <x v="66"/>
    <x v="32"/>
  </r>
  <r>
    <x v="7"/>
    <x v="91"/>
    <x v="27"/>
  </r>
  <r>
    <x v="1"/>
    <x v="92"/>
    <x v="41"/>
  </r>
  <r>
    <x v="2"/>
    <x v="93"/>
    <x v="43"/>
  </r>
  <r>
    <x v="3"/>
    <x v="94"/>
    <x v="40"/>
  </r>
  <r>
    <x v="3"/>
    <x v="95"/>
    <x v="39"/>
  </r>
  <r>
    <x v="6"/>
    <x v="96"/>
    <x v="50"/>
  </r>
  <r>
    <x v="1"/>
    <x v="97"/>
    <x v="51"/>
  </r>
  <r>
    <x v="2"/>
    <x v="98"/>
    <x v="33"/>
  </r>
  <r>
    <x v="4"/>
    <x v="99"/>
    <x v="29"/>
  </r>
  <r>
    <x v="0"/>
    <x v="100"/>
    <x v="52"/>
  </r>
  <r>
    <x v="1"/>
    <x v="101"/>
    <x v="45"/>
  </r>
  <r>
    <x v="4"/>
    <x v="102"/>
    <x v="20"/>
  </r>
  <r>
    <x v="1"/>
    <x v="103"/>
    <x v="48"/>
  </r>
  <r>
    <x v="2"/>
    <x v="104"/>
    <x v="2"/>
  </r>
  <r>
    <x v="7"/>
    <x v="105"/>
    <x v="13"/>
  </r>
  <r>
    <x v="1"/>
    <x v="106"/>
    <x v="32"/>
  </r>
  <r>
    <x v="3"/>
    <x v="107"/>
    <x v="45"/>
  </r>
  <r>
    <x v="5"/>
    <x v="108"/>
    <x v="53"/>
  </r>
  <r>
    <x v="1"/>
    <x v="109"/>
    <x v="15"/>
  </r>
  <r>
    <x v="3"/>
    <x v="110"/>
    <x v="14"/>
  </r>
  <r>
    <x v="2"/>
    <x v="111"/>
    <x v="28"/>
  </r>
  <r>
    <x v="2"/>
    <x v="112"/>
    <x v="54"/>
  </r>
  <r>
    <x v="1"/>
    <x v="113"/>
    <x v="41"/>
  </r>
  <r>
    <x v="2"/>
    <x v="114"/>
    <x v="19"/>
  </r>
  <r>
    <x v="0"/>
    <x v="115"/>
    <x v="55"/>
  </r>
  <r>
    <x v="2"/>
    <x v="116"/>
    <x v="18"/>
  </r>
  <r>
    <x v="7"/>
    <x v="117"/>
    <x v="24"/>
  </r>
  <r>
    <x v="1"/>
    <x v="118"/>
    <x v="29"/>
  </r>
  <r>
    <x v="2"/>
    <x v="119"/>
    <x v="56"/>
  </r>
  <r>
    <x v="6"/>
    <x v="120"/>
    <x v="7"/>
  </r>
  <r>
    <x v="5"/>
    <x v="121"/>
    <x v="47"/>
  </r>
  <r>
    <x v="6"/>
    <x v="122"/>
    <x v="13"/>
  </r>
  <r>
    <x v="3"/>
    <x v="123"/>
    <x v="10"/>
  </r>
  <r>
    <x v="6"/>
    <x v="124"/>
    <x v="33"/>
  </r>
  <r>
    <x v="0"/>
    <x v="125"/>
    <x v="12"/>
  </r>
  <r>
    <x v="0"/>
    <x v="126"/>
    <x v="5"/>
  </r>
  <r>
    <x v="7"/>
    <x v="127"/>
    <x v="14"/>
  </r>
  <r>
    <x v="1"/>
    <x v="128"/>
    <x v="55"/>
  </r>
  <r>
    <x v="3"/>
    <x v="129"/>
    <x v="57"/>
  </r>
  <r>
    <x v="2"/>
    <x v="100"/>
    <x v="58"/>
  </r>
  <r>
    <x v="1"/>
    <x v="130"/>
    <x v="11"/>
  </r>
  <r>
    <x v="0"/>
    <x v="131"/>
    <x v="39"/>
  </r>
  <r>
    <x v="4"/>
    <x v="132"/>
    <x v="20"/>
  </r>
  <r>
    <x v="7"/>
    <x v="133"/>
    <x v="20"/>
  </r>
  <r>
    <x v="7"/>
    <x v="134"/>
    <x v="32"/>
  </r>
  <r>
    <x v="1"/>
    <x v="135"/>
    <x v="22"/>
  </r>
  <r>
    <x v="4"/>
    <x v="136"/>
    <x v="8"/>
  </r>
  <r>
    <x v="1"/>
    <x v="137"/>
    <x v="3"/>
  </r>
  <r>
    <x v="5"/>
    <x v="138"/>
    <x v="24"/>
  </r>
  <r>
    <x v="2"/>
    <x v="139"/>
    <x v="58"/>
  </r>
  <r>
    <x v="7"/>
    <x v="140"/>
    <x v="32"/>
  </r>
  <r>
    <x v="6"/>
    <x v="141"/>
    <x v="9"/>
  </r>
  <r>
    <x v="6"/>
    <x v="93"/>
    <x v="20"/>
  </r>
  <r>
    <x v="6"/>
    <x v="142"/>
    <x v="21"/>
  </r>
  <r>
    <x v="1"/>
    <x v="143"/>
    <x v="14"/>
  </r>
  <r>
    <x v="0"/>
    <x v="144"/>
    <x v="16"/>
  </r>
  <r>
    <x v="2"/>
    <x v="145"/>
    <x v="30"/>
  </r>
  <r>
    <x v="4"/>
    <x v="146"/>
    <x v="59"/>
  </r>
  <r>
    <x v="0"/>
    <x v="147"/>
    <x v="39"/>
  </r>
  <r>
    <x v="3"/>
    <x v="148"/>
    <x v="60"/>
  </r>
  <r>
    <x v="4"/>
    <x v="149"/>
    <x v="27"/>
  </r>
  <r>
    <x v="7"/>
    <x v="150"/>
    <x v="13"/>
  </r>
  <r>
    <x v="7"/>
    <x v="117"/>
    <x v="6"/>
  </r>
  <r>
    <x v="7"/>
    <x v="151"/>
    <x v="13"/>
  </r>
  <r>
    <x v="1"/>
    <x v="152"/>
    <x v="26"/>
  </r>
  <r>
    <x v="5"/>
    <x v="153"/>
    <x v="10"/>
  </r>
  <r>
    <x v="7"/>
    <x v="154"/>
    <x v="61"/>
  </r>
  <r>
    <x v="7"/>
    <x v="155"/>
    <x v="62"/>
  </r>
  <r>
    <x v="5"/>
    <x v="156"/>
    <x v="19"/>
  </r>
  <r>
    <x v="3"/>
    <x v="157"/>
    <x v="26"/>
  </r>
  <r>
    <x v="7"/>
    <x v="158"/>
    <x v="22"/>
  </r>
  <r>
    <x v="5"/>
    <x v="159"/>
    <x v="56"/>
  </r>
  <r>
    <x v="5"/>
    <x v="160"/>
    <x v="13"/>
  </r>
  <r>
    <x v="6"/>
    <x v="161"/>
    <x v="63"/>
  </r>
  <r>
    <x v="1"/>
    <x v="162"/>
    <x v="55"/>
  </r>
  <r>
    <x v="1"/>
    <x v="163"/>
    <x v="64"/>
  </r>
  <r>
    <x v="0"/>
    <x v="164"/>
    <x v="13"/>
  </r>
  <r>
    <x v="3"/>
    <x v="165"/>
    <x v="3"/>
  </r>
  <r>
    <x v="1"/>
    <x v="166"/>
    <x v="51"/>
  </r>
  <r>
    <x v="3"/>
    <x v="9"/>
    <x v="60"/>
  </r>
  <r>
    <x v="0"/>
    <x v="167"/>
    <x v="13"/>
  </r>
  <r>
    <x v="0"/>
    <x v="168"/>
    <x v="0"/>
  </r>
  <r>
    <x v="5"/>
    <x v="169"/>
    <x v="65"/>
  </r>
  <r>
    <x v="2"/>
    <x v="170"/>
    <x v="66"/>
  </r>
  <r>
    <x v="4"/>
    <x v="171"/>
    <x v="27"/>
  </r>
  <r>
    <x v="5"/>
    <x v="172"/>
    <x v="48"/>
  </r>
  <r>
    <x v="3"/>
    <x v="173"/>
    <x v="45"/>
  </r>
  <r>
    <x v="3"/>
    <x v="174"/>
    <x v="13"/>
  </r>
  <r>
    <x v="1"/>
    <x v="175"/>
    <x v="67"/>
  </r>
  <r>
    <x v="1"/>
    <x v="176"/>
    <x v="11"/>
  </r>
  <r>
    <x v="0"/>
    <x v="177"/>
    <x v="35"/>
  </r>
  <r>
    <x v="6"/>
    <x v="178"/>
    <x v="14"/>
  </r>
  <r>
    <x v="4"/>
    <x v="179"/>
    <x v="27"/>
  </r>
  <r>
    <x v="7"/>
    <x v="180"/>
    <x v="40"/>
  </r>
  <r>
    <x v="7"/>
    <x v="181"/>
    <x v="14"/>
  </r>
  <r>
    <x v="4"/>
    <x v="182"/>
    <x v="17"/>
  </r>
  <r>
    <x v="0"/>
    <x v="75"/>
    <x v="36"/>
  </r>
  <r>
    <x v="2"/>
    <x v="183"/>
    <x v="30"/>
  </r>
  <r>
    <x v="7"/>
    <x v="184"/>
    <x v="20"/>
  </r>
  <r>
    <x v="7"/>
    <x v="185"/>
    <x v="6"/>
  </r>
  <r>
    <x v="0"/>
    <x v="186"/>
    <x v="39"/>
  </r>
  <r>
    <x v="1"/>
    <x v="187"/>
    <x v="26"/>
  </r>
  <r>
    <x v="5"/>
    <x v="188"/>
    <x v="68"/>
  </r>
  <r>
    <x v="6"/>
    <x v="189"/>
    <x v="63"/>
  </r>
  <r>
    <x v="0"/>
    <x v="190"/>
    <x v="69"/>
  </r>
  <r>
    <x v="2"/>
    <x v="191"/>
    <x v="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5:I14" firstHeaderRow="1" firstDataRow="1" firstDataCol="2"/>
  <pivotFields count="3">
    <pivotField axis="axisRow" compact="0" showAll="0">
      <items count="9">
        <item sd="0" x="6"/>
        <item sd="0" x="5"/>
        <item sd="0" x="2"/>
        <item sd="0" x="0"/>
        <item sd="0" x="4"/>
        <item sd="0" x="7"/>
        <item sd="0" x="1"/>
        <item sd="0" x="3"/>
        <item t="default"/>
      </items>
    </pivotField>
    <pivotField axis="axisRow" compact="0" numFmtId="180" showAll="0">
      <items count="193">
        <item x="76"/>
        <item x="95"/>
        <item x="57"/>
        <item x="56"/>
        <item x="72"/>
        <item x="2"/>
        <item x="81"/>
        <item x="48"/>
        <item x="122"/>
        <item x="171"/>
        <item x="74"/>
        <item x="154"/>
        <item x="173"/>
        <item x="23"/>
        <item x="180"/>
        <item x="80"/>
        <item x="162"/>
        <item x="20"/>
        <item x="78"/>
        <item x="69"/>
        <item x="110"/>
        <item x="134"/>
        <item x="64"/>
        <item x="101"/>
        <item x="87"/>
        <item x="14"/>
        <item x="71"/>
        <item x="178"/>
        <item x="177"/>
        <item x="58"/>
        <item x="55"/>
        <item x="0"/>
        <item x="158"/>
        <item x="5"/>
        <item x="9"/>
        <item x="15"/>
        <item x="107"/>
        <item x="70"/>
        <item x="18"/>
        <item x="66"/>
        <item x="29"/>
        <item x="108"/>
        <item x="169"/>
        <item x="187"/>
        <item x="166"/>
        <item x="75"/>
        <item x="94"/>
        <item x="176"/>
        <item x="61"/>
        <item x="164"/>
        <item x="142"/>
        <item x="168"/>
        <item x="67"/>
        <item x="82"/>
        <item x="89"/>
        <item x="103"/>
        <item x="6"/>
        <item x="135"/>
        <item x="123"/>
        <item x="17"/>
        <item x="109"/>
        <item x="170"/>
        <item x="73"/>
        <item x="84"/>
        <item x="144"/>
        <item x="31"/>
        <item x="172"/>
        <item x="153"/>
        <item x="42"/>
        <item x="145"/>
        <item x="161"/>
        <item x="22"/>
        <item x="184"/>
        <item x="125"/>
        <item x="12"/>
        <item x="119"/>
        <item x="11"/>
        <item x="7"/>
        <item x="98"/>
        <item x="47"/>
        <item x="91"/>
        <item x="99"/>
        <item x="26"/>
        <item x="159"/>
        <item x="151"/>
        <item x="33"/>
        <item x="3"/>
        <item x="32"/>
        <item x="150"/>
        <item x="114"/>
        <item x="24"/>
        <item x="112"/>
        <item x="65"/>
        <item x="83"/>
        <item x="40"/>
        <item x="183"/>
        <item x="117"/>
        <item x="148"/>
        <item x="126"/>
        <item x="163"/>
        <item x="34"/>
        <item x="111"/>
        <item x="52"/>
        <item x="1"/>
        <item x="49"/>
        <item x="191"/>
        <item x="118"/>
        <item x="41"/>
        <item x="120"/>
        <item x="174"/>
        <item x="19"/>
        <item x="130"/>
        <item x="138"/>
        <item x="10"/>
        <item x="45"/>
        <item x="139"/>
        <item x="186"/>
        <item x="21"/>
        <item x="146"/>
        <item x="77"/>
        <item x="86"/>
        <item x="104"/>
        <item x="43"/>
        <item x="106"/>
        <item x="8"/>
        <item x="92"/>
        <item x="37"/>
        <item x="115"/>
        <item x="143"/>
        <item x="160"/>
        <item x="79"/>
        <item x="132"/>
        <item x="25"/>
        <item x="131"/>
        <item x="127"/>
        <item x="133"/>
        <item x="90"/>
        <item x="175"/>
        <item x="124"/>
        <item x="167"/>
        <item x="50"/>
        <item x="188"/>
        <item x="181"/>
        <item x="68"/>
        <item x="60"/>
        <item x="63"/>
        <item x="165"/>
        <item x="53"/>
        <item x="97"/>
        <item x="62"/>
        <item x="85"/>
        <item x="140"/>
        <item x="147"/>
        <item x="102"/>
        <item x="121"/>
        <item x="185"/>
        <item x="46"/>
        <item x="179"/>
        <item x="88"/>
        <item x="16"/>
        <item x="44"/>
        <item x="137"/>
        <item x="152"/>
        <item x="182"/>
        <item x="157"/>
        <item x="93"/>
        <item x="113"/>
        <item x="4"/>
        <item x="54"/>
        <item x="96"/>
        <item x="38"/>
        <item x="141"/>
        <item x="27"/>
        <item x="35"/>
        <item x="59"/>
        <item x="189"/>
        <item x="28"/>
        <item x="105"/>
        <item x="128"/>
        <item x="149"/>
        <item x="13"/>
        <item x="39"/>
        <item x="155"/>
        <item x="129"/>
        <item x="100"/>
        <item x="116"/>
        <item x="136"/>
        <item x="36"/>
        <item x="156"/>
        <item x="51"/>
        <item x="190"/>
        <item x="30"/>
        <item t="default"/>
      </items>
    </pivotField>
    <pivotField dataField="1" compact="0" showAll="0">
      <items count="71">
        <item x="49"/>
        <item x="50"/>
        <item x="27"/>
        <item x="34"/>
        <item x="17"/>
        <item x="13"/>
        <item x="31"/>
        <item x="63"/>
        <item x="29"/>
        <item x="33"/>
        <item x="24"/>
        <item x="46"/>
        <item x="9"/>
        <item x="26"/>
        <item x="32"/>
        <item x="6"/>
        <item x="4"/>
        <item x="14"/>
        <item x="66"/>
        <item x="47"/>
        <item x="22"/>
        <item x="19"/>
        <item x="69"/>
        <item x="36"/>
        <item x="11"/>
        <item x="38"/>
        <item x="3"/>
        <item x="48"/>
        <item x="65"/>
        <item x="56"/>
        <item x="42"/>
        <item x="2"/>
        <item x="60"/>
        <item x="52"/>
        <item x="20"/>
        <item x="44"/>
        <item x="62"/>
        <item x="10"/>
        <item x="18"/>
        <item x="64"/>
        <item x="12"/>
        <item x="8"/>
        <item x="59"/>
        <item x="21"/>
        <item x="39"/>
        <item x="68"/>
        <item x="61"/>
        <item x="7"/>
        <item x="45"/>
        <item x="53"/>
        <item x="55"/>
        <item x="37"/>
        <item x="40"/>
        <item x="35"/>
        <item x="58"/>
        <item x="67"/>
        <item x="28"/>
        <item x="5"/>
        <item x="43"/>
        <item x="51"/>
        <item x="57"/>
        <item x="30"/>
        <item x="16"/>
        <item x="25"/>
        <item x="1"/>
        <item x="23"/>
        <item x="0"/>
        <item x="54"/>
        <item x="15"/>
        <item x="41"/>
        <item t="default"/>
      </items>
    </pivotField>
  </pivotFields>
  <rowFields count="2">
    <field x="0"/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Revenue" fld="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richData/rdrichvalue.xml><?xml version="1.0" encoding="utf-8"?>
<rvData xmlns="http://schemas.microsoft.com/office/spreadsheetml/2017/richdata" count="1">
  <rv s="0">
    <v>2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id="4" name="Table4" displayName="Table4" ref="A1:J201" totalsRowShown="0">
  <tableColumns count="10">
    <tableColumn id="1" name="OrderID" dataDxfId="0"/>
    <tableColumn id="2" name="CustomerName" dataDxfId="1"/>
    <tableColumn id="3" name="ProductCode" dataDxfId="2"/>
    <tableColumn id="4" name="ProductName" dataDxfId="3"/>
    <tableColumn id="5" name="Category" dataDxfId="4"/>
    <tableColumn id="6" name="OrderDateTime" dataDxfId="5"/>
    <tableColumn id="7" name="Qty" dataDxfId="6"/>
    <tableColumn id="8" name="UnitPrice" dataDxfId="7"/>
    <tableColumn id="9" name="DiscountCode" dataDxfId="8"/>
    <tableColumn id="10" name="ShipDate" dataDxfId="9"/>
  </tableColumns>
  <tableStyleInfo name="TableStylePreset2_Accent1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A1:B7" totalsRowShown="0">
  <tableColumns count="2">
    <tableColumn id="1" name="DiscountCode" dataDxfId="11"/>
    <tableColumn id="2" name="DiscountPct" dataDxfId="12"/>
  </tableColumns>
  <tableStyleInfo name="TableStylePreset2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8"/>
  <sheetViews>
    <sheetView tabSelected="1" workbookViewId="0">
      <selection activeCell="B19" sqref="B19"/>
    </sheetView>
  </sheetViews>
  <sheetFormatPr defaultColWidth="12.6285714285714" defaultRowHeight="15.75" customHeight="1" outlineLevelCol="1"/>
  <cols>
    <col min="1" max="1" width="142.247619047619" customWidth="1"/>
  </cols>
  <sheetData>
    <row r="1" customHeight="1" spans="1:2">
      <c r="A1" s="64" t="s">
        <v>0</v>
      </c>
    </row>
    <row r="2" ht="34.5" spans="1:2">
      <c r="A2" s="8" t="s">
        <v>1</v>
      </c>
    </row>
    <row r="3" customHeight="1" spans="1:2">
      <c r="A3" s="8"/>
    </row>
    <row r="4" customHeight="1" spans="1:2">
      <c r="A4" s="64" t="s">
        <v>2</v>
      </c>
    </row>
    <row r="5" customHeight="1" spans="1:2">
      <c r="A5" s="8" t="s">
        <v>3</v>
      </c>
    </row>
    <row r="6" customHeight="1" spans="1:2">
      <c r="A6" s="8" t="s">
        <v>4</v>
      </c>
    </row>
    <row r="7" customHeight="1" spans="1:2">
      <c r="A7" s="8" t="s">
        <v>5</v>
      </c>
    </row>
    <row r="8" customHeight="1" spans="1:2">
      <c r="A8" s="8"/>
    </row>
    <row r="9" customHeight="1" spans="1:2">
      <c r="A9" s="64" t="s">
        <v>6</v>
      </c>
      <c r="B9" s="65" t="s">
        <v>7</v>
      </c>
    </row>
    <row r="10" customHeight="1" spans="1:2">
      <c r="A10" s="8" t="s">
        <v>8</v>
      </c>
      <c r="B10" s="66" t="s">
        <v>9</v>
      </c>
    </row>
    <row r="11" customHeight="1" spans="1:2">
      <c r="A11" s="8" t="s">
        <v>10</v>
      </c>
      <c r="B11" s="66" t="s">
        <v>9</v>
      </c>
    </row>
    <row r="12" customHeight="1" spans="1:2">
      <c r="A12" s="8" t="s">
        <v>11</v>
      </c>
      <c r="B12" s="66" t="s">
        <v>9</v>
      </c>
    </row>
    <row r="13" customHeight="1" spans="1:2">
      <c r="A13" s="8" t="s">
        <v>12</v>
      </c>
      <c r="B13" s="66" t="s">
        <v>9</v>
      </c>
    </row>
    <row r="14" customHeight="1" spans="1:2">
      <c r="A14" s="8" t="s">
        <v>13</v>
      </c>
      <c r="B14" s="66" t="s">
        <v>9</v>
      </c>
    </row>
    <row r="15" customHeight="1" spans="1:2">
      <c r="A15" s="8" t="s">
        <v>14</v>
      </c>
      <c r="B15" s="66" t="s">
        <v>9</v>
      </c>
    </row>
    <row r="16" customHeight="1" spans="1:2">
      <c r="A16" s="8" t="s">
        <v>15</v>
      </c>
      <c r="B16" s="66" t="s">
        <v>9</v>
      </c>
    </row>
    <row r="17" customHeight="1" spans="1:2">
      <c r="A17" s="8" t="s">
        <v>16</v>
      </c>
      <c r="B17" s="66"/>
    </row>
    <row r="18" customHeight="1" spans="1:2">
      <c r="A18" s="8" t="s">
        <v>17</v>
      </c>
      <c r="B18" s="67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01"/>
  <sheetViews>
    <sheetView workbookViewId="0">
      <selection activeCell="F1" sqref="G$1:G$1048576 H$1:H$1048576 F$1:F$1048576"/>
    </sheetView>
  </sheetViews>
  <sheetFormatPr defaultColWidth="12.6285714285714" defaultRowHeight="15.75" customHeight="1"/>
  <cols>
    <col min="1" max="1" width="18.7142857142857" style="19" customWidth="1"/>
    <col min="2" max="2" width="21.2857142857143" style="19" customWidth="1"/>
    <col min="3" max="3" width="18" style="19" customWidth="1"/>
    <col min="4" max="4" width="19" style="19" customWidth="1"/>
    <col min="5" max="5" width="16.8571428571429" style="19" customWidth="1"/>
    <col min="6" max="6" width="20.8571428571429" style="19" customWidth="1"/>
    <col min="7" max="7" width="6" style="19" customWidth="1"/>
    <col min="8" max="8" width="12.7142857142857" style="19" customWidth="1"/>
    <col min="9" max="9" width="19.1428571428571" style="19" customWidth="1"/>
    <col min="10" max="10" width="12.7142857142857" style="19" customWidth="1"/>
  </cols>
  <sheetData>
    <row r="1" customHeight="1" spans="1:10">
      <c r="A1" s="55" t="s">
        <v>18</v>
      </c>
      <c r="B1" s="55" t="s">
        <v>19</v>
      </c>
      <c r="C1" s="55" t="s">
        <v>20</v>
      </c>
      <c r="D1" s="55" t="s">
        <v>21</v>
      </c>
      <c r="E1" s="55" t="s">
        <v>22</v>
      </c>
      <c r="F1" s="55" t="s">
        <v>23</v>
      </c>
      <c r="G1" s="55" t="s">
        <v>24</v>
      </c>
      <c r="H1" s="55" t="s">
        <v>25</v>
      </c>
      <c r="I1" s="55" t="s">
        <v>26</v>
      </c>
      <c r="J1" s="55" t="s">
        <v>27</v>
      </c>
    </row>
    <row r="2" customHeight="1" spans="1:10">
      <c r="A2" s="56" t="s">
        <v>28</v>
      </c>
      <c r="B2" s="56" t="s">
        <v>29</v>
      </c>
      <c r="C2" s="56" t="s">
        <v>30</v>
      </c>
      <c r="D2" s="56" t="s">
        <v>31</v>
      </c>
      <c r="E2" s="56" t="s">
        <v>32</v>
      </c>
      <c r="F2" s="57">
        <v>45313.875</v>
      </c>
      <c r="G2" s="56">
        <v>5</v>
      </c>
      <c r="H2" s="56">
        <v>1599</v>
      </c>
      <c r="I2" s="56" t="s">
        <v>33</v>
      </c>
      <c r="J2" s="58">
        <v>45315</v>
      </c>
    </row>
    <row r="3" customHeight="1" spans="1:10">
      <c r="A3" s="56" t="s">
        <v>34</v>
      </c>
      <c r="B3" s="56" t="s">
        <v>35</v>
      </c>
      <c r="C3" s="56" t="s">
        <v>36</v>
      </c>
      <c r="D3" s="56" t="s">
        <v>37</v>
      </c>
      <c r="E3" s="56" t="s">
        <v>38</v>
      </c>
      <c r="F3" s="57">
        <v>45378.7916666667</v>
      </c>
      <c r="G3" s="56">
        <v>2</v>
      </c>
      <c r="H3" s="56">
        <v>2999</v>
      </c>
      <c r="I3" s="56" t="s">
        <v>39</v>
      </c>
      <c r="J3" s="58">
        <v>45381</v>
      </c>
    </row>
    <row r="4" customHeight="1" spans="1:10">
      <c r="A4" s="56" t="s">
        <v>40</v>
      </c>
      <c r="B4" s="56" t="s">
        <v>41</v>
      </c>
      <c r="C4" s="56" t="s">
        <v>42</v>
      </c>
      <c r="D4" s="56" t="s">
        <v>43</v>
      </c>
      <c r="E4" s="56" t="s">
        <v>44</v>
      </c>
      <c r="F4" s="59">
        <v>45295.5833333333</v>
      </c>
      <c r="G4" s="56">
        <v>1</v>
      </c>
      <c r="H4" s="56">
        <v>1199</v>
      </c>
      <c r="I4" s="56" t="s">
        <v>39</v>
      </c>
      <c r="J4" s="58">
        <v>45300</v>
      </c>
    </row>
    <row r="5" customHeight="1" spans="1:10">
      <c r="A5" s="56" t="s">
        <v>45</v>
      </c>
      <c r="B5" s="56" t="s">
        <v>46</v>
      </c>
      <c r="C5" s="56" t="s">
        <v>47</v>
      </c>
      <c r="D5" s="56" t="s">
        <v>48</v>
      </c>
      <c r="E5" s="56" t="s">
        <v>38</v>
      </c>
      <c r="F5" s="59">
        <v>45363.75</v>
      </c>
      <c r="G5" s="56">
        <v>2</v>
      </c>
      <c r="H5" s="56">
        <v>499</v>
      </c>
      <c r="I5" s="56" t="s">
        <v>49</v>
      </c>
      <c r="J5" s="58">
        <v>45367</v>
      </c>
    </row>
    <row r="6" customHeight="1" spans="1:10">
      <c r="A6" s="56" t="s">
        <v>50</v>
      </c>
      <c r="B6" s="56" t="s">
        <v>51</v>
      </c>
      <c r="C6" s="56" t="s">
        <v>52</v>
      </c>
      <c r="D6" s="56" t="s">
        <v>53</v>
      </c>
      <c r="E6" s="56" t="s">
        <v>54</v>
      </c>
      <c r="F6" s="60">
        <v>45447.2916666667</v>
      </c>
      <c r="G6" s="56">
        <v>1</v>
      </c>
      <c r="H6" s="56">
        <v>649</v>
      </c>
      <c r="I6" s="56" t="s">
        <v>39</v>
      </c>
      <c r="J6" s="58">
        <v>45448</v>
      </c>
    </row>
    <row r="7" customHeight="1" spans="1:10">
      <c r="A7" s="56" t="s">
        <v>55</v>
      </c>
      <c r="B7" s="56" t="s">
        <v>56</v>
      </c>
      <c r="C7" s="56" t="s">
        <v>57</v>
      </c>
      <c r="D7" s="56" t="s">
        <v>58</v>
      </c>
      <c r="E7" s="56" t="s">
        <v>54</v>
      </c>
      <c r="F7" s="57">
        <v>45319.4583333333</v>
      </c>
      <c r="G7" s="56">
        <v>4</v>
      </c>
      <c r="H7" s="56">
        <v>899</v>
      </c>
      <c r="I7" s="56" t="s">
        <v>39</v>
      </c>
      <c r="J7" s="58">
        <v>45324</v>
      </c>
    </row>
    <row r="8" customHeight="1" spans="1:10">
      <c r="A8" s="56" t="s">
        <v>59</v>
      </c>
      <c r="B8" s="56" t="s">
        <v>60</v>
      </c>
      <c r="C8" s="56" t="s">
        <v>61</v>
      </c>
      <c r="D8" s="56" t="s">
        <v>62</v>
      </c>
      <c r="E8" s="56" t="s">
        <v>63</v>
      </c>
      <c r="F8" s="59">
        <v>45336.4583333333</v>
      </c>
      <c r="G8" s="56">
        <v>2</v>
      </c>
      <c r="H8" s="56">
        <v>299</v>
      </c>
      <c r="I8" s="56" t="s">
        <v>39</v>
      </c>
      <c r="J8" s="58">
        <v>45339</v>
      </c>
    </row>
    <row r="9" customHeight="1" spans="1:10">
      <c r="A9" s="56" t="s">
        <v>64</v>
      </c>
      <c r="B9" s="56" t="s">
        <v>65</v>
      </c>
      <c r="C9" s="56" t="s">
        <v>66</v>
      </c>
      <c r="D9" s="56" t="s">
        <v>67</v>
      </c>
      <c r="E9" s="56" t="s">
        <v>68</v>
      </c>
      <c r="F9" s="61">
        <v>45353.625</v>
      </c>
      <c r="G9" s="56">
        <v>5</v>
      </c>
      <c r="H9" s="56">
        <v>399</v>
      </c>
      <c r="I9" s="56" t="s">
        <v>69</v>
      </c>
      <c r="J9" s="58">
        <v>45357</v>
      </c>
    </row>
    <row r="10" customHeight="1" spans="1:10">
      <c r="A10" s="56" t="s">
        <v>70</v>
      </c>
      <c r="B10" s="56" t="s">
        <v>71</v>
      </c>
      <c r="C10" s="56" t="s">
        <v>72</v>
      </c>
      <c r="D10" s="56" t="s">
        <v>73</v>
      </c>
      <c r="E10" s="56" t="s">
        <v>63</v>
      </c>
      <c r="F10" s="57">
        <v>45407.4583333333</v>
      </c>
      <c r="G10" s="56">
        <v>5</v>
      </c>
      <c r="H10" s="56">
        <v>349</v>
      </c>
      <c r="I10" s="56" t="s">
        <v>39</v>
      </c>
      <c r="J10" s="58">
        <v>45411</v>
      </c>
    </row>
    <row r="11" customHeight="1" spans="1:10">
      <c r="A11" s="56" t="s">
        <v>74</v>
      </c>
      <c r="B11" s="56" t="s">
        <v>75</v>
      </c>
      <c r="C11" s="56" t="s">
        <v>76</v>
      </c>
      <c r="D11" s="56" t="s">
        <v>77</v>
      </c>
      <c r="E11" s="56" t="s">
        <v>78</v>
      </c>
      <c r="F11" s="60">
        <v>45322.5</v>
      </c>
      <c r="G11" s="56">
        <v>2</v>
      </c>
      <c r="H11" s="56">
        <v>249</v>
      </c>
      <c r="I11" s="56" t="s">
        <v>39</v>
      </c>
      <c r="J11" s="58">
        <v>45327</v>
      </c>
    </row>
    <row r="12" customHeight="1" spans="1:10">
      <c r="A12" s="56" t="s">
        <v>79</v>
      </c>
      <c r="B12" s="56" t="s">
        <v>65</v>
      </c>
      <c r="C12" s="56" t="s">
        <v>47</v>
      </c>
      <c r="D12" s="56" t="s">
        <v>48</v>
      </c>
      <c r="E12" s="56" t="s">
        <v>38</v>
      </c>
      <c r="F12" s="57">
        <v>45393.3333333333</v>
      </c>
      <c r="G12" s="56">
        <v>3</v>
      </c>
      <c r="H12" s="56">
        <v>499</v>
      </c>
      <c r="I12" s="56" t="s">
        <v>39</v>
      </c>
      <c r="J12" s="58">
        <v>45395</v>
      </c>
    </row>
    <row r="13" customHeight="1" spans="1:10">
      <c r="A13" s="56" t="s">
        <v>80</v>
      </c>
      <c r="B13" s="56" t="s">
        <v>81</v>
      </c>
      <c r="C13" s="56" t="s">
        <v>82</v>
      </c>
      <c r="D13" s="56" t="s">
        <v>83</v>
      </c>
      <c r="E13" s="56" t="s">
        <v>63</v>
      </c>
      <c r="F13" s="61">
        <v>45352.6666666667</v>
      </c>
      <c r="G13" s="56">
        <v>5</v>
      </c>
      <c r="H13" s="56">
        <v>199</v>
      </c>
      <c r="I13" s="56" t="s">
        <v>39</v>
      </c>
      <c r="J13" s="58">
        <v>45354</v>
      </c>
    </row>
    <row r="14" customHeight="1" spans="1:10">
      <c r="A14" s="56" t="s">
        <v>84</v>
      </c>
      <c r="B14" s="56" t="s">
        <v>85</v>
      </c>
      <c r="C14" s="56" t="s">
        <v>30</v>
      </c>
      <c r="D14" s="56" t="s">
        <v>31</v>
      </c>
      <c r="E14" s="56" t="s">
        <v>32</v>
      </c>
      <c r="F14" s="57">
        <v>45351.5</v>
      </c>
      <c r="G14" s="56">
        <v>1</v>
      </c>
      <c r="H14" s="56">
        <v>1599</v>
      </c>
      <c r="I14" s="56" t="s">
        <v>39</v>
      </c>
      <c r="J14" s="58">
        <v>45355</v>
      </c>
    </row>
    <row r="15" customHeight="1" spans="1:10">
      <c r="A15" s="56" t="s">
        <v>86</v>
      </c>
      <c r="B15" s="56" t="s">
        <v>56</v>
      </c>
      <c r="C15" s="56" t="s">
        <v>87</v>
      </c>
      <c r="D15" s="56" t="s">
        <v>88</v>
      </c>
      <c r="E15" s="56" t="s">
        <v>38</v>
      </c>
      <c r="F15" s="59">
        <v>45462.875</v>
      </c>
      <c r="G15" s="56">
        <v>1</v>
      </c>
      <c r="H15" s="56">
        <v>349</v>
      </c>
      <c r="I15" s="56" t="s">
        <v>89</v>
      </c>
      <c r="J15" s="58">
        <v>45465</v>
      </c>
    </row>
    <row r="16" customHeight="1" spans="1:10">
      <c r="A16" s="56" t="s">
        <v>90</v>
      </c>
      <c r="B16" s="56" t="s">
        <v>46</v>
      </c>
      <c r="C16" s="56" t="s">
        <v>87</v>
      </c>
      <c r="D16" s="56" t="s">
        <v>88</v>
      </c>
      <c r="E16" s="56" t="s">
        <v>38</v>
      </c>
      <c r="F16" s="60">
        <v>45310.375</v>
      </c>
      <c r="G16" s="56">
        <v>2</v>
      </c>
      <c r="H16" s="56">
        <v>349</v>
      </c>
      <c r="I16" s="56" t="s">
        <v>69</v>
      </c>
      <c r="J16" s="58">
        <v>45313</v>
      </c>
    </row>
    <row r="17" customHeight="1" spans="1:10">
      <c r="A17" s="56" t="s">
        <v>91</v>
      </c>
      <c r="B17" s="56" t="s">
        <v>92</v>
      </c>
      <c r="C17" s="56" t="s">
        <v>36</v>
      </c>
      <c r="D17" s="56" t="s">
        <v>37</v>
      </c>
      <c r="E17" s="56" t="s">
        <v>38</v>
      </c>
      <c r="F17" s="61">
        <v>45323.7916666667</v>
      </c>
      <c r="G17" s="56">
        <v>4</v>
      </c>
      <c r="H17" s="56">
        <v>2999</v>
      </c>
      <c r="I17" s="56" t="s">
        <v>69</v>
      </c>
      <c r="J17" s="58">
        <v>45327</v>
      </c>
    </row>
    <row r="18" customHeight="1" spans="1:10">
      <c r="A18" s="56" t="s">
        <v>93</v>
      </c>
      <c r="B18" s="56" t="s">
        <v>94</v>
      </c>
      <c r="C18" s="56" t="s">
        <v>95</v>
      </c>
      <c r="D18" s="56" t="s">
        <v>96</v>
      </c>
      <c r="E18" s="56" t="s">
        <v>32</v>
      </c>
      <c r="F18" s="60">
        <v>45438.375</v>
      </c>
      <c r="G18" s="56">
        <v>4</v>
      </c>
      <c r="H18" s="56">
        <v>1299</v>
      </c>
      <c r="I18" s="56" t="s">
        <v>89</v>
      </c>
      <c r="J18" s="58">
        <v>45443</v>
      </c>
    </row>
    <row r="19" customHeight="1" spans="1:10">
      <c r="A19" s="56" t="s">
        <v>97</v>
      </c>
      <c r="B19" s="56" t="s">
        <v>98</v>
      </c>
      <c r="C19" s="56" t="s">
        <v>99</v>
      </c>
      <c r="D19" s="56" t="s">
        <v>100</v>
      </c>
      <c r="E19" s="56" t="s">
        <v>101</v>
      </c>
      <c r="F19" s="57">
        <v>45338.8333333333</v>
      </c>
      <c r="G19" s="56">
        <v>1</v>
      </c>
      <c r="H19" s="56">
        <v>299</v>
      </c>
      <c r="I19" s="56" t="s">
        <v>102</v>
      </c>
      <c r="J19" s="58">
        <v>45343</v>
      </c>
    </row>
    <row r="20" customHeight="1" spans="1:10">
      <c r="A20" s="56" t="s">
        <v>103</v>
      </c>
      <c r="B20" s="56" t="s">
        <v>65</v>
      </c>
      <c r="C20" s="56" t="s">
        <v>104</v>
      </c>
      <c r="D20" s="56" t="s">
        <v>105</v>
      </c>
      <c r="E20" s="56" t="s">
        <v>44</v>
      </c>
      <c r="F20" s="59">
        <v>45324.9583333333</v>
      </c>
      <c r="G20" s="56">
        <v>4</v>
      </c>
      <c r="H20" s="56">
        <v>399</v>
      </c>
      <c r="I20" s="56" t="s">
        <v>39</v>
      </c>
      <c r="J20" s="58">
        <v>45325</v>
      </c>
    </row>
    <row r="21" customHeight="1" spans="1:10">
      <c r="A21" s="56" t="s">
        <v>106</v>
      </c>
      <c r="B21" s="56" t="s">
        <v>107</v>
      </c>
      <c r="C21" s="56" t="s">
        <v>52</v>
      </c>
      <c r="D21" s="56" t="s">
        <v>53</v>
      </c>
      <c r="E21" s="56" t="s">
        <v>54</v>
      </c>
      <c r="F21" s="60">
        <v>45390.75</v>
      </c>
      <c r="G21" s="56">
        <v>1</v>
      </c>
      <c r="H21" s="56">
        <v>649</v>
      </c>
      <c r="I21" s="56" t="s">
        <v>89</v>
      </c>
      <c r="J21" s="58">
        <v>45395</v>
      </c>
    </row>
    <row r="22" customHeight="1" spans="1:10">
      <c r="A22" s="56" t="s">
        <v>108</v>
      </c>
      <c r="B22" s="56" t="s">
        <v>109</v>
      </c>
      <c r="C22" s="56" t="s">
        <v>110</v>
      </c>
      <c r="D22" s="56" t="s">
        <v>111</v>
      </c>
      <c r="E22" s="56" t="s">
        <v>32</v>
      </c>
      <c r="F22" s="57">
        <v>45305.9166666667</v>
      </c>
      <c r="G22" s="56">
        <v>5</v>
      </c>
      <c r="H22" s="56">
        <v>349</v>
      </c>
      <c r="I22" s="56" t="s">
        <v>39</v>
      </c>
      <c r="J22" s="58">
        <v>45310</v>
      </c>
    </row>
    <row r="23" customHeight="1" spans="1:10">
      <c r="A23" s="56" t="s">
        <v>112</v>
      </c>
      <c r="B23" s="56" t="s">
        <v>113</v>
      </c>
      <c r="C23" s="56" t="s">
        <v>66</v>
      </c>
      <c r="D23" s="56" t="s">
        <v>67</v>
      </c>
      <c r="E23" s="56" t="s">
        <v>68</v>
      </c>
      <c r="F23" s="59">
        <v>45398.5416666667</v>
      </c>
      <c r="G23" s="56">
        <v>2</v>
      </c>
      <c r="H23" s="56">
        <v>399</v>
      </c>
      <c r="I23" s="56" t="s">
        <v>39</v>
      </c>
      <c r="J23" s="58">
        <v>45403</v>
      </c>
    </row>
    <row r="24" customHeight="1" spans="1:10">
      <c r="A24" s="56" t="s">
        <v>114</v>
      </c>
      <c r="B24" s="56" t="s">
        <v>115</v>
      </c>
      <c r="C24" s="56" t="s">
        <v>116</v>
      </c>
      <c r="D24" s="56" t="s">
        <v>117</v>
      </c>
      <c r="E24" s="56" t="s">
        <v>38</v>
      </c>
      <c r="F24" s="60">
        <v>45348.9166666667</v>
      </c>
      <c r="G24" s="56">
        <v>5</v>
      </c>
      <c r="H24" s="56">
        <v>199</v>
      </c>
      <c r="I24" s="56" t="s">
        <v>39</v>
      </c>
      <c r="J24" s="58">
        <v>45351</v>
      </c>
    </row>
    <row r="25" customHeight="1" spans="1:10">
      <c r="A25" s="56" t="s">
        <v>118</v>
      </c>
      <c r="B25" s="56" t="s">
        <v>119</v>
      </c>
      <c r="C25" s="56" t="s">
        <v>120</v>
      </c>
      <c r="D25" s="56" t="s">
        <v>121</v>
      </c>
      <c r="E25" s="56" t="s">
        <v>78</v>
      </c>
      <c r="F25" s="59">
        <v>45303.5416666667</v>
      </c>
      <c r="G25" s="56">
        <v>5</v>
      </c>
      <c r="H25" s="56">
        <v>349</v>
      </c>
      <c r="I25" s="56" t="s">
        <v>39</v>
      </c>
      <c r="J25" s="58">
        <v>45304</v>
      </c>
    </row>
    <row r="26" customHeight="1" spans="1:10">
      <c r="A26" s="56" t="s">
        <v>122</v>
      </c>
      <c r="B26" s="56" t="s">
        <v>123</v>
      </c>
      <c r="C26" s="56" t="s">
        <v>124</v>
      </c>
      <c r="D26" s="56" t="s">
        <v>125</v>
      </c>
      <c r="E26" s="56" t="s">
        <v>68</v>
      </c>
      <c r="F26" s="57">
        <v>45367.9583333333</v>
      </c>
      <c r="G26" s="56">
        <v>2</v>
      </c>
      <c r="H26" s="56">
        <v>349</v>
      </c>
      <c r="I26" s="56" t="s">
        <v>33</v>
      </c>
      <c r="J26" s="58">
        <v>45372</v>
      </c>
    </row>
    <row r="27" customHeight="1" spans="1:10">
      <c r="A27" s="56" t="s">
        <v>126</v>
      </c>
      <c r="B27" s="56" t="s">
        <v>127</v>
      </c>
      <c r="C27" s="56" t="s">
        <v>87</v>
      </c>
      <c r="D27" s="56" t="s">
        <v>88</v>
      </c>
      <c r="E27" s="56" t="s">
        <v>38</v>
      </c>
      <c r="F27" s="60">
        <v>45415.3333333333</v>
      </c>
      <c r="G27" s="56">
        <v>4</v>
      </c>
      <c r="H27" s="56">
        <v>349</v>
      </c>
      <c r="I27" s="56" t="s">
        <v>39</v>
      </c>
      <c r="J27" s="58">
        <v>45416</v>
      </c>
    </row>
    <row r="28" customHeight="1" spans="1:10">
      <c r="A28" s="56" t="s">
        <v>128</v>
      </c>
      <c r="B28" s="56" t="s">
        <v>129</v>
      </c>
      <c r="C28" s="56" t="s">
        <v>130</v>
      </c>
      <c r="D28" s="56" t="s">
        <v>131</v>
      </c>
      <c r="E28" s="56" t="s">
        <v>78</v>
      </c>
      <c r="F28" s="59">
        <v>45359.5</v>
      </c>
      <c r="G28" s="56">
        <v>3</v>
      </c>
      <c r="H28" s="56">
        <v>599</v>
      </c>
      <c r="I28" s="56" t="s">
        <v>33</v>
      </c>
      <c r="J28" s="58">
        <v>45360</v>
      </c>
    </row>
    <row r="29" customHeight="1" spans="1:10">
      <c r="A29" s="56" t="s">
        <v>132</v>
      </c>
      <c r="B29" s="56" t="s">
        <v>65</v>
      </c>
      <c r="C29" s="56" t="s">
        <v>133</v>
      </c>
      <c r="D29" s="56" t="s">
        <v>134</v>
      </c>
      <c r="E29" s="56" t="s">
        <v>101</v>
      </c>
      <c r="F29" s="61">
        <v>45450.875</v>
      </c>
      <c r="G29" s="56">
        <v>4</v>
      </c>
      <c r="H29" s="56">
        <v>199</v>
      </c>
      <c r="I29" s="56" t="s">
        <v>39</v>
      </c>
      <c r="J29" s="58">
        <v>45452</v>
      </c>
    </row>
    <row r="30" customHeight="1" spans="1:10">
      <c r="A30" s="56" t="s">
        <v>135</v>
      </c>
      <c r="B30" s="56" t="s">
        <v>115</v>
      </c>
      <c r="C30" s="56" t="s">
        <v>95</v>
      </c>
      <c r="D30" s="56" t="s">
        <v>96</v>
      </c>
      <c r="E30" s="56" t="s">
        <v>32</v>
      </c>
      <c r="F30" s="59">
        <v>45459.2916666667</v>
      </c>
      <c r="G30" s="56">
        <v>5</v>
      </c>
      <c r="H30" s="56">
        <v>1299</v>
      </c>
      <c r="I30" s="56" t="s">
        <v>39</v>
      </c>
      <c r="J30" s="58">
        <v>45460</v>
      </c>
    </row>
    <row r="31" customHeight="1" spans="1:10">
      <c r="A31" s="56" t="s">
        <v>136</v>
      </c>
      <c r="B31" s="56" t="s">
        <v>137</v>
      </c>
      <c r="C31" s="56" t="s">
        <v>42</v>
      </c>
      <c r="D31" s="56" t="s">
        <v>43</v>
      </c>
      <c r="E31" s="56" t="s">
        <v>44</v>
      </c>
      <c r="F31" s="59">
        <v>45325.9166666667</v>
      </c>
      <c r="G31" s="56">
        <v>1</v>
      </c>
      <c r="H31" s="56">
        <v>1199</v>
      </c>
      <c r="I31" s="56" t="s">
        <v>39</v>
      </c>
      <c r="J31" s="58">
        <v>45330</v>
      </c>
    </row>
    <row r="32" customHeight="1" spans="1:10">
      <c r="A32" s="56" t="s">
        <v>138</v>
      </c>
      <c r="B32" s="56" t="s">
        <v>60</v>
      </c>
      <c r="C32" s="56" t="s">
        <v>110</v>
      </c>
      <c r="D32" s="56" t="s">
        <v>111</v>
      </c>
      <c r="E32" s="56" t="s">
        <v>32</v>
      </c>
      <c r="F32" s="57">
        <v>45473.75</v>
      </c>
      <c r="G32" s="56">
        <v>5</v>
      </c>
      <c r="H32" s="56">
        <v>349</v>
      </c>
      <c r="I32" s="56" t="s">
        <v>39</v>
      </c>
      <c r="J32" s="58">
        <v>45477</v>
      </c>
    </row>
    <row r="33" customHeight="1" spans="1:10">
      <c r="A33" s="56" t="s">
        <v>139</v>
      </c>
      <c r="B33" s="56" t="s">
        <v>115</v>
      </c>
      <c r="C33" s="56" t="s">
        <v>140</v>
      </c>
      <c r="D33" s="56" t="s">
        <v>141</v>
      </c>
      <c r="E33" s="56" t="s">
        <v>63</v>
      </c>
      <c r="F33" s="57">
        <v>45343.875</v>
      </c>
      <c r="G33" s="56">
        <v>1</v>
      </c>
      <c r="H33" s="56">
        <v>449</v>
      </c>
      <c r="I33" s="56" t="s">
        <v>33</v>
      </c>
      <c r="J33" s="58">
        <v>45344</v>
      </c>
    </row>
    <row r="34" customHeight="1" spans="1:10">
      <c r="A34" s="56" t="s">
        <v>142</v>
      </c>
      <c r="B34" s="56" t="s">
        <v>65</v>
      </c>
      <c r="C34" s="56" t="s">
        <v>143</v>
      </c>
      <c r="D34" s="56" t="s">
        <v>144</v>
      </c>
      <c r="E34" s="56" t="s">
        <v>54</v>
      </c>
      <c r="F34" s="60">
        <v>45363.9166666667</v>
      </c>
      <c r="G34" s="56">
        <v>5</v>
      </c>
      <c r="H34" s="56">
        <v>1199</v>
      </c>
      <c r="I34" s="56" t="s">
        <v>102</v>
      </c>
      <c r="J34" s="58">
        <v>45365</v>
      </c>
    </row>
    <row r="35" customHeight="1" spans="1:10">
      <c r="A35" s="56" t="s">
        <v>145</v>
      </c>
      <c r="B35" s="56" t="s">
        <v>146</v>
      </c>
      <c r="C35" s="56" t="s">
        <v>87</v>
      </c>
      <c r="D35" s="56" t="s">
        <v>88</v>
      </c>
      <c r="E35" s="56" t="s">
        <v>38</v>
      </c>
      <c r="F35" s="59">
        <v>45360.7083333333</v>
      </c>
      <c r="G35" s="56">
        <v>2</v>
      </c>
      <c r="H35" s="56">
        <v>349</v>
      </c>
      <c r="I35" s="56" t="s">
        <v>33</v>
      </c>
      <c r="J35" s="58">
        <v>45362</v>
      </c>
    </row>
    <row r="36" customHeight="1" spans="1:10">
      <c r="A36" s="56" t="s">
        <v>147</v>
      </c>
      <c r="B36" s="56" t="s">
        <v>115</v>
      </c>
      <c r="C36" s="56" t="s">
        <v>66</v>
      </c>
      <c r="D36" s="56" t="s">
        <v>67</v>
      </c>
      <c r="E36" s="56" t="s">
        <v>68</v>
      </c>
      <c r="F36" s="57">
        <v>45375.9583333333</v>
      </c>
      <c r="G36" s="56">
        <v>4</v>
      </c>
      <c r="H36" s="56">
        <v>399</v>
      </c>
      <c r="I36" s="56" t="s">
        <v>69</v>
      </c>
      <c r="J36" s="58">
        <v>45377</v>
      </c>
    </row>
    <row r="37" customHeight="1" spans="1:10">
      <c r="A37" s="56" t="s">
        <v>148</v>
      </c>
      <c r="B37" s="56" t="s">
        <v>94</v>
      </c>
      <c r="C37" s="56" t="s">
        <v>47</v>
      </c>
      <c r="D37" s="56" t="s">
        <v>48</v>
      </c>
      <c r="E37" s="56" t="s">
        <v>38</v>
      </c>
      <c r="F37" s="59">
        <v>45452.5</v>
      </c>
      <c r="G37" s="56">
        <v>1</v>
      </c>
      <c r="H37" s="56">
        <v>499</v>
      </c>
      <c r="I37" s="56" t="s">
        <v>39</v>
      </c>
      <c r="J37" s="58">
        <v>45456</v>
      </c>
    </row>
    <row r="38" customHeight="1" spans="1:10">
      <c r="A38" s="56" t="s">
        <v>149</v>
      </c>
      <c r="B38" s="56" t="s">
        <v>150</v>
      </c>
      <c r="C38" s="56" t="s">
        <v>30</v>
      </c>
      <c r="D38" s="56" t="s">
        <v>31</v>
      </c>
      <c r="E38" s="56" t="s">
        <v>32</v>
      </c>
      <c r="F38" s="59">
        <v>45470.8333333333</v>
      </c>
      <c r="G38" s="56">
        <v>1</v>
      </c>
      <c r="H38" s="56">
        <v>1599</v>
      </c>
      <c r="I38" s="56" t="s">
        <v>89</v>
      </c>
      <c r="J38" s="58">
        <v>45475</v>
      </c>
    </row>
    <row r="39" customHeight="1" spans="1:10">
      <c r="A39" s="56" t="s">
        <v>151</v>
      </c>
      <c r="B39" s="56" t="s">
        <v>46</v>
      </c>
      <c r="C39" s="56" t="s">
        <v>152</v>
      </c>
      <c r="D39" s="56" t="s">
        <v>153</v>
      </c>
      <c r="E39" s="56" t="s">
        <v>63</v>
      </c>
      <c r="F39" s="60">
        <v>45410.625</v>
      </c>
      <c r="G39" s="56">
        <v>1</v>
      </c>
      <c r="H39" s="56">
        <v>199</v>
      </c>
      <c r="I39" s="56" t="s">
        <v>39</v>
      </c>
      <c r="J39" s="58">
        <v>45412</v>
      </c>
    </row>
    <row r="40" customHeight="1" spans="1:10">
      <c r="A40" s="56" t="s">
        <v>154</v>
      </c>
      <c r="B40" s="56" t="s">
        <v>155</v>
      </c>
      <c r="C40" s="56" t="s">
        <v>156</v>
      </c>
      <c r="D40" s="56" t="s">
        <v>157</v>
      </c>
      <c r="E40" s="56" t="s">
        <v>44</v>
      </c>
      <c r="F40" s="59">
        <v>45449.2916666667</v>
      </c>
      <c r="G40" s="56">
        <v>5</v>
      </c>
      <c r="H40" s="56">
        <v>699</v>
      </c>
      <c r="I40" s="56" t="s">
        <v>69</v>
      </c>
      <c r="J40" s="58">
        <v>45452</v>
      </c>
    </row>
    <row r="41" customHeight="1" spans="1:10">
      <c r="A41" s="56" t="s">
        <v>158</v>
      </c>
      <c r="B41" s="56" t="s">
        <v>115</v>
      </c>
      <c r="C41" s="56" t="s">
        <v>133</v>
      </c>
      <c r="D41" s="56" t="s">
        <v>134</v>
      </c>
      <c r="E41" s="56" t="s">
        <v>101</v>
      </c>
      <c r="F41" s="57">
        <v>45463.625</v>
      </c>
      <c r="G41" s="56">
        <v>2</v>
      </c>
      <c r="H41" s="56">
        <v>199</v>
      </c>
      <c r="I41" s="56" t="s">
        <v>89</v>
      </c>
      <c r="J41" s="58">
        <v>45468</v>
      </c>
    </row>
    <row r="42" customHeight="1" spans="1:10">
      <c r="A42" s="56" t="s">
        <v>159</v>
      </c>
      <c r="B42" s="56" t="s">
        <v>127</v>
      </c>
      <c r="C42" s="56" t="s">
        <v>42</v>
      </c>
      <c r="D42" s="56" t="s">
        <v>43</v>
      </c>
      <c r="E42" s="56" t="s">
        <v>44</v>
      </c>
      <c r="F42" s="59">
        <v>45372.3333333333</v>
      </c>
      <c r="G42" s="56">
        <v>4</v>
      </c>
      <c r="H42" s="56">
        <v>1199</v>
      </c>
      <c r="I42" s="56" t="s">
        <v>102</v>
      </c>
      <c r="J42" s="58">
        <v>45375</v>
      </c>
    </row>
    <row r="43" customHeight="1" spans="1:10">
      <c r="A43" s="56" t="s">
        <v>160</v>
      </c>
      <c r="B43" s="56" t="s">
        <v>81</v>
      </c>
      <c r="C43" s="56" t="s">
        <v>152</v>
      </c>
      <c r="D43" s="56" t="s">
        <v>153</v>
      </c>
      <c r="E43" s="56" t="s">
        <v>63</v>
      </c>
      <c r="F43" s="61">
        <v>45383.875</v>
      </c>
      <c r="G43" s="56">
        <v>1</v>
      </c>
      <c r="H43" s="56">
        <v>199</v>
      </c>
      <c r="I43" s="56" t="s">
        <v>39</v>
      </c>
      <c r="J43" s="58">
        <v>45386</v>
      </c>
    </row>
    <row r="44" customHeight="1" spans="1:10">
      <c r="A44" s="56" t="s">
        <v>161</v>
      </c>
      <c r="B44" s="56" t="s">
        <v>150</v>
      </c>
      <c r="C44" s="56" t="s">
        <v>162</v>
      </c>
      <c r="D44" s="56" t="s">
        <v>163</v>
      </c>
      <c r="E44" s="56" t="s">
        <v>68</v>
      </c>
      <c r="F44" s="57">
        <v>45347.75</v>
      </c>
      <c r="G44" s="56">
        <v>3</v>
      </c>
      <c r="H44" s="56">
        <v>499</v>
      </c>
      <c r="I44" s="56" t="s">
        <v>39</v>
      </c>
      <c r="J44" s="58">
        <v>45348</v>
      </c>
    </row>
    <row r="45" customHeight="1" spans="1:10">
      <c r="A45" s="56" t="s">
        <v>164</v>
      </c>
      <c r="B45" s="56" t="s">
        <v>165</v>
      </c>
      <c r="C45" s="56" t="s">
        <v>104</v>
      </c>
      <c r="D45" s="56" t="s">
        <v>105</v>
      </c>
      <c r="E45" s="56" t="s">
        <v>44</v>
      </c>
      <c r="F45" s="57">
        <v>45405.8333333333</v>
      </c>
      <c r="G45" s="56">
        <v>5</v>
      </c>
      <c r="H45" s="56">
        <v>399</v>
      </c>
      <c r="I45" s="56" t="s">
        <v>39</v>
      </c>
      <c r="J45" s="58">
        <v>45410</v>
      </c>
    </row>
    <row r="46" customHeight="1" spans="1:10">
      <c r="A46" s="56" t="s">
        <v>166</v>
      </c>
      <c r="B46" s="56" t="s">
        <v>167</v>
      </c>
      <c r="C46" s="56" t="s">
        <v>168</v>
      </c>
      <c r="D46" s="56" t="s">
        <v>169</v>
      </c>
      <c r="E46" s="56" t="s">
        <v>68</v>
      </c>
      <c r="F46" s="59">
        <v>45378.7916666667</v>
      </c>
      <c r="G46" s="56">
        <v>1</v>
      </c>
      <c r="H46" s="56">
        <v>379</v>
      </c>
      <c r="I46" s="56" t="s">
        <v>102</v>
      </c>
      <c r="J46" s="58">
        <v>45382</v>
      </c>
    </row>
    <row r="47" customHeight="1" spans="1:10">
      <c r="A47" s="56" t="s">
        <v>170</v>
      </c>
      <c r="B47" s="56" t="s">
        <v>56</v>
      </c>
      <c r="C47" s="56" t="s">
        <v>82</v>
      </c>
      <c r="D47" s="56" t="s">
        <v>83</v>
      </c>
      <c r="E47" s="56" t="s">
        <v>63</v>
      </c>
      <c r="F47" s="60">
        <v>45438.9166666667</v>
      </c>
      <c r="G47" s="56">
        <v>2</v>
      </c>
      <c r="H47" s="56">
        <v>199</v>
      </c>
      <c r="I47" s="56" t="s">
        <v>69</v>
      </c>
      <c r="J47" s="58">
        <v>45443</v>
      </c>
    </row>
    <row r="48" customHeight="1" spans="1:10">
      <c r="A48" s="56" t="s">
        <v>171</v>
      </c>
      <c r="B48" s="56" t="s">
        <v>137</v>
      </c>
      <c r="C48" s="56" t="s">
        <v>152</v>
      </c>
      <c r="D48" s="56" t="s">
        <v>153</v>
      </c>
      <c r="E48" s="56" t="s">
        <v>63</v>
      </c>
      <c r="F48" s="57">
        <v>45394.6666666667</v>
      </c>
      <c r="G48" s="56">
        <v>3</v>
      </c>
      <c r="H48" s="56">
        <v>199</v>
      </c>
      <c r="I48" s="56" t="s">
        <v>39</v>
      </c>
      <c r="J48" s="58">
        <v>45398</v>
      </c>
    </row>
    <row r="49" customHeight="1" spans="1:10">
      <c r="A49" s="56" t="s">
        <v>172</v>
      </c>
      <c r="B49" s="56" t="s">
        <v>173</v>
      </c>
      <c r="C49" s="56" t="s">
        <v>66</v>
      </c>
      <c r="D49" s="56" t="s">
        <v>67</v>
      </c>
      <c r="E49" s="56" t="s">
        <v>68</v>
      </c>
      <c r="F49" s="62">
        <v>45435.7916666667</v>
      </c>
      <c r="G49" s="56">
        <v>1</v>
      </c>
      <c r="H49" s="56">
        <v>399</v>
      </c>
      <c r="I49" s="56" t="s">
        <v>39</v>
      </c>
      <c r="J49" s="58">
        <v>45438</v>
      </c>
    </row>
    <row r="50" customHeight="1" spans="1:10">
      <c r="A50" s="56" t="s">
        <v>174</v>
      </c>
      <c r="B50" s="56" t="s">
        <v>165</v>
      </c>
      <c r="C50" s="56" t="s">
        <v>116</v>
      </c>
      <c r="D50" s="56" t="s">
        <v>117</v>
      </c>
      <c r="E50" s="56" t="s">
        <v>38</v>
      </c>
      <c r="F50" s="61">
        <v>45354.375</v>
      </c>
      <c r="G50" s="56">
        <v>2</v>
      </c>
      <c r="H50" s="56">
        <v>199</v>
      </c>
      <c r="I50" s="56" t="s">
        <v>39</v>
      </c>
      <c r="J50" s="58">
        <v>45357</v>
      </c>
    </row>
    <row r="51" customHeight="1" spans="1:10">
      <c r="A51" s="56" t="s">
        <v>175</v>
      </c>
      <c r="B51" s="56" t="s">
        <v>137</v>
      </c>
      <c r="C51" s="56" t="s">
        <v>76</v>
      </c>
      <c r="D51" s="56" t="s">
        <v>77</v>
      </c>
      <c r="E51" s="56" t="s">
        <v>78</v>
      </c>
      <c r="F51" s="61">
        <v>45298.6666666667</v>
      </c>
      <c r="G51" s="56">
        <v>1</v>
      </c>
      <c r="H51" s="56">
        <v>249</v>
      </c>
      <c r="I51" s="56" t="s">
        <v>49</v>
      </c>
      <c r="J51" s="58">
        <v>45302</v>
      </c>
    </row>
    <row r="52" customHeight="1" spans="1:10">
      <c r="A52" s="56" t="s">
        <v>176</v>
      </c>
      <c r="B52" s="56" t="s">
        <v>177</v>
      </c>
      <c r="C52" s="56" t="s">
        <v>178</v>
      </c>
      <c r="D52" s="56" t="s">
        <v>179</v>
      </c>
      <c r="E52" s="56" t="s">
        <v>54</v>
      </c>
      <c r="F52" s="57">
        <v>45381.7916666667</v>
      </c>
      <c r="G52" s="56">
        <v>1</v>
      </c>
      <c r="H52" s="56">
        <v>349</v>
      </c>
      <c r="I52" s="56" t="s">
        <v>39</v>
      </c>
      <c r="J52" s="58">
        <v>45383</v>
      </c>
    </row>
    <row r="53" customHeight="1" spans="1:10">
      <c r="A53" s="56" t="s">
        <v>180</v>
      </c>
      <c r="B53" s="56" t="s">
        <v>109</v>
      </c>
      <c r="C53" s="56" t="s">
        <v>110</v>
      </c>
      <c r="D53" s="56" t="s">
        <v>111</v>
      </c>
      <c r="E53" s="56" t="s">
        <v>32</v>
      </c>
      <c r="F53" s="60">
        <v>45421.7083333333</v>
      </c>
      <c r="G53" s="56">
        <v>2</v>
      </c>
      <c r="H53" s="56">
        <v>349</v>
      </c>
      <c r="I53" s="56" t="s">
        <v>49</v>
      </c>
      <c r="J53" s="58">
        <v>45422</v>
      </c>
    </row>
    <row r="54" customHeight="1" spans="1:10">
      <c r="A54" s="56" t="s">
        <v>181</v>
      </c>
      <c r="B54" s="56" t="s">
        <v>182</v>
      </c>
      <c r="C54" s="56" t="s">
        <v>42</v>
      </c>
      <c r="D54" s="56" t="s">
        <v>43</v>
      </c>
      <c r="E54" s="56" t="s">
        <v>44</v>
      </c>
      <c r="F54" s="59">
        <v>45472.8333333333</v>
      </c>
      <c r="G54" s="56">
        <v>5</v>
      </c>
      <c r="H54" s="56">
        <v>1199</v>
      </c>
      <c r="I54" s="56" t="s">
        <v>39</v>
      </c>
      <c r="J54" s="58">
        <v>45473</v>
      </c>
    </row>
    <row r="55" customHeight="1" spans="1:10">
      <c r="A55" s="56" t="s">
        <v>183</v>
      </c>
      <c r="B55" s="56" t="s">
        <v>184</v>
      </c>
      <c r="C55" s="56" t="s">
        <v>185</v>
      </c>
      <c r="D55" s="56" t="s">
        <v>186</v>
      </c>
      <c r="E55" s="56" t="s">
        <v>32</v>
      </c>
      <c r="F55" s="57">
        <v>45378.625</v>
      </c>
      <c r="G55" s="56">
        <v>3</v>
      </c>
      <c r="H55" s="56">
        <v>899</v>
      </c>
      <c r="I55" s="56" t="s">
        <v>49</v>
      </c>
      <c r="J55" s="58">
        <v>45380</v>
      </c>
    </row>
    <row r="56" customHeight="1" spans="1:10">
      <c r="A56" s="56" t="s">
        <v>187</v>
      </c>
      <c r="B56" s="56" t="s">
        <v>167</v>
      </c>
      <c r="C56" s="56" t="s">
        <v>185</v>
      </c>
      <c r="D56" s="56" t="s">
        <v>186</v>
      </c>
      <c r="E56" s="56" t="s">
        <v>32</v>
      </c>
      <c r="F56" s="59">
        <v>45426.875</v>
      </c>
      <c r="G56" s="56">
        <v>1</v>
      </c>
      <c r="H56" s="56">
        <v>899</v>
      </c>
      <c r="I56" s="56" t="s">
        <v>39</v>
      </c>
      <c r="J56" s="58">
        <v>45427</v>
      </c>
    </row>
    <row r="57" customHeight="1" spans="1:10">
      <c r="A57" s="56" t="s">
        <v>188</v>
      </c>
      <c r="B57" s="56" t="s">
        <v>189</v>
      </c>
      <c r="C57" s="56" t="s">
        <v>178</v>
      </c>
      <c r="D57" s="56" t="s">
        <v>179</v>
      </c>
      <c r="E57" s="56" t="s">
        <v>54</v>
      </c>
      <c r="F57" s="59">
        <v>45448.375</v>
      </c>
      <c r="G57" s="56">
        <v>5</v>
      </c>
      <c r="H57" s="56">
        <v>349</v>
      </c>
      <c r="I57" s="56" t="s">
        <v>89</v>
      </c>
      <c r="J57" s="58">
        <v>45453</v>
      </c>
    </row>
    <row r="58" customHeight="1" spans="1:10">
      <c r="A58" s="56" t="s">
        <v>190</v>
      </c>
      <c r="B58" s="56" t="s">
        <v>191</v>
      </c>
      <c r="C58" s="56" t="s">
        <v>47</v>
      </c>
      <c r="D58" s="56" t="s">
        <v>48</v>
      </c>
      <c r="E58" s="56" t="s">
        <v>38</v>
      </c>
      <c r="F58" s="59">
        <v>45313.375</v>
      </c>
      <c r="G58" s="56">
        <v>5</v>
      </c>
      <c r="H58" s="56">
        <v>499</v>
      </c>
      <c r="I58" s="56" t="s">
        <v>102</v>
      </c>
      <c r="J58" s="58">
        <v>45317</v>
      </c>
    </row>
    <row r="59" customHeight="1" spans="1:10">
      <c r="A59" s="56" t="s">
        <v>192</v>
      </c>
      <c r="B59" s="56" t="s">
        <v>92</v>
      </c>
      <c r="C59" s="56" t="s">
        <v>76</v>
      </c>
      <c r="D59" s="56" t="s">
        <v>77</v>
      </c>
      <c r="E59" s="56" t="s">
        <v>78</v>
      </c>
      <c r="F59" s="61">
        <v>45295.3333333333</v>
      </c>
      <c r="G59" s="56">
        <v>4</v>
      </c>
      <c r="H59" s="56">
        <v>249</v>
      </c>
      <c r="I59" s="56" t="s">
        <v>89</v>
      </c>
      <c r="J59" s="58">
        <v>45299</v>
      </c>
    </row>
    <row r="60" customHeight="1" spans="1:10">
      <c r="A60" s="56" t="s">
        <v>193</v>
      </c>
      <c r="B60" s="56" t="s">
        <v>194</v>
      </c>
      <c r="C60" s="56" t="s">
        <v>57</v>
      </c>
      <c r="D60" s="56" t="s">
        <v>58</v>
      </c>
      <c r="E60" s="56" t="s">
        <v>54</v>
      </c>
      <c r="F60" s="59">
        <v>45294.4583333333</v>
      </c>
      <c r="G60" s="56">
        <v>2</v>
      </c>
      <c r="H60" s="56">
        <v>899</v>
      </c>
      <c r="I60" s="56" t="s">
        <v>49</v>
      </c>
      <c r="J60" s="58">
        <v>45299</v>
      </c>
    </row>
    <row r="61" customHeight="1" spans="1:10">
      <c r="A61" s="56" t="s">
        <v>195</v>
      </c>
      <c r="B61" s="56" t="s">
        <v>51</v>
      </c>
      <c r="C61" s="56" t="s">
        <v>196</v>
      </c>
      <c r="D61" s="56" t="s">
        <v>197</v>
      </c>
      <c r="E61" s="56" t="s">
        <v>101</v>
      </c>
      <c r="F61" s="59">
        <v>45312.6666666667</v>
      </c>
      <c r="G61" s="56">
        <v>4</v>
      </c>
      <c r="H61" s="56">
        <v>649</v>
      </c>
      <c r="I61" s="56" t="s">
        <v>69</v>
      </c>
      <c r="J61" s="58">
        <v>45314</v>
      </c>
    </row>
    <row r="62" customHeight="1" spans="1:10">
      <c r="A62" s="56" t="s">
        <v>198</v>
      </c>
      <c r="B62" s="56" t="s">
        <v>119</v>
      </c>
      <c r="C62" s="56" t="s">
        <v>199</v>
      </c>
      <c r="D62" s="56" t="s">
        <v>200</v>
      </c>
      <c r="E62" s="56" t="s">
        <v>54</v>
      </c>
      <c r="F62" s="57">
        <v>45453.6666666667</v>
      </c>
      <c r="G62" s="56">
        <v>1</v>
      </c>
      <c r="H62" s="56">
        <v>499</v>
      </c>
      <c r="I62" s="56" t="s">
        <v>69</v>
      </c>
      <c r="J62" s="58">
        <v>45456</v>
      </c>
    </row>
    <row r="63" customHeight="1" spans="1:10">
      <c r="A63" s="56" t="s">
        <v>201</v>
      </c>
      <c r="B63" s="56" t="s">
        <v>129</v>
      </c>
      <c r="C63" s="56" t="s">
        <v>202</v>
      </c>
      <c r="D63" s="56" t="s">
        <v>203</v>
      </c>
      <c r="E63" s="56" t="s">
        <v>101</v>
      </c>
      <c r="F63" s="59">
        <v>45423.4166666667</v>
      </c>
      <c r="G63" s="56">
        <v>1</v>
      </c>
      <c r="H63" s="56">
        <v>449</v>
      </c>
      <c r="I63" s="56" t="s">
        <v>89</v>
      </c>
      <c r="J63" s="58">
        <v>45427</v>
      </c>
    </row>
    <row r="64" customHeight="1" spans="1:10">
      <c r="A64" s="56" t="s">
        <v>204</v>
      </c>
      <c r="B64" s="56" t="s">
        <v>205</v>
      </c>
      <c r="C64" s="56" t="s">
        <v>199</v>
      </c>
      <c r="D64" s="56" t="s">
        <v>200</v>
      </c>
      <c r="E64" s="56" t="s">
        <v>54</v>
      </c>
      <c r="F64" s="59">
        <v>45329.875</v>
      </c>
      <c r="G64" s="56">
        <v>5</v>
      </c>
      <c r="H64" s="56">
        <v>499</v>
      </c>
      <c r="I64" s="56" t="s">
        <v>69</v>
      </c>
      <c r="J64" s="58">
        <v>45331</v>
      </c>
    </row>
    <row r="65" customHeight="1" spans="1:10">
      <c r="A65" s="56" t="s">
        <v>206</v>
      </c>
      <c r="B65" s="56" t="s">
        <v>207</v>
      </c>
      <c r="C65" s="56" t="s">
        <v>140</v>
      </c>
      <c r="D65" s="56" t="s">
        <v>141</v>
      </c>
      <c r="E65" s="56" t="s">
        <v>63</v>
      </c>
      <c r="F65" s="62">
        <v>45429.375</v>
      </c>
      <c r="G65" s="56">
        <v>1</v>
      </c>
      <c r="H65" s="56">
        <v>449</v>
      </c>
      <c r="I65" s="56" t="s">
        <v>102</v>
      </c>
      <c r="J65" s="58">
        <v>45433</v>
      </c>
    </row>
    <row r="66" customHeight="1" spans="1:10">
      <c r="A66" s="56" t="s">
        <v>208</v>
      </c>
      <c r="B66" s="56" t="s">
        <v>60</v>
      </c>
      <c r="C66" s="56" t="s">
        <v>116</v>
      </c>
      <c r="D66" s="56" t="s">
        <v>117</v>
      </c>
      <c r="E66" s="56" t="s">
        <v>38</v>
      </c>
      <c r="F66" s="62">
        <v>45426.5416666667</v>
      </c>
      <c r="G66" s="56">
        <v>5</v>
      </c>
      <c r="H66" s="56">
        <v>199</v>
      </c>
      <c r="I66" s="56" t="s">
        <v>89</v>
      </c>
      <c r="J66" s="58">
        <v>45429</v>
      </c>
    </row>
    <row r="67" customHeight="1" spans="1:10">
      <c r="A67" s="56" t="s">
        <v>209</v>
      </c>
      <c r="B67" s="56" t="s">
        <v>210</v>
      </c>
      <c r="C67" s="56" t="s">
        <v>61</v>
      </c>
      <c r="D67" s="56" t="s">
        <v>62</v>
      </c>
      <c r="E67" s="56" t="s">
        <v>63</v>
      </c>
      <c r="F67" s="57">
        <v>45309.375</v>
      </c>
      <c r="G67" s="56">
        <v>1</v>
      </c>
      <c r="H67" s="56">
        <v>299</v>
      </c>
      <c r="I67" s="56" t="s">
        <v>69</v>
      </c>
      <c r="J67" s="58">
        <v>45313</v>
      </c>
    </row>
    <row r="68" customHeight="1" spans="1:10">
      <c r="A68" s="56" t="s">
        <v>211</v>
      </c>
      <c r="B68" s="56" t="s">
        <v>56</v>
      </c>
      <c r="C68" s="56" t="s">
        <v>36</v>
      </c>
      <c r="D68" s="56" t="s">
        <v>37</v>
      </c>
      <c r="E68" s="56" t="s">
        <v>38</v>
      </c>
      <c r="F68" s="59">
        <v>45368.5416666667</v>
      </c>
      <c r="G68" s="56">
        <v>5</v>
      </c>
      <c r="H68" s="56">
        <v>2999</v>
      </c>
      <c r="I68" s="56" t="s">
        <v>102</v>
      </c>
      <c r="J68" s="58">
        <v>45370</v>
      </c>
    </row>
    <row r="69" customHeight="1" spans="1:10">
      <c r="A69" s="56" t="s">
        <v>212</v>
      </c>
      <c r="B69" s="56" t="s">
        <v>213</v>
      </c>
      <c r="C69" s="56" t="s">
        <v>214</v>
      </c>
      <c r="D69" s="56" t="s">
        <v>215</v>
      </c>
      <c r="E69" s="56" t="s">
        <v>101</v>
      </c>
      <c r="F69" s="59">
        <v>45325.3333333333</v>
      </c>
      <c r="G69" s="56">
        <v>1</v>
      </c>
      <c r="H69" s="56">
        <v>349</v>
      </c>
      <c r="I69" s="56" t="s">
        <v>39</v>
      </c>
      <c r="J69" s="58">
        <v>45326</v>
      </c>
    </row>
    <row r="70" customHeight="1" spans="1:10">
      <c r="A70" s="56" t="s">
        <v>216</v>
      </c>
      <c r="B70" s="56" t="s">
        <v>56</v>
      </c>
      <c r="C70" s="56" t="s">
        <v>104</v>
      </c>
      <c r="D70" s="56" t="s">
        <v>105</v>
      </c>
      <c r="E70" s="56" t="s">
        <v>44</v>
      </c>
      <c r="F70" s="57">
        <v>45335.5416666667</v>
      </c>
      <c r="G70" s="56">
        <v>2</v>
      </c>
      <c r="H70" s="56">
        <v>399</v>
      </c>
      <c r="I70" s="56" t="s">
        <v>89</v>
      </c>
      <c r="J70" s="58">
        <v>45336</v>
      </c>
    </row>
    <row r="71" customHeight="1" spans="1:10">
      <c r="A71" s="56" t="s">
        <v>217</v>
      </c>
      <c r="B71" s="56" t="s">
        <v>41</v>
      </c>
      <c r="C71" s="56" t="s">
        <v>130</v>
      </c>
      <c r="D71" s="56" t="s">
        <v>131</v>
      </c>
      <c r="E71" s="56" t="s">
        <v>78</v>
      </c>
      <c r="F71" s="62">
        <v>45422.625</v>
      </c>
      <c r="G71" s="56">
        <v>2</v>
      </c>
      <c r="H71" s="56">
        <v>599</v>
      </c>
      <c r="I71" s="56" t="s">
        <v>39</v>
      </c>
      <c r="J71" s="58">
        <v>45426</v>
      </c>
    </row>
    <row r="72" customHeight="1" spans="1:10">
      <c r="A72" s="56" t="s">
        <v>218</v>
      </c>
      <c r="B72" s="56" t="s">
        <v>81</v>
      </c>
      <c r="C72" s="56" t="s">
        <v>52</v>
      </c>
      <c r="D72" s="56" t="s">
        <v>53</v>
      </c>
      <c r="E72" s="56" t="s">
        <v>54</v>
      </c>
      <c r="F72" s="60">
        <v>45306.375</v>
      </c>
      <c r="G72" s="56">
        <v>4</v>
      </c>
      <c r="H72" s="56">
        <v>649</v>
      </c>
      <c r="I72" s="56" t="s">
        <v>49</v>
      </c>
      <c r="J72" s="58">
        <v>45308</v>
      </c>
    </row>
    <row r="73" customHeight="1" spans="1:10">
      <c r="A73" s="56" t="s">
        <v>219</v>
      </c>
      <c r="B73" s="56" t="s">
        <v>182</v>
      </c>
      <c r="C73" s="56" t="s">
        <v>72</v>
      </c>
      <c r="D73" s="56" t="s">
        <v>73</v>
      </c>
      <c r="E73" s="56" t="s">
        <v>63</v>
      </c>
      <c r="F73" s="59">
        <v>45324.625</v>
      </c>
      <c r="G73" s="56">
        <v>1</v>
      </c>
      <c r="H73" s="56">
        <v>349</v>
      </c>
      <c r="I73" s="56" t="s">
        <v>39</v>
      </c>
      <c r="J73" s="58">
        <v>45328</v>
      </c>
    </row>
    <row r="74" customHeight="1" spans="1:10">
      <c r="A74" s="56" t="s">
        <v>220</v>
      </c>
      <c r="B74" s="56" t="s">
        <v>109</v>
      </c>
      <c r="C74" s="56" t="s">
        <v>221</v>
      </c>
      <c r="D74" s="56" t="s">
        <v>222</v>
      </c>
      <c r="E74" s="56" t="s">
        <v>78</v>
      </c>
      <c r="F74" s="57">
        <v>45310.75</v>
      </c>
      <c r="G74" s="56">
        <v>1</v>
      </c>
      <c r="H74" s="56">
        <v>399</v>
      </c>
      <c r="I74" s="56" t="s">
        <v>102</v>
      </c>
      <c r="J74" s="58">
        <v>45313</v>
      </c>
    </row>
    <row r="75" customHeight="1" spans="1:10">
      <c r="A75" s="56" t="s">
        <v>223</v>
      </c>
      <c r="B75" s="56" t="s">
        <v>146</v>
      </c>
      <c r="C75" s="56" t="s">
        <v>42</v>
      </c>
      <c r="D75" s="56" t="s">
        <v>43</v>
      </c>
      <c r="E75" s="56" t="s">
        <v>44</v>
      </c>
      <c r="F75" s="59">
        <v>45295.4166666667</v>
      </c>
      <c r="G75" s="56">
        <v>3</v>
      </c>
      <c r="H75" s="56">
        <v>1199</v>
      </c>
      <c r="I75" s="56" t="s">
        <v>69</v>
      </c>
      <c r="J75" s="58">
        <v>45300</v>
      </c>
    </row>
    <row r="76" customHeight="1" spans="1:10">
      <c r="A76" s="56" t="s">
        <v>224</v>
      </c>
      <c r="B76" s="56" t="s">
        <v>35</v>
      </c>
      <c r="C76" s="56" t="s">
        <v>36</v>
      </c>
      <c r="D76" s="56" t="s">
        <v>37</v>
      </c>
      <c r="E76" s="56" t="s">
        <v>38</v>
      </c>
      <c r="F76" s="59">
        <v>45378.625</v>
      </c>
      <c r="G76" s="56">
        <v>2</v>
      </c>
      <c r="H76" s="56">
        <v>2999</v>
      </c>
      <c r="I76" s="56" t="s">
        <v>39</v>
      </c>
      <c r="J76" s="58">
        <v>45381</v>
      </c>
    </row>
    <row r="77" customHeight="1" spans="1:10">
      <c r="A77" s="56" t="s">
        <v>225</v>
      </c>
      <c r="B77" s="56" t="s">
        <v>65</v>
      </c>
      <c r="C77" s="56" t="s">
        <v>95</v>
      </c>
      <c r="D77" s="56" t="s">
        <v>96</v>
      </c>
      <c r="E77" s="56" t="s">
        <v>32</v>
      </c>
      <c r="F77" s="57">
        <v>45341.5</v>
      </c>
      <c r="G77" s="56">
        <v>4</v>
      </c>
      <c r="H77" s="56">
        <v>1299</v>
      </c>
      <c r="I77" s="56" t="s">
        <v>39</v>
      </c>
      <c r="J77" s="58">
        <v>45343</v>
      </c>
    </row>
    <row r="78" customHeight="1" spans="1:10">
      <c r="A78" s="56" t="s">
        <v>226</v>
      </c>
      <c r="B78" s="56" t="s">
        <v>35</v>
      </c>
      <c r="C78" s="56" t="s">
        <v>61</v>
      </c>
      <c r="D78" s="56" t="s">
        <v>62</v>
      </c>
      <c r="E78" s="56" t="s">
        <v>63</v>
      </c>
      <c r="F78" s="57">
        <v>45301.5</v>
      </c>
      <c r="G78" s="56">
        <v>2</v>
      </c>
      <c r="H78" s="56">
        <v>299</v>
      </c>
      <c r="I78" s="56" t="s">
        <v>39</v>
      </c>
      <c r="J78" s="58">
        <v>45305</v>
      </c>
    </row>
    <row r="79" customHeight="1" spans="1:10">
      <c r="A79" s="56" t="s">
        <v>227</v>
      </c>
      <c r="B79" s="56" t="s">
        <v>75</v>
      </c>
      <c r="C79" s="56" t="s">
        <v>120</v>
      </c>
      <c r="D79" s="56" t="s">
        <v>121</v>
      </c>
      <c r="E79" s="56" t="s">
        <v>78</v>
      </c>
      <c r="F79" s="61">
        <v>45329.375</v>
      </c>
      <c r="G79" s="56">
        <v>1</v>
      </c>
      <c r="H79" s="56">
        <v>349</v>
      </c>
      <c r="I79" s="56" t="s">
        <v>89</v>
      </c>
      <c r="J79" s="58">
        <v>45334</v>
      </c>
    </row>
    <row r="80" customHeight="1" spans="1:10">
      <c r="A80" s="56" t="s">
        <v>228</v>
      </c>
      <c r="B80" s="56" t="s">
        <v>184</v>
      </c>
      <c r="C80" s="56" t="s">
        <v>99</v>
      </c>
      <c r="D80" s="56" t="s">
        <v>100</v>
      </c>
      <c r="E80" s="56" t="s">
        <v>101</v>
      </c>
      <c r="F80" s="59">
        <v>45292.3333333333</v>
      </c>
      <c r="G80" s="56">
        <v>2</v>
      </c>
      <c r="H80" s="56">
        <v>299</v>
      </c>
      <c r="I80" s="56" t="s">
        <v>39</v>
      </c>
      <c r="J80" s="58">
        <v>45297</v>
      </c>
    </row>
    <row r="81" customHeight="1" spans="1:10">
      <c r="A81" s="56" t="s">
        <v>229</v>
      </c>
      <c r="B81" s="56" t="s">
        <v>230</v>
      </c>
      <c r="C81" s="56" t="s">
        <v>156</v>
      </c>
      <c r="D81" s="56" t="s">
        <v>157</v>
      </c>
      <c r="E81" s="56" t="s">
        <v>44</v>
      </c>
      <c r="F81" s="60">
        <v>45400.5416666667</v>
      </c>
      <c r="G81" s="56">
        <v>2</v>
      </c>
      <c r="H81" s="56">
        <v>699</v>
      </c>
      <c r="I81" s="56" t="s">
        <v>102</v>
      </c>
      <c r="J81" s="58">
        <v>45402</v>
      </c>
    </row>
    <row r="82" customHeight="1" spans="1:10">
      <c r="A82" s="56" t="s">
        <v>231</v>
      </c>
      <c r="B82" s="56" t="s">
        <v>165</v>
      </c>
      <c r="C82" s="56" t="s">
        <v>133</v>
      </c>
      <c r="D82" s="56" t="s">
        <v>134</v>
      </c>
      <c r="E82" s="56" t="s">
        <v>101</v>
      </c>
      <c r="F82" s="57">
        <v>45306.2916666667</v>
      </c>
      <c r="G82" s="56">
        <v>2</v>
      </c>
      <c r="H82" s="56">
        <v>199</v>
      </c>
      <c r="I82" s="56" t="s">
        <v>39</v>
      </c>
      <c r="J82" s="58">
        <v>45311</v>
      </c>
    </row>
    <row r="83" customHeight="1" spans="1:10">
      <c r="A83" s="56" t="s">
        <v>232</v>
      </c>
      <c r="B83" s="56" t="s">
        <v>233</v>
      </c>
      <c r="C83" s="56" t="s">
        <v>162</v>
      </c>
      <c r="D83" s="56" t="s">
        <v>163</v>
      </c>
      <c r="E83" s="56" t="s">
        <v>68</v>
      </c>
      <c r="F83" s="63">
        <v>45413.5416666667</v>
      </c>
      <c r="G83" s="56">
        <v>4</v>
      </c>
      <c r="H83" s="56">
        <v>499</v>
      </c>
      <c r="I83" s="56" t="s">
        <v>39</v>
      </c>
      <c r="J83" s="58">
        <v>45415</v>
      </c>
    </row>
    <row r="84" customHeight="1" spans="1:10">
      <c r="A84" s="56" t="s">
        <v>234</v>
      </c>
      <c r="B84" s="56" t="s">
        <v>207</v>
      </c>
      <c r="C84" s="56" t="s">
        <v>156</v>
      </c>
      <c r="D84" s="56" t="s">
        <v>157</v>
      </c>
      <c r="E84" s="56" t="s">
        <v>44</v>
      </c>
      <c r="F84" s="57">
        <v>45305.75</v>
      </c>
      <c r="G84" s="56">
        <v>2</v>
      </c>
      <c r="H84" s="56">
        <v>699</v>
      </c>
      <c r="I84" s="56" t="s">
        <v>39</v>
      </c>
      <c r="J84" s="58">
        <v>45306</v>
      </c>
    </row>
    <row r="85" customHeight="1" spans="1:10">
      <c r="A85" s="56" t="s">
        <v>235</v>
      </c>
      <c r="B85" s="56" t="s">
        <v>56</v>
      </c>
      <c r="C85" s="56" t="s">
        <v>61</v>
      </c>
      <c r="D85" s="56" t="s">
        <v>62</v>
      </c>
      <c r="E85" s="56" t="s">
        <v>63</v>
      </c>
      <c r="F85" s="61">
        <v>45297.3333333333</v>
      </c>
      <c r="G85" s="56">
        <v>1</v>
      </c>
      <c r="H85" s="56">
        <v>299</v>
      </c>
      <c r="I85" s="56" t="s">
        <v>39</v>
      </c>
      <c r="J85" s="58">
        <v>45300</v>
      </c>
    </row>
    <row r="86" customHeight="1" spans="1:10">
      <c r="A86" s="56" t="s">
        <v>236</v>
      </c>
      <c r="B86" s="56" t="s">
        <v>46</v>
      </c>
      <c r="C86" s="56" t="s">
        <v>237</v>
      </c>
      <c r="D86" s="56" t="s">
        <v>238</v>
      </c>
      <c r="E86" s="56" t="s">
        <v>78</v>
      </c>
      <c r="F86" s="57">
        <v>45335.6666666667</v>
      </c>
      <c r="G86" s="56">
        <v>5</v>
      </c>
      <c r="H86" s="56">
        <v>99</v>
      </c>
      <c r="I86" s="56" t="s">
        <v>33</v>
      </c>
      <c r="J86" s="58">
        <v>45339</v>
      </c>
    </row>
    <row r="87" customHeight="1" spans="1:10">
      <c r="A87" s="56" t="s">
        <v>239</v>
      </c>
      <c r="B87" s="56" t="s">
        <v>60</v>
      </c>
      <c r="C87" s="56" t="s">
        <v>143</v>
      </c>
      <c r="D87" s="56" t="s">
        <v>144</v>
      </c>
      <c r="E87" s="56" t="s">
        <v>54</v>
      </c>
      <c r="F87" s="57">
        <v>45370.75</v>
      </c>
      <c r="G87" s="56">
        <v>3</v>
      </c>
      <c r="H87" s="56">
        <v>1199</v>
      </c>
      <c r="I87" s="56" t="s">
        <v>39</v>
      </c>
      <c r="J87" s="58">
        <v>45373</v>
      </c>
    </row>
    <row r="88" customHeight="1" spans="1:10">
      <c r="A88" s="56" t="s">
        <v>240</v>
      </c>
      <c r="B88" s="56" t="s">
        <v>205</v>
      </c>
      <c r="C88" s="56" t="s">
        <v>168</v>
      </c>
      <c r="D88" s="56" t="s">
        <v>169</v>
      </c>
      <c r="E88" s="56" t="s">
        <v>68</v>
      </c>
      <c r="F88" s="59">
        <v>45342.2916666667</v>
      </c>
      <c r="G88" s="56">
        <v>2</v>
      </c>
      <c r="H88" s="56">
        <v>379</v>
      </c>
      <c r="I88" s="56" t="s">
        <v>102</v>
      </c>
      <c r="J88" s="58">
        <v>45343</v>
      </c>
    </row>
    <row r="89" customHeight="1" spans="1:10">
      <c r="A89" s="56" t="s">
        <v>241</v>
      </c>
      <c r="B89" s="56" t="s">
        <v>167</v>
      </c>
      <c r="C89" s="56" t="s">
        <v>120</v>
      </c>
      <c r="D89" s="56" t="s">
        <v>121</v>
      </c>
      <c r="E89" s="56" t="s">
        <v>78</v>
      </c>
      <c r="F89" s="62">
        <v>45429.75</v>
      </c>
      <c r="G89" s="56">
        <v>4</v>
      </c>
      <c r="H89" s="56">
        <v>349</v>
      </c>
      <c r="I89" s="56" t="s">
        <v>39</v>
      </c>
      <c r="J89" s="58">
        <v>45430</v>
      </c>
    </row>
    <row r="90" customHeight="1" spans="1:10">
      <c r="A90" s="56" t="s">
        <v>242</v>
      </c>
      <c r="B90" s="56" t="s">
        <v>243</v>
      </c>
      <c r="C90" s="56" t="s">
        <v>110</v>
      </c>
      <c r="D90" s="56" t="s">
        <v>111</v>
      </c>
      <c r="E90" s="56" t="s">
        <v>32</v>
      </c>
      <c r="F90" s="57">
        <v>45403.9583333333</v>
      </c>
      <c r="G90" s="56">
        <v>3</v>
      </c>
      <c r="H90" s="56">
        <v>349</v>
      </c>
      <c r="I90" s="56" t="s">
        <v>39</v>
      </c>
      <c r="J90" s="58">
        <v>45404</v>
      </c>
    </row>
    <row r="91" customHeight="1" spans="1:10">
      <c r="A91" s="56" t="s">
        <v>244</v>
      </c>
      <c r="B91" s="56" t="s">
        <v>233</v>
      </c>
      <c r="C91" s="56" t="s">
        <v>47</v>
      </c>
      <c r="D91" s="56" t="s">
        <v>48</v>
      </c>
      <c r="E91" s="56" t="s">
        <v>38</v>
      </c>
      <c r="F91" s="59">
        <v>45309.75</v>
      </c>
      <c r="G91" s="56">
        <v>2</v>
      </c>
      <c r="H91" s="56">
        <v>499</v>
      </c>
      <c r="I91" s="56" t="s">
        <v>39</v>
      </c>
      <c r="J91" s="58">
        <v>45314</v>
      </c>
    </row>
    <row r="92" customHeight="1" spans="1:10">
      <c r="A92" s="56" t="s">
        <v>245</v>
      </c>
      <c r="B92" s="56" t="s">
        <v>194</v>
      </c>
      <c r="C92" s="56" t="s">
        <v>237</v>
      </c>
      <c r="D92" s="56" t="s">
        <v>238</v>
      </c>
      <c r="E92" s="56" t="s">
        <v>78</v>
      </c>
      <c r="F92" s="62">
        <v>45437.7916666667</v>
      </c>
      <c r="G92" s="56">
        <v>1</v>
      </c>
      <c r="H92" s="56">
        <v>99</v>
      </c>
      <c r="I92" s="56" t="s">
        <v>89</v>
      </c>
      <c r="J92" s="58">
        <v>45442</v>
      </c>
    </row>
    <row r="93" customHeight="1" spans="1:10">
      <c r="A93" s="56" t="s">
        <v>246</v>
      </c>
      <c r="B93" s="56" t="s">
        <v>119</v>
      </c>
      <c r="C93" s="56" t="s">
        <v>130</v>
      </c>
      <c r="D93" s="56" t="s">
        <v>131</v>
      </c>
      <c r="E93" s="56" t="s">
        <v>78</v>
      </c>
      <c r="F93" s="57">
        <v>45335.875</v>
      </c>
      <c r="G93" s="56">
        <v>2</v>
      </c>
      <c r="H93" s="56">
        <v>599</v>
      </c>
      <c r="I93" s="56" t="s">
        <v>39</v>
      </c>
      <c r="J93" s="58">
        <v>45339</v>
      </c>
    </row>
    <row r="94" customHeight="1" spans="1:10">
      <c r="A94" s="56" t="s">
        <v>247</v>
      </c>
      <c r="B94" s="56" t="s">
        <v>213</v>
      </c>
      <c r="C94" s="56" t="s">
        <v>199</v>
      </c>
      <c r="D94" s="56" t="s">
        <v>200</v>
      </c>
      <c r="E94" s="56" t="s">
        <v>54</v>
      </c>
      <c r="F94" s="63">
        <v>45418.375</v>
      </c>
      <c r="G94" s="56">
        <v>4</v>
      </c>
      <c r="H94" s="56">
        <v>499</v>
      </c>
      <c r="I94" s="56" t="s">
        <v>39</v>
      </c>
      <c r="J94" s="58">
        <v>45421</v>
      </c>
    </row>
    <row r="95" customHeight="1" spans="1:10">
      <c r="A95" s="56" t="s">
        <v>248</v>
      </c>
      <c r="B95" s="56" t="s">
        <v>119</v>
      </c>
      <c r="C95" s="56" t="s">
        <v>82</v>
      </c>
      <c r="D95" s="56" t="s">
        <v>83</v>
      </c>
      <c r="E95" s="56" t="s">
        <v>63</v>
      </c>
      <c r="F95" s="60">
        <v>45325.3333333333</v>
      </c>
      <c r="G95" s="56">
        <v>3</v>
      </c>
      <c r="H95" s="56">
        <v>199</v>
      </c>
      <c r="I95" s="56" t="s">
        <v>39</v>
      </c>
      <c r="J95" s="58">
        <v>45327</v>
      </c>
    </row>
    <row r="96" customHeight="1" spans="1:10">
      <c r="A96" s="56" t="s">
        <v>249</v>
      </c>
      <c r="B96" s="56" t="s">
        <v>92</v>
      </c>
      <c r="C96" s="56" t="s">
        <v>133</v>
      </c>
      <c r="D96" s="56" t="s">
        <v>134</v>
      </c>
      <c r="E96" s="56" t="s">
        <v>101</v>
      </c>
      <c r="F96" s="61">
        <v>45355.7083333333</v>
      </c>
      <c r="G96" s="56">
        <v>1</v>
      </c>
      <c r="H96" s="56">
        <v>199</v>
      </c>
      <c r="I96" s="56" t="s">
        <v>39</v>
      </c>
      <c r="J96" s="58">
        <v>45358</v>
      </c>
    </row>
    <row r="97" customHeight="1" spans="1:10">
      <c r="A97" s="56" t="s">
        <v>250</v>
      </c>
      <c r="B97" s="56" t="s">
        <v>210</v>
      </c>
      <c r="C97" s="56" t="s">
        <v>36</v>
      </c>
      <c r="D97" s="56" t="s">
        <v>37</v>
      </c>
      <c r="E97" s="56" t="s">
        <v>38</v>
      </c>
      <c r="F97" s="57">
        <v>45408.9166666667</v>
      </c>
      <c r="G97" s="56">
        <v>5</v>
      </c>
      <c r="H97" s="56">
        <v>2999</v>
      </c>
      <c r="I97" s="56" t="s">
        <v>69</v>
      </c>
      <c r="J97" s="58">
        <v>45409</v>
      </c>
    </row>
    <row r="98" customHeight="1" spans="1:10">
      <c r="A98" s="56" t="s">
        <v>251</v>
      </c>
      <c r="B98" s="56" t="s">
        <v>155</v>
      </c>
      <c r="C98" s="56" t="s">
        <v>42</v>
      </c>
      <c r="D98" s="56" t="s">
        <v>43</v>
      </c>
      <c r="E98" s="56" t="s">
        <v>44</v>
      </c>
      <c r="F98" s="61">
        <v>45445.4583333333</v>
      </c>
      <c r="G98" s="56">
        <v>3</v>
      </c>
      <c r="H98" s="56">
        <v>1199</v>
      </c>
      <c r="I98" s="56" t="s">
        <v>89</v>
      </c>
      <c r="J98" s="58">
        <v>45448</v>
      </c>
    </row>
    <row r="99" customHeight="1" spans="1:10">
      <c r="A99" s="56" t="s">
        <v>252</v>
      </c>
      <c r="B99" s="56" t="s">
        <v>85</v>
      </c>
      <c r="C99" s="56" t="s">
        <v>52</v>
      </c>
      <c r="D99" s="56" t="s">
        <v>53</v>
      </c>
      <c r="E99" s="56" t="s">
        <v>54</v>
      </c>
      <c r="F99" s="59">
        <v>45329.5416666667</v>
      </c>
      <c r="G99" s="56">
        <v>4</v>
      </c>
      <c r="H99" s="56">
        <v>649</v>
      </c>
      <c r="I99" s="56" t="s">
        <v>39</v>
      </c>
      <c r="J99" s="58">
        <v>45330</v>
      </c>
    </row>
    <row r="100" customHeight="1" spans="1:10">
      <c r="A100" s="56" t="s">
        <v>253</v>
      </c>
      <c r="B100" s="56" t="s">
        <v>75</v>
      </c>
      <c r="C100" s="56" t="s">
        <v>57</v>
      </c>
      <c r="D100" s="56" t="s">
        <v>58</v>
      </c>
      <c r="E100" s="56" t="s">
        <v>54</v>
      </c>
      <c r="F100" s="61">
        <v>45292.9583333333</v>
      </c>
      <c r="G100" s="56">
        <v>2</v>
      </c>
      <c r="H100" s="56">
        <v>899</v>
      </c>
      <c r="I100" s="56" t="s">
        <v>39</v>
      </c>
      <c r="J100" s="58">
        <v>45296</v>
      </c>
    </row>
    <row r="101" customHeight="1" spans="1:10">
      <c r="A101" s="56" t="s">
        <v>254</v>
      </c>
      <c r="B101" s="56" t="s">
        <v>173</v>
      </c>
      <c r="C101" s="56" t="s">
        <v>237</v>
      </c>
      <c r="D101" s="56" t="s">
        <v>238</v>
      </c>
      <c r="E101" s="56" t="s">
        <v>78</v>
      </c>
      <c r="F101" s="59">
        <v>45448.5833333333</v>
      </c>
      <c r="G101" s="56">
        <v>2</v>
      </c>
      <c r="H101" s="56">
        <v>99</v>
      </c>
      <c r="I101" s="56" t="s">
        <v>102</v>
      </c>
      <c r="J101" s="58">
        <v>45451</v>
      </c>
    </row>
    <row r="102" customHeight="1" spans="1:10">
      <c r="A102" s="56" t="s">
        <v>255</v>
      </c>
      <c r="B102" s="56" t="s">
        <v>191</v>
      </c>
      <c r="C102" s="56" t="s">
        <v>256</v>
      </c>
      <c r="D102" s="56" t="s">
        <v>257</v>
      </c>
      <c r="E102" s="56" t="s">
        <v>38</v>
      </c>
      <c r="F102" s="60">
        <v>45429.2916666667</v>
      </c>
      <c r="G102" s="56">
        <v>5</v>
      </c>
      <c r="H102" s="56">
        <v>799</v>
      </c>
      <c r="I102" s="56" t="s">
        <v>33</v>
      </c>
      <c r="J102" s="58">
        <v>45434</v>
      </c>
    </row>
    <row r="103" customHeight="1" spans="1:10">
      <c r="A103" s="56" t="s">
        <v>258</v>
      </c>
      <c r="B103" s="56" t="s">
        <v>115</v>
      </c>
      <c r="C103" s="56" t="s">
        <v>104</v>
      </c>
      <c r="D103" s="56" t="s">
        <v>105</v>
      </c>
      <c r="E103" s="56" t="s">
        <v>44</v>
      </c>
      <c r="F103" s="61">
        <v>45353.6666666667</v>
      </c>
      <c r="G103" s="56">
        <v>1</v>
      </c>
      <c r="H103" s="56">
        <v>399</v>
      </c>
      <c r="I103" s="56" t="s">
        <v>39</v>
      </c>
      <c r="J103" s="58">
        <v>45356</v>
      </c>
    </row>
    <row r="104" customHeight="1" spans="1:10">
      <c r="A104" s="56" t="s">
        <v>259</v>
      </c>
      <c r="B104" s="56" t="s">
        <v>60</v>
      </c>
      <c r="C104" s="56" t="s">
        <v>82</v>
      </c>
      <c r="D104" s="56" t="s">
        <v>83</v>
      </c>
      <c r="E104" s="56" t="s">
        <v>63</v>
      </c>
      <c r="F104" s="61">
        <v>45357.875</v>
      </c>
      <c r="G104" s="56">
        <v>2</v>
      </c>
      <c r="H104" s="56">
        <v>199</v>
      </c>
      <c r="I104" s="56" t="s">
        <v>89</v>
      </c>
      <c r="J104" s="58">
        <v>45360</v>
      </c>
    </row>
    <row r="105" customHeight="1" spans="1:10">
      <c r="A105" s="56" t="s">
        <v>260</v>
      </c>
      <c r="B105" s="56" t="s">
        <v>46</v>
      </c>
      <c r="C105" s="56" t="s">
        <v>95</v>
      </c>
      <c r="D105" s="56" t="s">
        <v>96</v>
      </c>
      <c r="E105" s="56" t="s">
        <v>32</v>
      </c>
      <c r="F105" s="57">
        <v>45467.5416666667</v>
      </c>
      <c r="G105" s="56">
        <v>1</v>
      </c>
      <c r="H105" s="56">
        <v>1299</v>
      </c>
      <c r="I105" s="56" t="s">
        <v>102</v>
      </c>
      <c r="J105" s="58">
        <v>45470</v>
      </c>
    </row>
    <row r="106" customHeight="1" spans="1:10">
      <c r="A106" s="56" t="s">
        <v>261</v>
      </c>
      <c r="B106" s="56" t="s">
        <v>29</v>
      </c>
      <c r="C106" s="56" t="s">
        <v>47</v>
      </c>
      <c r="D106" s="56" t="s">
        <v>48</v>
      </c>
      <c r="E106" s="56" t="s">
        <v>38</v>
      </c>
      <c r="F106" s="59">
        <v>45309.625</v>
      </c>
      <c r="G106" s="56">
        <v>4</v>
      </c>
      <c r="H106" s="56">
        <v>499</v>
      </c>
      <c r="I106" s="56" t="s">
        <v>89</v>
      </c>
      <c r="J106" s="58">
        <v>45311</v>
      </c>
    </row>
    <row r="107" customHeight="1" spans="1:10">
      <c r="A107" s="56" t="s">
        <v>262</v>
      </c>
      <c r="B107" s="56" t="s">
        <v>119</v>
      </c>
      <c r="C107" s="56" t="s">
        <v>72</v>
      </c>
      <c r="D107" s="56" t="s">
        <v>73</v>
      </c>
      <c r="E107" s="56" t="s">
        <v>63</v>
      </c>
      <c r="F107" s="59">
        <v>45434.8333333333</v>
      </c>
      <c r="G107" s="56">
        <v>4</v>
      </c>
      <c r="H107" s="56">
        <v>349</v>
      </c>
      <c r="I107" s="56" t="s">
        <v>39</v>
      </c>
      <c r="J107" s="58">
        <v>45437</v>
      </c>
    </row>
    <row r="108" customHeight="1" spans="1:10">
      <c r="A108" s="56" t="s">
        <v>263</v>
      </c>
      <c r="B108" s="56" t="s">
        <v>65</v>
      </c>
      <c r="C108" s="56" t="s">
        <v>87</v>
      </c>
      <c r="D108" s="56" t="s">
        <v>88</v>
      </c>
      <c r="E108" s="56" t="s">
        <v>38</v>
      </c>
      <c r="F108" s="60">
        <v>45336.2916666667</v>
      </c>
      <c r="G108" s="56">
        <v>3</v>
      </c>
      <c r="H108" s="56">
        <v>349</v>
      </c>
      <c r="I108" s="56" t="s">
        <v>39</v>
      </c>
      <c r="J108" s="58">
        <v>45338</v>
      </c>
    </row>
    <row r="109" customHeight="1" spans="1:10">
      <c r="A109" s="56" t="s">
        <v>264</v>
      </c>
      <c r="B109" s="56" t="s">
        <v>94</v>
      </c>
      <c r="C109" s="56" t="s">
        <v>42</v>
      </c>
      <c r="D109" s="56" t="s">
        <v>43</v>
      </c>
      <c r="E109" s="56" t="s">
        <v>44</v>
      </c>
      <c r="F109" s="57">
        <v>45404.2916666667</v>
      </c>
      <c r="G109" s="56">
        <v>1</v>
      </c>
      <c r="H109" s="56">
        <v>1199</v>
      </c>
      <c r="I109" s="56" t="s">
        <v>39</v>
      </c>
      <c r="J109" s="58">
        <v>45409</v>
      </c>
    </row>
    <row r="110" customHeight="1" spans="1:10">
      <c r="A110" s="56" t="s">
        <v>138</v>
      </c>
      <c r="B110" s="56" t="s">
        <v>146</v>
      </c>
      <c r="C110" s="56" t="s">
        <v>214</v>
      </c>
      <c r="D110" s="56" t="s">
        <v>215</v>
      </c>
      <c r="E110" s="56" t="s">
        <v>101</v>
      </c>
      <c r="F110" s="57">
        <v>45460.2916666667</v>
      </c>
      <c r="G110" s="56">
        <v>1</v>
      </c>
      <c r="H110" s="56">
        <v>349</v>
      </c>
      <c r="I110" s="56" t="s">
        <v>39</v>
      </c>
      <c r="J110" s="58">
        <v>45462</v>
      </c>
    </row>
    <row r="111" customHeight="1" spans="1:10">
      <c r="A111" s="56" t="s">
        <v>265</v>
      </c>
      <c r="B111" s="56" t="s">
        <v>184</v>
      </c>
      <c r="C111" s="56" t="s">
        <v>116</v>
      </c>
      <c r="D111" s="56" t="s">
        <v>117</v>
      </c>
      <c r="E111" s="56" t="s">
        <v>38</v>
      </c>
      <c r="F111" s="59">
        <v>45407.3333333333</v>
      </c>
      <c r="G111" s="56">
        <v>3</v>
      </c>
      <c r="H111" s="56">
        <v>199</v>
      </c>
      <c r="I111" s="56" t="s">
        <v>39</v>
      </c>
      <c r="J111" s="58">
        <v>45408</v>
      </c>
    </row>
    <row r="112" customHeight="1" spans="1:10">
      <c r="A112" s="56" t="s">
        <v>266</v>
      </c>
      <c r="B112" s="56" t="s">
        <v>267</v>
      </c>
      <c r="C112" s="56" t="s">
        <v>199</v>
      </c>
      <c r="D112" s="56" t="s">
        <v>200</v>
      </c>
      <c r="E112" s="56" t="s">
        <v>54</v>
      </c>
      <c r="F112" s="59">
        <v>45324.4166666667</v>
      </c>
      <c r="G112" s="56">
        <v>4</v>
      </c>
      <c r="H112" s="56">
        <v>499</v>
      </c>
      <c r="I112" s="56" t="s">
        <v>39</v>
      </c>
      <c r="J112" s="58">
        <v>45325</v>
      </c>
    </row>
    <row r="113" customHeight="1" spans="1:10">
      <c r="A113" s="56" t="s">
        <v>268</v>
      </c>
      <c r="B113" s="56" t="s">
        <v>94</v>
      </c>
      <c r="C113" s="56" t="s">
        <v>269</v>
      </c>
      <c r="D113" s="56" t="s">
        <v>270</v>
      </c>
      <c r="E113" s="56" t="s">
        <v>68</v>
      </c>
      <c r="F113" s="61">
        <v>45326.2916666667</v>
      </c>
      <c r="G113" s="56">
        <v>5</v>
      </c>
      <c r="H113" s="56">
        <v>449</v>
      </c>
      <c r="I113" s="56" t="s">
        <v>39</v>
      </c>
      <c r="J113" s="58">
        <v>45328</v>
      </c>
    </row>
    <row r="114" customHeight="1" spans="1:10">
      <c r="A114" s="56" t="s">
        <v>271</v>
      </c>
      <c r="B114" s="56" t="s">
        <v>173</v>
      </c>
      <c r="C114" s="56" t="s">
        <v>36</v>
      </c>
      <c r="D114" s="56" t="s">
        <v>37</v>
      </c>
      <c r="E114" s="56" t="s">
        <v>38</v>
      </c>
      <c r="F114" s="57">
        <v>45339.5</v>
      </c>
      <c r="G114" s="56">
        <v>4</v>
      </c>
      <c r="H114" s="56">
        <v>2999</v>
      </c>
      <c r="I114" s="56" t="s">
        <v>39</v>
      </c>
      <c r="J114" s="58">
        <v>45340</v>
      </c>
    </row>
    <row r="115" customHeight="1" spans="1:10">
      <c r="A115" s="56" t="s">
        <v>272</v>
      </c>
      <c r="B115" s="56" t="s">
        <v>230</v>
      </c>
      <c r="C115" s="56" t="s">
        <v>178</v>
      </c>
      <c r="D115" s="56" t="s">
        <v>179</v>
      </c>
      <c r="E115" s="56" t="s">
        <v>54</v>
      </c>
      <c r="F115" s="57">
        <v>45308.375</v>
      </c>
      <c r="G115" s="56">
        <v>2</v>
      </c>
      <c r="H115" s="56">
        <v>349</v>
      </c>
      <c r="I115" s="56" t="s">
        <v>49</v>
      </c>
      <c r="J115" s="58">
        <v>45310</v>
      </c>
    </row>
    <row r="116" customHeight="1" spans="1:10">
      <c r="A116" s="56" t="s">
        <v>273</v>
      </c>
      <c r="B116" s="56" t="s">
        <v>191</v>
      </c>
      <c r="C116" s="56" t="s">
        <v>156</v>
      </c>
      <c r="D116" s="56" t="s">
        <v>157</v>
      </c>
      <c r="E116" s="56" t="s">
        <v>44</v>
      </c>
      <c r="F116" s="57">
        <v>45377.4583333333</v>
      </c>
      <c r="G116" s="56">
        <v>5</v>
      </c>
      <c r="H116" s="56">
        <v>699</v>
      </c>
      <c r="I116" s="56" t="s">
        <v>102</v>
      </c>
      <c r="J116" s="58">
        <v>45381</v>
      </c>
    </row>
    <row r="117" customHeight="1" spans="1:10">
      <c r="A117" s="56" t="s">
        <v>274</v>
      </c>
      <c r="B117" s="56" t="s">
        <v>155</v>
      </c>
      <c r="C117" s="56" t="s">
        <v>275</v>
      </c>
      <c r="D117" s="56" t="s">
        <v>276</v>
      </c>
      <c r="E117" s="56" t="s">
        <v>44</v>
      </c>
      <c r="F117" s="57">
        <v>45368.4166666667</v>
      </c>
      <c r="G117" s="56">
        <v>4</v>
      </c>
      <c r="H117" s="56">
        <v>2499</v>
      </c>
      <c r="I117" s="56" t="s">
        <v>69</v>
      </c>
      <c r="J117" s="58">
        <v>45372</v>
      </c>
    </row>
    <row r="118" customHeight="1" spans="1:10">
      <c r="A118" s="56" t="s">
        <v>277</v>
      </c>
      <c r="B118" s="56" t="s">
        <v>167</v>
      </c>
      <c r="C118" s="56" t="s">
        <v>36</v>
      </c>
      <c r="D118" s="56" t="s">
        <v>37</v>
      </c>
      <c r="E118" s="56" t="s">
        <v>38</v>
      </c>
      <c r="F118" s="61">
        <v>45445.9166666667</v>
      </c>
      <c r="G118" s="56">
        <v>5</v>
      </c>
      <c r="H118" s="56">
        <v>2999</v>
      </c>
      <c r="I118" s="56" t="s">
        <v>39</v>
      </c>
      <c r="J118" s="58">
        <v>45449</v>
      </c>
    </row>
    <row r="119" customHeight="1" spans="1:10">
      <c r="A119" s="56" t="s">
        <v>278</v>
      </c>
      <c r="B119" s="56" t="s">
        <v>119</v>
      </c>
      <c r="C119" s="56" t="s">
        <v>104</v>
      </c>
      <c r="D119" s="56" t="s">
        <v>105</v>
      </c>
      <c r="E119" s="56" t="s">
        <v>44</v>
      </c>
      <c r="F119" s="60">
        <v>45367.7916666667</v>
      </c>
      <c r="G119" s="56">
        <v>2</v>
      </c>
      <c r="H119" s="56">
        <v>399</v>
      </c>
      <c r="I119" s="56" t="s">
        <v>39</v>
      </c>
      <c r="J119" s="58">
        <v>45370</v>
      </c>
    </row>
    <row r="120" customHeight="1" spans="1:10">
      <c r="A120" s="56" t="s">
        <v>279</v>
      </c>
      <c r="B120" s="56" t="s">
        <v>165</v>
      </c>
      <c r="C120" s="56" t="s">
        <v>280</v>
      </c>
      <c r="D120" s="56" t="s">
        <v>281</v>
      </c>
      <c r="E120" s="56" t="s">
        <v>32</v>
      </c>
      <c r="F120" s="57">
        <v>45410.7083333333</v>
      </c>
      <c r="G120" s="56">
        <v>3</v>
      </c>
      <c r="H120" s="56">
        <v>799</v>
      </c>
      <c r="I120" s="56" t="s">
        <v>39</v>
      </c>
      <c r="J120" s="58">
        <v>45413</v>
      </c>
    </row>
    <row r="121" customHeight="1" spans="1:10">
      <c r="A121" s="56" t="s">
        <v>282</v>
      </c>
      <c r="B121" s="56" t="s">
        <v>146</v>
      </c>
      <c r="C121" s="56" t="s">
        <v>104</v>
      </c>
      <c r="D121" s="56" t="s">
        <v>105</v>
      </c>
      <c r="E121" s="56" t="s">
        <v>44</v>
      </c>
      <c r="F121" s="57">
        <v>45468.6666666667</v>
      </c>
      <c r="G121" s="56">
        <v>4</v>
      </c>
      <c r="H121" s="56">
        <v>399</v>
      </c>
      <c r="I121" s="56" t="s">
        <v>69</v>
      </c>
      <c r="J121" s="58">
        <v>45471</v>
      </c>
    </row>
    <row r="122" customHeight="1" spans="1:10">
      <c r="A122" s="56" t="s">
        <v>283</v>
      </c>
      <c r="B122" s="56" t="s">
        <v>129</v>
      </c>
      <c r="C122" s="56" t="s">
        <v>202</v>
      </c>
      <c r="D122" s="56" t="s">
        <v>203</v>
      </c>
      <c r="E122" s="56" t="s">
        <v>101</v>
      </c>
      <c r="F122" s="57">
        <v>45373.6666666667</v>
      </c>
      <c r="G122" s="56">
        <v>1</v>
      </c>
      <c r="H122" s="56">
        <v>449</v>
      </c>
      <c r="I122" s="56" t="s">
        <v>49</v>
      </c>
      <c r="J122" s="58">
        <v>45376</v>
      </c>
    </row>
    <row r="123" customHeight="1" spans="1:10">
      <c r="A123" s="56" t="s">
        <v>284</v>
      </c>
      <c r="B123" s="56" t="s">
        <v>233</v>
      </c>
      <c r="C123" s="56" t="s">
        <v>116</v>
      </c>
      <c r="D123" s="56" t="s">
        <v>117</v>
      </c>
      <c r="E123" s="56" t="s">
        <v>38</v>
      </c>
      <c r="F123" s="61">
        <v>45383.4583333333</v>
      </c>
      <c r="G123" s="56">
        <v>2</v>
      </c>
      <c r="H123" s="56">
        <v>199</v>
      </c>
      <c r="I123" s="56" t="s">
        <v>39</v>
      </c>
      <c r="J123" s="58">
        <v>45387</v>
      </c>
    </row>
    <row r="124" customHeight="1" spans="1:10">
      <c r="A124" s="56" t="s">
        <v>285</v>
      </c>
      <c r="B124" s="56" t="s">
        <v>119</v>
      </c>
      <c r="C124" s="56" t="s">
        <v>104</v>
      </c>
      <c r="D124" s="56" t="s">
        <v>105</v>
      </c>
      <c r="E124" s="56" t="s">
        <v>44</v>
      </c>
      <c r="F124" s="59">
        <v>45352.4166666667</v>
      </c>
      <c r="G124" s="56">
        <v>3</v>
      </c>
      <c r="H124" s="56">
        <v>399</v>
      </c>
      <c r="I124" s="56" t="s">
        <v>39</v>
      </c>
      <c r="J124" s="58">
        <v>45356</v>
      </c>
    </row>
    <row r="125" customHeight="1" spans="1:10">
      <c r="A125" s="56" t="s">
        <v>252</v>
      </c>
      <c r="B125" s="56" t="s">
        <v>85</v>
      </c>
      <c r="C125" s="56" t="s">
        <v>221</v>
      </c>
      <c r="D125" s="56" t="s">
        <v>222</v>
      </c>
      <c r="E125" s="56" t="s">
        <v>78</v>
      </c>
      <c r="F125" s="60">
        <v>45385.6666666667</v>
      </c>
      <c r="G125" s="56">
        <v>5</v>
      </c>
      <c r="H125" s="56">
        <v>399</v>
      </c>
      <c r="I125" s="56" t="s">
        <v>89</v>
      </c>
      <c r="J125" s="58">
        <v>45386</v>
      </c>
    </row>
    <row r="126" customHeight="1" spans="1:10">
      <c r="A126" s="56" t="s">
        <v>286</v>
      </c>
      <c r="B126" s="56" t="s">
        <v>92</v>
      </c>
      <c r="C126" s="56" t="s">
        <v>168</v>
      </c>
      <c r="D126" s="56" t="s">
        <v>169</v>
      </c>
      <c r="E126" s="56" t="s">
        <v>68</v>
      </c>
      <c r="F126" s="60">
        <v>45435.4166666667</v>
      </c>
      <c r="G126" s="56">
        <v>2</v>
      </c>
      <c r="H126" s="56">
        <v>379</v>
      </c>
      <c r="I126" s="56" t="s">
        <v>49</v>
      </c>
      <c r="J126" s="58">
        <v>45439</v>
      </c>
    </row>
    <row r="127" customHeight="1" spans="1:10">
      <c r="A127" s="56" t="s">
        <v>226</v>
      </c>
      <c r="B127" s="56" t="s">
        <v>173</v>
      </c>
      <c r="C127" s="56" t="s">
        <v>120</v>
      </c>
      <c r="D127" s="56" t="s">
        <v>121</v>
      </c>
      <c r="E127" s="56" t="s">
        <v>78</v>
      </c>
      <c r="F127" s="59">
        <v>45299.3333333333</v>
      </c>
      <c r="G127" s="56">
        <v>1</v>
      </c>
      <c r="H127" s="56">
        <v>349</v>
      </c>
      <c r="I127" s="56" t="s">
        <v>39</v>
      </c>
      <c r="J127" s="58">
        <v>45301</v>
      </c>
    </row>
    <row r="128" customHeight="1" spans="1:10">
      <c r="A128" s="56" t="s">
        <v>287</v>
      </c>
      <c r="B128" s="56" t="s">
        <v>146</v>
      </c>
      <c r="C128" s="56" t="s">
        <v>199</v>
      </c>
      <c r="D128" s="56" t="s">
        <v>200</v>
      </c>
      <c r="E128" s="56" t="s">
        <v>54</v>
      </c>
      <c r="F128" s="59">
        <v>45337.9583333333</v>
      </c>
      <c r="G128" s="56">
        <v>3</v>
      </c>
      <c r="H128" s="56">
        <v>499</v>
      </c>
      <c r="I128" s="56" t="s">
        <v>102</v>
      </c>
      <c r="J128" s="58">
        <v>45338</v>
      </c>
    </row>
    <row r="129" customHeight="1" spans="1:10">
      <c r="A129" s="56" t="s">
        <v>288</v>
      </c>
      <c r="B129" s="56" t="s">
        <v>56</v>
      </c>
      <c r="C129" s="56" t="s">
        <v>221</v>
      </c>
      <c r="D129" s="56" t="s">
        <v>222</v>
      </c>
      <c r="E129" s="56" t="s">
        <v>78</v>
      </c>
      <c r="F129" s="63">
        <v>45418.75</v>
      </c>
      <c r="G129" s="56">
        <v>1</v>
      </c>
      <c r="H129" s="56">
        <v>399</v>
      </c>
      <c r="I129" s="56" t="s">
        <v>33</v>
      </c>
      <c r="J129" s="58">
        <v>45420</v>
      </c>
    </row>
    <row r="130" customHeight="1" spans="1:10">
      <c r="A130" s="56" t="s">
        <v>289</v>
      </c>
      <c r="B130" s="56" t="s">
        <v>109</v>
      </c>
      <c r="C130" s="56" t="s">
        <v>30</v>
      </c>
      <c r="D130" s="56" t="s">
        <v>31</v>
      </c>
      <c r="E130" s="56" t="s">
        <v>32</v>
      </c>
      <c r="F130" s="57">
        <v>45351.2916666667</v>
      </c>
      <c r="G130" s="56">
        <v>1</v>
      </c>
      <c r="H130" s="56">
        <v>1599</v>
      </c>
      <c r="I130" s="56" t="s">
        <v>39</v>
      </c>
      <c r="J130" s="58">
        <v>45356</v>
      </c>
    </row>
    <row r="131" customHeight="1" spans="1:10">
      <c r="A131" s="56" t="s">
        <v>290</v>
      </c>
      <c r="B131" s="56" t="s">
        <v>81</v>
      </c>
      <c r="C131" s="56" t="s">
        <v>185</v>
      </c>
      <c r="D131" s="56" t="s">
        <v>186</v>
      </c>
      <c r="E131" s="56" t="s">
        <v>32</v>
      </c>
      <c r="F131" s="57">
        <v>45374.7916666667</v>
      </c>
      <c r="G131" s="56">
        <v>4</v>
      </c>
      <c r="H131" s="56">
        <v>899</v>
      </c>
      <c r="I131" s="56" t="s">
        <v>39</v>
      </c>
      <c r="J131" s="58">
        <v>45377</v>
      </c>
    </row>
    <row r="132" customHeight="1" spans="1:10">
      <c r="A132" s="56" t="s">
        <v>291</v>
      </c>
      <c r="B132" s="56" t="s">
        <v>71</v>
      </c>
      <c r="C132" s="56" t="s">
        <v>214</v>
      </c>
      <c r="D132" s="56" t="s">
        <v>215</v>
      </c>
      <c r="E132" s="56" t="s">
        <v>101</v>
      </c>
      <c r="F132" s="59">
        <v>45415.875</v>
      </c>
      <c r="G132" s="56">
        <v>2</v>
      </c>
      <c r="H132" s="56">
        <v>349</v>
      </c>
      <c r="I132" s="56" t="s">
        <v>33</v>
      </c>
      <c r="J132" s="58">
        <v>45420</v>
      </c>
    </row>
    <row r="133" customHeight="1" spans="1:10">
      <c r="A133" s="56" t="s">
        <v>292</v>
      </c>
      <c r="B133" s="56" t="s">
        <v>113</v>
      </c>
      <c r="C133" s="56" t="s">
        <v>256</v>
      </c>
      <c r="D133" s="56" t="s">
        <v>257</v>
      </c>
      <c r="E133" s="56" t="s">
        <v>38</v>
      </c>
      <c r="F133" s="57">
        <v>45460.8333333333</v>
      </c>
      <c r="G133" s="56">
        <v>3</v>
      </c>
      <c r="H133" s="56">
        <v>799</v>
      </c>
      <c r="I133" s="56" t="s">
        <v>33</v>
      </c>
      <c r="J133" s="58">
        <v>45464</v>
      </c>
    </row>
    <row r="134" customHeight="1" spans="1:10">
      <c r="A134" s="56" t="s">
        <v>293</v>
      </c>
      <c r="B134" s="56" t="s">
        <v>207</v>
      </c>
      <c r="C134" s="56" t="s">
        <v>57</v>
      </c>
      <c r="D134" s="56" t="s">
        <v>58</v>
      </c>
      <c r="E134" s="56" t="s">
        <v>54</v>
      </c>
      <c r="F134" s="57">
        <v>45466.2916666667</v>
      </c>
      <c r="G134" s="56">
        <v>5</v>
      </c>
      <c r="H134" s="56">
        <v>899</v>
      </c>
      <c r="I134" s="56" t="s">
        <v>33</v>
      </c>
      <c r="J134" s="58">
        <v>45469</v>
      </c>
    </row>
    <row r="135" customHeight="1" spans="1:10">
      <c r="A135" s="56" t="s">
        <v>294</v>
      </c>
      <c r="B135" s="56" t="s">
        <v>213</v>
      </c>
      <c r="C135" s="56" t="s">
        <v>156</v>
      </c>
      <c r="D135" s="56" t="s">
        <v>157</v>
      </c>
      <c r="E135" s="56" t="s">
        <v>44</v>
      </c>
      <c r="F135" s="57">
        <v>45467.5416666667</v>
      </c>
      <c r="G135" s="56">
        <v>4</v>
      </c>
      <c r="H135" s="56">
        <v>699</v>
      </c>
      <c r="I135" s="56" t="s">
        <v>49</v>
      </c>
      <c r="J135" s="58">
        <v>45470</v>
      </c>
    </row>
    <row r="136" customHeight="1" spans="1:10">
      <c r="A136" s="56" t="s">
        <v>295</v>
      </c>
      <c r="B136" s="56" t="s">
        <v>113</v>
      </c>
      <c r="C136" s="56" t="s">
        <v>116</v>
      </c>
      <c r="D136" s="56" t="s">
        <v>117</v>
      </c>
      <c r="E136" s="56" t="s">
        <v>38</v>
      </c>
      <c r="F136" s="60">
        <v>45391.625</v>
      </c>
      <c r="G136" s="56">
        <v>5</v>
      </c>
      <c r="H136" s="56">
        <v>199</v>
      </c>
      <c r="I136" s="56" t="s">
        <v>49</v>
      </c>
      <c r="J136" s="58">
        <v>45395</v>
      </c>
    </row>
    <row r="137" customHeight="1" spans="1:10">
      <c r="A137" s="56" t="s">
        <v>296</v>
      </c>
      <c r="B137" s="56" t="s">
        <v>71</v>
      </c>
      <c r="C137" s="56" t="s">
        <v>185</v>
      </c>
      <c r="D137" s="56" t="s">
        <v>186</v>
      </c>
      <c r="E137" s="56" t="s">
        <v>32</v>
      </c>
      <c r="F137" s="60">
        <v>45415.7083333333</v>
      </c>
      <c r="G137" s="56">
        <v>2</v>
      </c>
      <c r="H137" s="56">
        <v>899</v>
      </c>
      <c r="I137" s="56" t="s">
        <v>39</v>
      </c>
      <c r="J137" s="58">
        <v>45420</v>
      </c>
    </row>
    <row r="138" customHeight="1" spans="1:10">
      <c r="A138" s="56" t="s">
        <v>297</v>
      </c>
      <c r="B138" s="56" t="s">
        <v>177</v>
      </c>
      <c r="C138" s="56" t="s">
        <v>72</v>
      </c>
      <c r="D138" s="56" t="s">
        <v>73</v>
      </c>
      <c r="E138" s="56" t="s">
        <v>63</v>
      </c>
      <c r="F138" s="63">
        <v>45413.7916666667</v>
      </c>
      <c r="G138" s="56">
        <v>4</v>
      </c>
      <c r="H138" s="56">
        <v>349</v>
      </c>
      <c r="I138" s="56" t="s">
        <v>89</v>
      </c>
      <c r="J138" s="58">
        <v>45417</v>
      </c>
    </row>
    <row r="139" customHeight="1" spans="1:10">
      <c r="A139" s="56" t="s">
        <v>298</v>
      </c>
      <c r="B139" s="56" t="s">
        <v>230</v>
      </c>
      <c r="C139" s="56" t="s">
        <v>214</v>
      </c>
      <c r="D139" s="56" t="s">
        <v>215</v>
      </c>
      <c r="E139" s="56" t="s">
        <v>101</v>
      </c>
      <c r="F139" s="63">
        <v>45416.75</v>
      </c>
      <c r="G139" s="56">
        <v>4</v>
      </c>
      <c r="H139" s="56">
        <v>349</v>
      </c>
      <c r="I139" s="56" t="s">
        <v>39</v>
      </c>
      <c r="J139" s="58">
        <v>45421</v>
      </c>
    </row>
    <row r="140" customHeight="1" spans="1:10">
      <c r="A140" s="56" t="s">
        <v>299</v>
      </c>
      <c r="B140" s="56" t="s">
        <v>230</v>
      </c>
      <c r="C140" s="56" t="s">
        <v>133</v>
      </c>
      <c r="D140" s="56" t="s">
        <v>134</v>
      </c>
      <c r="E140" s="56" t="s">
        <v>101</v>
      </c>
      <c r="F140" s="59">
        <v>45308.6666666667</v>
      </c>
      <c r="G140" s="56">
        <v>3</v>
      </c>
      <c r="H140" s="56">
        <v>199</v>
      </c>
      <c r="I140" s="56" t="s">
        <v>39</v>
      </c>
      <c r="J140" s="58">
        <v>45309</v>
      </c>
    </row>
    <row r="141" customHeight="1" spans="1:10">
      <c r="A141" s="56" t="s">
        <v>300</v>
      </c>
      <c r="B141" s="56" t="s">
        <v>65</v>
      </c>
      <c r="C141" s="56" t="s">
        <v>116</v>
      </c>
      <c r="D141" s="56" t="s">
        <v>117</v>
      </c>
      <c r="E141" s="56" t="s">
        <v>38</v>
      </c>
      <c r="F141" s="59">
        <v>45336.7916666667</v>
      </c>
      <c r="G141" s="56">
        <v>4</v>
      </c>
      <c r="H141" s="56">
        <v>199</v>
      </c>
      <c r="I141" s="56" t="s">
        <v>39</v>
      </c>
      <c r="J141" s="58">
        <v>45337</v>
      </c>
    </row>
    <row r="142" customHeight="1" spans="1:10">
      <c r="A142" s="56" t="s">
        <v>301</v>
      </c>
      <c r="B142" s="56" t="s">
        <v>119</v>
      </c>
      <c r="C142" s="56" t="s">
        <v>72</v>
      </c>
      <c r="D142" s="56" t="s">
        <v>73</v>
      </c>
      <c r="E142" s="56" t="s">
        <v>63</v>
      </c>
      <c r="F142" s="59">
        <v>45469.7916666667</v>
      </c>
      <c r="G142" s="56">
        <v>5</v>
      </c>
      <c r="H142" s="56">
        <v>349</v>
      </c>
      <c r="I142" s="56" t="s">
        <v>39</v>
      </c>
      <c r="J142" s="58">
        <v>45472</v>
      </c>
    </row>
    <row r="143" customHeight="1" spans="1:10">
      <c r="A143" s="56" t="s">
        <v>302</v>
      </c>
      <c r="B143" s="56" t="s">
        <v>109</v>
      </c>
      <c r="C143" s="56" t="s">
        <v>47</v>
      </c>
      <c r="D143" s="56" t="s">
        <v>48</v>
      </c>
      <c r="E143" s="56" t="s">
        <v>38</v>
      </c>
      <c r="F143" s="62">
        <v>45439.9583333333</v>
      </c>
      <c r="G143" s="56">
        <v>2</v>
      </c>
      <c r="H143" s="56">
        <v>499</v>
      </c>
      <c r="I143" s="56" t="s">
        <v>39</v>
      </c>
      <c r="J143" s="58">
        <v>45440</v>
      </c>
    </row>
    <row r="144" customHeight="1" spans="1:10">
      <c r="A144" s="56" t="s">
        <v>303</v>
      </c>
      <c r="B144" s="56" t="s">
        <v>213</v>
      </c>
      <c r="C144" s="56" t="s">
        <v>269</v>
      </c>
      <c r="D144" s="56" t="s">
        <v>270</v>
      </c>
      <c r="E144" s="56" t="s">
        <v>68</v>
      </c>
      <c r="F144" s="57">
        <v>45392.5</v>
      </c>
      <c r="G144" s="56">
        <v>1</v>
      </c>
      <c r="H144" s="56">
        <v>449</v>
      </c>
      <c r="I144" s="56" t="s">
        <v>89</v>
      </c>
      <c r="J144" s="58">
        <v>45397</v>
      </c>
    </row>
    <row r="145" customHeight="1" spans="1:10">
      <c r="A145" s="56" t="s">
        <v>304</v>
      </c>
      <c r="B145" s="56" t="s">
        <v>155</v>
      </c>
      <c r="C145" s="56" t="s">
        <v>156</v>
      </c>
      <c r="D145" s="56" t="s">
        <v>157</v>
      </c>
      <c r="E145" s="56" t="s">
        <v>44</v>
      </c>
      <c r="F145" s="57">
        <v>45396.4583333333</v>
      </c>
      <c r="G145" s="56">
        <v>4</v>
      </c>
      <c r="H145" s="56">
        <v>699</v>
      </c>
      <c r="I145" s="56" t="s">
        <v>39</v>
      </c>
      <c r="J145" s="58">
        <v>45400</v>
      </c>
    </row>
    <row r="146" customHeight="1" spans="1:10">
      <c r="A146" s="56" t="s">
        <v>305</v>
      </c>
      <c r="B146" s="56" t="s">
        <v>65</v>
      </c>
      <c r="C146" s="56" t="s">
        <v>133</v>
      </c>
      <c r="D146" s="56" t="s">
        <v>134</v>
      </c>
      <c r="E146" s="56" t="s">
        <v>101</v>
      </c>
      <c r="F146" s="59">
        <v>45432.9583333333</v>
      </c>
      <c r="G146" s="56">
        <v>3</v>
      </c>
      <c r="H146" s="56">
        <v>199</v>
      </c>
      <c r="I146" s="56" t="s">
        <v>39</v>
      </c>
      <c r="J146" s="58">
        <v>45434</v>
      </c>
    </row>
    <row r="147" customHeight="1" spans="1:10">
      <c r="A147" s="56" t="s">
        <v>306</v>
      </c>
      <c r="B147" s="56" t="s">
        <v>65</v>
      </c>
      <c r="C147" s="56" t="s">
        <v>76</v>
      </c>
      <c r="D147" s="56" t="s">
        <v>77</v>
      </c>
      <c r="E147" s="56" t="s">
        <v>78</v>
      </c>
      <c r="F147" s="59">
        <v>45450.7916666667</v>
      </c>
      <c r="G147" s="56">
        <v>2</v>
      </c>
      <c r="H147" s="56">
        <v>249</v>
      </c>
      <c r="I147" s="56" t="s">
        <v>39</v>
      </c>
      <c r="J147" s="58">
        <v>45454</v>
      </c>
    </row>
    <row r="148" customHeight="1" spans="1:10">
      <c r="A148" s="56" t="s">
        <v>97</v>
      </c>
      <c r="B148" s="56" t="s">
        <v>65</v>
      </c>
      <c r="C148" s="56" t="s">
        <v>120</v>
      </c>
      <c r="D148" s="56" t="s">
        <v>121</v>
      </c>
      <c r="E148" s="56" t="s">
        <v>78</v>
      </c>
      <c r="F148" s="59">
        <v>45445.4583333333</v>
      </c>
      <c r="G148" s="56">
        <v>4</v>
      </c>
      <c r="H148" s="56">
        <v>349</v>
      </c>
      <c r="I148" s="56" t="s">
        <v>69</v>
      </c>
      <c r="J148" s="58">
        <v>45446</v>
      </c>
    </row>
    <row r="149" customHeight="1" spans="1:10">
      <c r="A149" s="56" t="s">
        <v>307</v>
      </c>
      <c r="B149" s="56" t="s">
        <v>182</v>
      </c>
      <c r="C149" s="56" t="s">
        <v>130</v>
      </c>
      <c r="D149" s="56" t="s">
        <v>131</v>
      </c>
      <c r="E149" s="56" t="s">
        <v>78</v>
      </c>
      <c r="F149" s="61">
        <v>45331.75</v>
      </c>
      <c r="G149" s="56">
        <v>3</v>
      </c>
      <c r="H149" s="56">
        <v>599</v>
      </c>
      <c r="I149" s="56" t="s">
        <v>39</v>
      </c>
      <c r="J149" s="58">
        <v>45334</v>
      </c>
    </row>
    <row r="150" customHeight="1" spans="1:10">
      <c r="A150" s="56" t="s">
        <v>308</v>
      </c>
      <c r="B150" s="56" t="s">
        <v>56</v>
      </c>
      <c r="C150" s="56" t="s">
        <v>87</v>
      </c>
      <c r="D150" s="56" t="s">
        <v>88</v>
      </c>
      <c r="E150" s="56" t="s">
        <v>38</v>
      </c>
      <c r="F150" s="59">
        <v>45410.75</v>
      </c>
      <c r="G150" s="56">
        <v>2</v>
      </c>
      <c r="H150" s="56">
        <v>349</v>
      </c>
      <c r="I150" s="56" t="s">
        <v>39</v>
      </c>
      <c r="J150" s="58">
        <v>45415</v>
      </c>
    </row>
    <row r="151" customHeight="1" spans="1:10">
      <c r="A151" s="56" t="s">
        <v>309</v>
      </c>
      <c r="B151" s="56" t="s">
        <v>109</v>
      </c>
      <c r="C151" s="56" t="s">
        <v>95</v>
      </c>
      <c r="D151" s="56" t="s">
        <v>96</v>
      </c>
      <c r="E151" s="56" t="s">
        <v>32</v>
      </c>
      <c r="F151" s="59">
        <v>45342.75</v>
      </c>
      <c r="G151" s="56">
        <v>4</v>
      </c>
      <c r="H151" s="56">
        <v>1299</v>
      </c>
      <c r="I151" s="56" t="s">
        <v>39</v>
      </c>
      <c r="J151" s="58">
        <v>45343</v>
      </c>
    </row>
    <row r="152" customHeight="1" spans="1:10">
      <c r="A152" s="56" t="s">
        <v>310</v>
      </c>
      <c r="B152" s="56" t="s">
        <v>94</v>
      </c>
      <c r="C152" s="56" t="s">
        <v>42</v>
      </c>
      <c r="D152" s="56" t="s">
        <v>43</v>
      </c>
      <c r="E152" s="56" t="s">
        <v>44</v>
      </c>
      <c r="F152" s="60">
        <v>45347.7916666667</v>
      </c>
      <c r="G152" s="56">
        <v>4</v>
      </c>
      <c r="H152" s="56">
        <v>1199</v>
      </c>
      <c r="I152" s="56" t="s">
        <v>39</v>
      </c>
      <c r="J152" s="58">
        <v>45349</v>
      </c>
    </row>
    <row r="153" customHeight="1" spans="1:10">
      <c r="A153" s="56" t="s">
        <v>311</v>
      </c>
      <c r="B153" s="56" t="s">
        <v>194</v>
      </c>
      <c r="C153" s="56" t="s">
        <v>140</v>
      </c>
      <c r="D153" s="56" t="s">
        <v>141</v>
      </c>
      <c r="E153" s="56" t="s">
        <v>63</v>
      </c>
      <c r="F153" s="59">
        <v>45398.5833333333</v>
      </c>
      <c r="G153" s="56">
        <v>4</v>
      </c>
      <c r="H153" s="56">
        <v>449</v>
      </c>
      <c r="I153" s="56" t="s">
        <v>49</v>
      </c>
      <c r="J153" s="58">
        <v>45399</v>
      </c>
    </row>
    <row r="154" customHeight="1" spans="1:10">
      <c r="A154" s="56" t="s">
        <v>312</v>
      </c>
      <c r="B154" s="56" t="s">
        <v>207</v>
      </c>
      <c r="C154" s="56" t="s">
        <v>185</v>
      </c>
      <c r="D154" s="56" t="s">
        <v>186</v>
      </c>
      <c r="E154" s="56" t="s">
        <v>32</v>
      </c>
      <c r="F154" s="60">
        <v>45433.7083333333</v>
      </c>
      <c r="G154" s="56">
        <v>2</v>
      </c>
      <c r="H154" s="56">
        <v>899</v>
      </c>
      <c r="I154" s="56" t="s">
        <v>89</v>
      </c>
      <c r="J154" s="58">
        <v>45437</v>
      </c>
    </row>
    <row r="155" customHeight="1" spans="1:10">
      <c r="A155" s="56" t="s">
        <v>313</v>
      </c>
      <c r="B155" s="56" t="s">
        <v>92</v>
      </c>
      <c r="C155" s="56" t="s">
        <v>52</v>
      </c>
      <c r="D155" s="56" t="s">
        <v>53</v>
      </c>
      <c r="E155" s="56" t="s">
        <v>54</v>
      </c>
      <c r="F155" s="60">
        <v>45374.5416666667</v>
      </c>
      <c r="G155" s="56">
        <v>2</v>
      </c>
      <c r="H155" s="56">
        <v>649</v>
      </c>
      <c r="I155" s="56" t="s">
        <v>39</v>
      </c>
      <c r="J155" s="58">
        <v>45379</v>
      </c>
    </row>
    <row r="156" customHeight="1" spans="1:10">
      <c r="A156" s="56" t="s">
        <v>314</v>
      </c>
      <c r="B156" s="56" t="s">
        <v>107</v>
      </c>
      <c r="C156" s="56" t="s">
        <v>82</v>
      </c>
      <c r="D156" s="56" t="s">
        <v>83</v>
      </c>
      <c r="E156" s="56" t="s">
        <v>63</v>
      </c>
      <c r="F156" s="57">
        <v>45461.6666666667</v>
      </c>
      <c r="G156" s="56">
        <v>1</v>
      </c>
      <c r="H156" s="56">
        <v>199</v>
      </c>
      <c r="I156" s="56" t="s">
        <v>69</v>
      </c>
      <c r="J156" s="58">
        <v>45463</v>
      </c>
    </row>
    <row r="157" customHeight="1" spans="1:10">
      <c r="A157" s="56" t="s">
        <v>315</v>
      </c>
      <c r="B157" s="56" t="s">
        <v>113</v>
      </c>
      <c r="C157" s="56" t="s">
        <v>214</v>
      </c>
      <c r="D157" s="56" t="s">
        <v>215</v>
      </c>
      <c r="E157" s="56" t="s">
        <v>101</v>
      </c>
      <c r="F157" s="59">
        <v>45367.4166666667</v>
      </c>
      <c r="G157" s="56">
        <v>1</v>
      </c>
      <c r="H157" s="56">
        <v>349</v>
      </c>
      <c r="I157" s="56" t="s">
        <v>49</v>
      </c>
      <c r="J157" s="58">
        <v>45372</v>
      </c>
    </row>
    <row r="158" customHeight="1" spans="1:10">
      <c r="A158" s="56" t="s">
        <v>316</v>
      </c>
      <c r="B158" s="56" t="s">
        <v>75</v>
      </c>
      <c r="C158" s="56" t="s">
        <v>99</v>
      </c>
      <c r="D158" s="56" t="s">
        <v>100</v>
      </c>
      <c r="E158" s="56" t="s">
        <v>101</v>
      </c>
      <c r="F158" s="57">
        <v>45373.6666666667</v>
      </c>
      <c r="G158" s="56">
        <v>2</v>
      </c>
      <c r="H158" s="56">
        <v>299</v>
      </c>
      <c r="I158" s="56" t="s">
        <v>39</v>
      </c>
      <c r="J158" s="58">
        <v>45376</v>
      </c>
    </row>
    <row r="159" customHeight="1" spans="1:10">
      <c r="A159" s="56" t="s">
        <v>317</v>
      </c>
      <c r="B159" s="56" t="s">
        <v>123</v>
      </c>
      <c r="C159" s="56" t="s">
        <v>214</v>
      </c>
      <c r="D159" s="56" t="s">
        <v>215</v>
      </c>
      <c r="E159" s="56" t="s">
        <v>101</v>
      </c>
      <c r="F159" s="60">
        <v>45360.5</v>
      </c>
      <c r="G159" s="56">
        <v>1</v>
      </c>
      <c r="H159" s="56">
        <v>349</v>
      </c>
      <c r="I159" s="56" t="s">
        <v>33</v>
      </c>
      <c r="J159" s="58">
        <v>45364</v>
      </c>
    </row>
    <row r="160" customHeight="1" spans="1:10">
      <c r="A160" s="56" t="s">
        <v>318</v>
      </c>
      <c r="B160" s="56" t="s">
        <v>46</v>
      </c>
      <c r="C160" s="56" t="s">
        <v>47</v>
      </c>
      <c r="D160" s="56" t="s">
        <v>48</v>
      </c>
      <c r="E160" s="56" t="s">
        <v>38</v>
      </c>
      <c r="F160" s="62">
        <v>45440.7916666667</v>
      </c>
      <c r="G160" s="56">
        <v>1</v>
      </c>
      <c r="H160" s="56">
        <v>499</v>
      </c>
      <c r="I160" s="56" t="s">
        <v>69</v>
      </c>
      <c r="J160" s="58">
        <v>45444</v>
      </c>
    </row>
    <row r="161" customHeight="1" spans="1:10">
      <c r="A161" s="56" t="s">
        <v>319</v>
      </c>
      <c r="B161" s="56" t="s">
        <v>41</v>
      </c>
      <c r="C161" s="56" t="s">
        <v>162</v>
      </c>
      <c r="D161" s="56" t="s">
        <v>163</v>
      </c>
      <c r="E161" s="56" t="s">
        <v>68</v>
      </c>
      <c r="F161" s="59">
        <v>45347.6666666667</v>
      </c>
      <c r="G161" s="56">
        <v>3</v>
      </c>
      <c r="H161" s="56">
        <v>499</v>
      </c>
      <c r="I161" s="56" t="s">
        <v>39</v>
      </c>
      <c r="J161" s="58">
        <v>45348</v>
      </c>
    </row>
    <row r="162" customHeight="1" spans="1:10">
      <c r="A162" s="56" t="s">
        <v>320</v>
      </c>
      <c r="B162" s="56" t="s">
        <v>113</v>
      </c>
      <c r="C162" s="56" t="s">
        <v>196</v>
      </c>
      <c r="D162" s="56" t="s">
        <v>197</v>
      </c>
      <c r="E162" s="56" t="s">
        <v>101</v>
      </c>
      <c r="F162" s="60">
        <v>45301.7083333333</v>
      </c>
      <c r="G162" s="56">
        <v>3</v>
      </c>
      <c r="H162" s="56">
        <v>649</v>
      </c>
      <c r="I162" s="56" t="s">
        <v>39</v>
      </c>
      <c r="J162" s="58">
        <v>45303</v>
      </c>
    </row>
    <row r="163" customHeight="1" spans="1:10">
      <c r="A163" s="56" t="s">
        <v>321</v>
      </c>
      <c r="B163" s="56" t="s">
        <v>243</v>
      </c>
      <c r="C163" s="56" t="s">
        <v>99</v>
      </c>
      <c r="D163" s="56" t="s">
        <v>100</v>
      </c>
      <c r="E163" s="56" t="s">
        <v>101</v>
      </c>
      <c r="F163" s="57">
        <v>45464.625</v>
      </c>
      <c r="G163" s="56">
        <v>5</v>
      </c>
      <c r="H163" s="56">
        <v>299</v>
      </c>
      <c r="I163" s="56" t="s">
        <v>39</v>
      </c>
      <c r="J163" s="58">
        <v>45467</v>
      </c>
    </row>
    <row r="164" customHeight="1" spans="1:10">
      <c r="A164" s="56" t="s">
        <v>322</v>
      </c>
      <c r="B164" s="56" t="s">
        <v>191</v>
      </c>
      <c r="C164" s="56" t="s">
        <v>66</v>
      </c>
      <c r="D164" s="56" t="s">
        <v>67</v>
      </c>
      <c r="E164" s="56" t="s">
        <v>68</v>
      </c>
      <c r="F164" s="57">
        <v>45472.3333333333</v>
      </c>
      <c r="G164" s="56">
        <v>2</v>
      </c>
      <c r="H164" s="56">
        <v>399</v>
      </c>
      <c r="I164" s="56" t="s">
        <v>102</v>
      </c>
      <c r="J164" s="58">
        <v>45474</v>
      </c>
    </row>
    <row r="165" customHeight="1" spans="1:10">
      <c r="A165" s="56" t="s">
        <v>323</v>
      </c>
      <c r="B165" s="56" t="s">
        <v>324</v>
      </c>
      <c r="C165" s="56" t="s">
        <v>199</v>
      </c>
      <c r="D165" s="56" t="s">
        <v>200</v>
      </c>
      <c r="E165" s="56" t="s">
        <v>54</v>
      </c>
      <c r="F165" s="62">
        <v>45443.7916666667</v>
      </c>
      <c r="G165" s="56">
        <v>1</v>
      </c>
      <c r="H165" s="56">
        <v>499</v>
      </c>
      <c r="I165" s="56" t="s">
        <v>39</v>
      </c>
      <c r="J165" s="58">
        <v>45446</v>
      </c>
    </row>
    <row r="166" customHeight="1" spans="1:10">
      <c r="A166" s="56" t="s">
        <v>325</v>
      </c>
      <c r="B166" s="56" t="s">
        <v>119</v>
      </c>
      <c r="C166" s="56" t="s">
        <v>133</v>
      </c>
      <c r="D166" s="56" t="s">
        <v>134</v>
      </c>
      <c r="E166" s="56" t="s">
        <v>101</v>
      </c>
      <c r="F166" s="57">
        <v>45315.75</v>
      </c>
      <c r="G166" s="56">
        <v>4</v>
      </c>
      <c r="H166" s="56">
        <v>199</v>
      </c>
      <c r="I166" s="56" t="s">
        <v>39</v>
      </c>
      <c r="J166" s="58">
        <v>45319</v>
      </c>
    </row>
    <row r="167" customHeight="1" spans="1:10">
      <c r="A167" s="56" t="s">
        <v>326</v>
      </c>
      <c r="B167" s="56" t="s">
        <v>127</v>
      </c>
      <c r="C167" s="56" t="s">
        <v>66</v>
      </c>
      <c r="D167" s="56" t="s">
        <v>67</v>
      </c>
      <c r="E167" s="56" t="s">
        <v>68</v>
      </c>
      <c r="F167" s="61">
        <v>45359.9166666667</v>
      </c>
      <c r="G167" s="56">
        <v>3</v>
      </c>
      <c r="H167" s="56">
        <v>399</v>
      </c>
      <c r="I167" s="56" t="s">
        <v>39</v>
      </c>
      <c r="J167" s="58">
        <v>45362</v>
      </c>
    </row>
    <row r="168" customHeight="1" spans="1:10">
      <c r="A168" s="56" t="s">
        <v>327</v>
      </c>
      <c r="B168" s="56" t="s">
        <v>119</v>
      </c>
      <c r="C168" s="56" t="s">
        <v>124</v>
      </c>
      <c r="D168" s="56" t="s">
        <v>125</v>
      </c>
      <c r="E168" s="56" t="s">
        <v>68</v>
      </c>
      <c r="F168" s="60">
        <v>45410.875</v>
      </c>
      <c r="G168" s="56">
        <v>1</v>
      </c>
      <c r="H168" s="56">
        <v>349</v>
      </c>
      <c r="I168" s="56" t="s">
        <v>102</v>
      </c>
      <c r="J168" s="58">
        <v>45411</v>
      </c>
    </row>
    <row r="169" customHeight="1" spans="1:10">
      <c r="A169" s="56" t="s">
        <v>328</v>
      </c>
      <c r="B169" s="56" t="s">
        <v>94</v>
      </c>
      <c r="C169" s="56" t="s">
        <v>237</v>
      </c>
      <c r="D169" s="56" t="s">
        <v>238</v>
      </c>
      <c r="E169" s="56" t="s">
        <v>78</v>
      </c>
      <c r="F169" s="60">
        <v>45348.4166666667</v>
      </c>
      <c r="G169" s="56">
        <v>4</v>
      </c>
      <c r="H169" s="56">
        <v>99</v>
      </c>
      <c r="I169" s="56" t="s">
        <v>39</v>
      </c>
      <c r="J169" s="58">
        <v>45349</v>
      </c>
    </row>
    <row r="170" customHeight="1" spans="1:10">
      <c r="A170" s="56" t="s">
        <v>329</v>
      </c>
      <c r="B170" s="56" t="s">
        <v>127</v>
      </c>
      <c r="C170" s="56" t="s">
        <v>256</v>
      </c>
      <c r="D170" s="56" t="s">
        <v>257</v>
      </c>
      <c r="E170" s="56" t="s">
        <v>38</v>
      </c>
      <c r="F170" s="59">
        <v>45305.8333333333</v>
      </c>
      <c r="G170" s="56">
        <v>3</v>
      </c>
      <c r="H170" s="56">
        <v>799</v>
      </c>
      <c r="I170" s="56" t="s">
        <v>89</v>
      </c>
      <c r="J170" s="58">
        <v>45308</v>
      </c>
    </row>
    <row r="171" customHeight="1" spans="1:10">
      <c r="A171" s="56" t="s">
        <v>138</v>
      </c>
      <c r="B171" s="56" t="s">
        <v>65</v>
      </c>
      <c r="C171" s="56" t="s">
        <v>256</v>
      </c>
      <c r="D171" s="56" t="s">
        <v>257</v>
      </c>
      <c r="E171" s="56" t="s">
        <v>38</v>
      </c>
      <c r="F171" s="59">
        <v>45374.9166666667</v>
      </c>
      <c r="G171" s="56">
        <v>2</v>
      </c>
      <c r="H171" s="56">
        <v>799</v>
      </c>
      <c r="I171" s="56" t="s">
        <v>39</v>
      </c>
      <c r="J171" s="58">
        <v>45378</v>
      </c>
    </row>
    <row r="172" customHeight="1" spans="1:10">
      <c r="A172" s="56" t="s">
        <v>330</v>
      </c>
      <c r="B172" s="56" t="s">
        <v>165</v>
      </c>
      <c r="C172" s="56" t="s">
        <v>110</v>
      </c>
      <c r="D172" s="56" t="s">
        <v>111</v>
      </c>
      <c r="E172" s="56" t="s">
        <v>32</v>
      </c>
      <c r="F172" s="61">
        <v>45331.375</v>
      </c>
      <c r="G172" s="56">
        <v>1</v>
      </c>
      <c r="H172" s="56">
        <v>349</v>
      </c>
      <c r="I172" s="56" t="s">
        <v>39</v>
      </c>
      <c r="J172" s="58">
        <v>45333</v>
      </c>
    </row>
    <row r="173" customHeight="1" spans="1:10">
      <c r="A173" s="56" t="s">
        <v>277</v>
      </c>
      <c r="B173" s="56" t="s">
        <v>29</v>
      </c>
      <c r="C173" s="56" t="s">
        <v>199</v>
      </c>
      <c r="D173" s="56" t="s">
        <v>200</v>
      </c>
      <c r="E173" s="56" t="s">
        <v>54</v>
      </c>
      <c r="F173" s="62">
        <v>45426.6666666667</v>
      </c>
      <c r="G173" s="56">
        <v>2</v>
      </c>
      <c r="H173" s="56">
        <v>499</v>
      </c>
      <c r="I173" s="56" t="s">
        <v>39</v>
      </c>
      <c r="J173" s="58">
        <v>45427</v>
      </c>
    </row>
    <row r="174" customHeight="1" spans="1:10">
      <c r="A174" s="56" t="s">
        <v>331</v>
      </c>
      <c r="B174" s="56" t="s">
        <v>155</v>
      </c>
      <c r="C174" s="56" t="s">
        <v>256</v>
      </c>
      <c r="D174" s="56" t="s">
        <v>257</v>
      </c>
      <c r="E174" s="56" t="s">
        <v>38</v>
      </c>
      <c r="F174" s="61">
        <v>45328.5</v>
      </c>
      <c r="G174" s="56">
        <v>5</v>
      </c>
      <c r="H174" s="56">
        <v>799</v>
      </c>
      <c r="I174" s="56" t="s">
        <v>89</v>
      </c>
      <c r="J174" s="58">
        <v>45330</v>
      </c>
    </row>
    <row r="175" customHeight="1" spans="1:10">
      <c r="A175" s="56" t="s">
        <v>332</v>
      </c>
      <c r="B175" s="56" t="s">
        <v>119</v>
      </c>
      <c r="C175" s="56" t="s">
        <v>52</v>
      </c>
      <c r="D175" s="56" t="s">
        <v>53</v>
      </c>
      <c r="E175" s="56" t="s">
        <v>54</v>
      </c>
      <c r="F175" s="57">
        <v>45322.5</v>
      </c>
      <c r="G175" s="56">
        <v>2</v>
      </c>
      <c r="H175" s="56">
        <v>649</v>
      </c>
      <c r="I175" s="56" t="s">
        <v>39</v>
      </c>
      <c r="J175" s="58">
        <v>45326</v>
      </c>
    </row>
    <row r="176" customHeight="1" spans="1:10">
      <c r="A176" s="56" t="s">
        <v>333</v>
      </c>
      <c r="B176" s="56" t="s">
        <v>65</v>
      </c>
      <c r="C176" s="56" t="s">
        <v>110</v>
      </c>
      <c r="D176" s="56" t="s">
        <v>111</v>
      </c>
      <c r="E176" s="56" t="s">
        <v>32</v>
      </c>
      <c r="F176" s="63">
        <v>45418.8333333333</v>
      </c>
      <c r="G176" s="56">
        <v>1</v>
      </c>
      <c r="H176" s="56">
        <v>349</v>
      </c>
      <c r="I176" s="56" t="s">
        <v>39</v>
      </c>
      <c r="J176" s="58">
        <v>45420</v>
      </c>
    </row>
    <row r="177" customHeight="1" spans="1:10">
      <c r="A177" s="56" t="s">
        <v>334</v>
      </c>
      <c r="B177" s="56" t="s">
        <v>113</v>
      </c>
      <c r="C177" s="56" t="s">
        <v>30</v>
      </c>
      <c r="D177" s="56" t="s">
        <v>31</v>
      </c>
      <c r="E177" s="56" t="s">
        <v>32</v>
      </c>
      <c r="F177" s="61">
        <v>45331.875</v>
      </c>
      <c r="G177" s="56">
        <v>5</v>
      </c>
      <c r="H177" s="56">
        <v>1599</v>
      </c>
      <c r="I177" s="56" t="s">
        <v>69</v>
      </c>
      <c r="J177" s="58">
        <v>45335</v>
      </c>
    </row>
    <row r="178" customHeight="1" spans="1:10">
      <c r="A178" s="56" t="s">
        <v>335</v>
      </c>
      <c r="B178" s="56" t="s">
        <v>123</v>
      </c>
      <c r="C178" s="56" t="s">
        <v>168</v>
      </c>
      <c r="D178" s="56" t="s">
        <v>169</v>
      </c>
      <c r="E178" s="56" t="s">
        <v>68</v>
      </c>
      <c r="F178" s="59">
        <v>45326.6666666667</v>
      </c>
      <c r="G178" s="56">
        <v>3</v>
      </c>
      <c r="H178" s="56">
        <v>379</v>
      </c>
      <c r="I178" s="56" t="s">
        <v>39</v>
      </c>
      <c r="J178" s="58">
        <v>45327</v>
      </c>
    </row>
    <row r="179" customHeight="1" spans="1:10">
      <c r="A179" s="56" t="s">
        <v>336</v>
      </c>
      <c r="B179" s="56" t="s">
        <v>210</v>
      </c>
      <c r="C179" s="56" t="s">
        <v>156</v>
      </c>
      <c r="D179" s="56" t="s">
        <v>157</v>
      </c>
      <c r="E179" s="56" t="s">
        <v>44</v>
      </c>
      <c r="F179" s="57">
        <v>45340.75</v>
      </c>
      <c r="G179" s="56">
        <v>1</v>
      </c>
      <c r="H179" s="56">
        <v>699</v>
      </c>
      <c r="I179" s="56" t="s">
        <v>39</v>
      </c>
      <c r="J179" s="58">
        <v>45343</v>
      </c>
    </row>
    <row r="180" customHeight="1" spans="1:10">
      <c r="A180" s="56" t="s">
        <v>337</v>
      </c>
      <c r="B180" s="56" t="s">
        <v>56</v>
      </c>
      <c r="C180" s="56" t="s">
        <v>82</v>
      </c>
      <c r="D180" s="56" t="s">
        <v>83</v>
      </c>
      <c r="E180" s="56" t="s">
        <v>63</v>
      </c>
      <c r="F180" s="59">
        <v>45300.5416666667</v>
      </c>
      <c r="G180" s="56">
        <v>1</v>
      </c>
      <c r="H180" s="56">
        <v>199</v>
      </c>
      <c r="I180" s="56" t="s">
        <v>33</v>
      </c>
      <c r="J180" s="58">
        <v>45305</v>
      </c>
    </row>
    <row r="181" customHeight="1" spans="1:10">
      <c r="A181" s="56" t="s">
        <v>338</v>
      </c>
      <c r="B181" s="56" t="s">
        <v>107</v>
      </c>
      <c r="C181" s="56" t="s">
        <v>124</v>
      </c>
      <c r="D181" s="56" t="s">
        <v>125</v>
      </c>
      <c r="E181" s="56" t="s">
        <v>68</v>
      </c>
      <c r="F181" s="59">
        <v>45347.5833333333</v>
      </c>
      <c r="G181" s="56">
        <v>3</v>
      </c>
      <c r="H181" s="56">
        <v>349</v>
      </c>
      <c r="I181" s="56" t="s">
        <v>33</v>
      </c>
      <c r="J181" s="58">
        <v>45348</v>
      </c>
    </row>
    <row r="182" customHeight="1" spans="1:10">
      <c r="A182" s="56" t="s">
        <v>339</v>
      </c>
      <c r="B182" s="56" t="s">
        <v>340</v>
      </c>
      <c r="C182" s="56" t="s">
        <v>199</v>
      </c>
      <c r="D182" s="56" t="s">
        <v>200</v>
      </c>
      <c r="E182" s="56" t="s">
        <v>54</v>
      </c>
      <c r="F182" s="60">
        <v>45301.75</v>
      </c>
      <c r="G182" s="56">
        <v>4</v>
      </c>
      <c r="H182" s="56">
        <v>499</v>
      </c>
      <c r="I182" s="56" t="s">
        <v>33</v>
      </c>
      <c r="J182" s="58">
        <v>45303</v>
      </c>
    </row>
    <row r="183" customHeight="1" spans="1:10">
      <c r="A183" s="56" t="s">
        <v>259</v>
      </c>
      <c r="B183" s="56" t="s">
        <v>65</v>
      </c>
      <c r="C183" s="56" t="s">
        <v>178</v>
      </c>
      <c r="D183" s="56" t="s">
        <v>179</v>
      </c>
      <c r="E183" s="56" t="s">
        <v>54</v>
      </c>
      <c r="F183" s="61">
        <v>45389.75</v>
      </c>
      <c r="G183" s="56">
        <v>1</v>
      </c>
      <c r="H183" s="56">
        <v>349</v>
      </c>
      <c r="I183" s="56" t="s">
        <v>39</v>
      </c>
      <c r="J183" s="58">
        <v>45394</v>
      </c>
    </row>
    <row r="184" customHeight="1" spans="1:10">
      <c r="A184" s="56" t="s">
        <v>341</v>
      </c>
      <c r="B184" s="56" t="s">
        <v>324</v>
      </c>
      <c r="C184" s="56" t="s">
        <v>256</v>
      </c>
      <c r="D184" s="56" t="s">
        <v>257</v>
      </c>
      <c r="E184" s="56" t="s">
        <v>38</v>
      </c>
      <c r="F184" s="63">
        <v>45418.6666666667</v>
      </c>
      <c r="G184" s="56">
        <v>4</v>
      </c>
      <c r="H184" s="56">
        <v>799</v>
      </c>
      <c r="I184" s="56" t="s">
        <v>39</v>
      </c>
      <c r="J184" s="58">
        <v>45422</v>
      </c>
    </row>
    <row r="185" customHeight="1" spans="1:10">
      <c r="A185" s="56" t="s">
        <v>342</v>
      </c>
      <c r="B185" s="56" t="s">
        <v>173</v>
      </c>
      <c r="C185" s="56" t="s">
        <v>116</v>
      </c>
      <c r="D185" s="56" t="s">
        <v>117</v>
      </c>
      <c r="E185" s="56" t="s">
        <v>38</v>
      </c>
      <c r="F185" s="61">
        <v>45329.8333333333</v>
      </c>
      <c r="G185" s="56">
        <v>5</v>
      </c>
      <c r="H185" s="56">
        <v>199</v>
      </c>
      <c r="I185" s="56" t="s">
        <v>39</v>
      </c>
      <c r="J185" s="58">
        <v>45332</v>
      </c>
    </row>
    <row r="186" customHeight="1" spans="1:10">
      <c r="A186" s="56" t="s">
        <v>301</v>
      </c>
      <c r="B186" s="56" t="s">
        <v>71</v>
      </c>
      <c r="C186" s="56" t="s">
        <v>185</v>
      </c>
      <c r="D186" s="56" t="s">
        <v>186</v>
      </c>
      <c r="E186" s="56" t="s">
        <v>32</v>
      </c>
      <c r="F186" s="60">
        <v>45312.2916666667</v>
      </c>
      <c r="G186" s="56">
        <v>3</v>
      </c>
      <c r="H186" s="56">
        <v>899</v>
      </c>
      <c r="I186" s="56" t="s">
        <v>39</v>
      </c>
      <c r="J186" s="58">
        <v>45315</v>
      </c>
    </row>
    <row r="187" customHeight="1" spans="1:10">
      <c r="A187" s="56" t="s">
        <v>271</v>
      </c>
      <c r="B187" s="56" t="s">
        <v>167</v>
      </c>
      <c r="C187" s="56" t="s">
        <v>120</v>
      </c>
      <c r="D187" s="56" t="s">
        <v>121</v>
      </c>
      <c r="E187" s="56" t="s">
        <v>78</v>
      </c>
      <c r="F187" s="59">
        <v>45311.375</v>
      </c>
      <c r="G187" s="56">
        <v>2</v>
      </c>
      <c r="H187" s="56">
        <v>349</v>
      </c>
      <c r="I187" s="56" t="s">
        <v>39</v>
      </c>
      <c r="J187" s="58">
        <v>45314</v>
      </c>
    </row>
    <row r="188" customHeight="1" spans="1:10">
      <c r="A188" s="56" t="s">
        <v>343</v>
      </c>
      <c r="B188" s="56" t="s">
        <v>340</v>
      </c>
      <c r="C188" s="56" t="s">
        <v>82</v>
      </c>
      <c r="D188" s="56" t="s">
        <v>83</v>
      </c>
      <c r="E188" s="56" t="s">
        <v>63</v>
      </c>
      <c r="F188" s="62">
        <v>45436.5</v>
      </c>
      <c r="G188" s="56">
        <v>1</v>
      </c>
      <c r="H188" s="56">
        <v>199</v>
      </c>
      <c r="I188" s="56" t="s">
        <v>89</v>
      </c>
      <c r="J188" s="58">
        <v>45441</v>
      </c>
    </row>
    <row r="189" customHeight="1" spans="1:10">
      <c r="A189" s="56" t="s">
        <v>344</v>
      </c>
      <c r="B189" s="56" t="s">
        <v>184</v>
      </c>
      <c r="C189" s="56" t="s">
        <v>196</v>
      </c>
      <c r="D189" s="56" t="s">
        <v>197</v>
      </c>
      <c r="E189" s="56" t="s">
        <v>101</v>
      </c>
      <c r="F189" s="57">
        <v>45304.7083333333</v>
      </c>
      <c r="G189" s="56">
        <v>4</v>
      </c>
      <c r="H189" s="56">
        <v>649</v>
      </c>
      <c r="I189" s="56" t="s">
        <v>49</v>
      </c>
      <c r="J189" s="58">
        <v>45307</v>
      </c>
    </row>
    <row r="190" customHeight="1" spans="1:10">
      <c r="A190" s="56" t="s">
        <v>345</v>
      </c>
      <c r="B190" s="56" t="s">
        <v>119</v>
      </c>
      <c r="C190" s="56" t="s">
        <v>214</v>
      </c>
      <c r="D190" s="56" t="s">
        <v>215</v>
      </c>
      <c r="E190" s="56" t="s">
        <v>101</v>
      </c>
      <c r="F190" s="59">
        <v>45422.4583333333</v>
      </c>
      <c r="G190" s="56">
        <v>2</v>
      </c>
      <c r="H190" s="56">
        <v>349</v>
      </c>
      <c r="I190" s="56" t="s">
        <v>89</v>
      </c>
      <c r="J190" s="58">
        <v>45425</v>
      </c>
    </row>
    <row r="191" customHeight="1" spans="1:10">
      <c r="A191" s="56" t="s">
        <v>346</v>
      </c>
      <c r="B191" s="56" t="s">
        <v>191</v>
      </c>
      <c r="C191" s="56" t="s">
        <v>61</v>
      </c>
      <c r="D191" s="56" t="s">
        <v>62</v>
      </c>
      <c r="E191" s="56" t="s">
        <v>63</v>
      </c>
      <c r="F191" s="59">
        <v>45441.625</v>
      </c>
      <c r="G191" s="56">
        <v>1</v>
      </c>
      <c r="H191" s="56">
        <v>299</v>
      </c>
      <c r="I191" s="56" t="s">
        <v>89</v>
      </c>
      <c r="J191" s="58">
        <v>45442</v>
      </c>
    </row>
    <row r="192" customHeight="1" spans="1:10">
      <c r="A192" s="56" t="s">
        <v>347</v>
      </c>
      <c r="B192" s="56" t="s">
        <v>129</v>
      </c>
      <c r="C192" s="56" t="s">
        <v>185</v>
      </c>
      <c r="D192" s="56" t="s">
        <v>186</v>
      </c>
      <c r="E192" s="56" t="s">
        <v>32</v>
      </c>
      <c r="F192" s="61">
        <v>45329.375</v>
      </c>
      <c r="G192" s="56">
        <v>1</v>
      </c>
      <c r="H192" s="56">
        <v>899</v>
      </c>
      <c r="I192" s="56" t="s">
        <v>39</v>
      </c>
      <c r="J192" s="58">
        <v>45330</v>
      </c>
    </row>
    <row r="193" customHeight="1" spans="1:10">
      <c r="A193" s="56" t="s">
        <v>348</v>
      </c>
      <c r="B193" s="56" t="s">
        <v>94</v>
      </c>
      <c r="C193" s="56" t="s">
        <v>42</v>
      </c>
      <c r="D193" s="56" t="s">
        <v>43</v>
      </c>
      <c r="E193" s="56" t="s">
        <v>44</v>
      </c>
      <c r="F193" s="57">
        <v>45373.5416666667</v>
      </c>
      <c r="G193" s="56">
        <v>4</v>
      </c>
      <c r="H193" s="56">
        <v>1199</v>
      </c>
      <c r="I193" s="56" t="s">
        <v>39</v>
      </c>
      <c r="J193" s="58">
        <v>45377</v>
      </c>
    </row>
    <row r="194" customHeight="1" spans="1:10">
      <c r="A194" s="56" t="s">
        <v>349</v>
      </c>
      <c r="B194" s="56" t="s">
        <v>205</v>
      </c>
      <c r="C194" s="56" t="s">
        <v>214</v>
      </c>
      <c r="D194" s="56" t="s">
        <v>215</v>
      </c>
      <c r="E194" s="56" t="s">
        <v>101</v>
      </c>
      <c r="F194" s="57">
        <v>45350.5416666667</v>
      </c>
      <c r="G194" s="56">
        <v>4</v>
      </c>
      <c r="H194" s="56">
        <v>349</v>
      </c>
      <c r="I194" s="56" t="s">
        <v>39</v>
      </c>
      <c r="J194" s="58">
        <v>45353</v>
      </c>
    </row>
    <row r="195" customHeight="1" spans="1:10">
      <c r="A195" s="56" t="s">
        <v>350</v>
      </c>
      <c r="B195" s="56" t="s">
        <v>205</v>
      </c>
      <c r="C195" s="56" t="s">
        <v>99</v>
      </c>
      <c r="D195" s="56" t="s">
        <v>100</v>
      </c>
      <c r="E195" s="56" t="s">
        <v>101</v>
      </c>
      <c r="F195" s="59">
        <v>45435.7083333333</v>
      </c>
      <c r="G195" s="56">
        <v>2</v>
      </c>
      <c r="H195" s="56">
        <v>299</v>
      </c>
      <c r="I195" s="56" t="s">
        <v>39</v>
      </c>
      <c r="J195" s="58">
        <v>45436</v>
      </c>
    </row>
    <row r="196" customHeight="1" spans="1:10">
      <c r="A196" s="56" t="s">
        <v>351</v>
      </c>
      <c r="B196" s="56" t="s">
        <v>177</v>
      </c>
      <c r="C196" s="56" t="s">
        <v>185</v>
      </c>
      <c r="D196" s="56" t="s">
        <v>186</v>
      </c>
      <c r="E196" s="56" t="s">
        <v>32</v>
      </c>
      <c r="F196" s="57">
        <v>45397.9166666667</v>
      </c>
      <c r="G196" s="56">
        <v>2</v>
      </c>
      <c r="H196" s="56">
        <v>899</v>
      </c>
      <c r="I196" s="56" t="s">
        <v>39</v>
      </c>
      <c r="J196" s="58">
        <v>45398</v>
      </c>
    </row>
    <row r="197" customHeight="1" spans="1:10">
      <c r="A197" s="56" t="s">
        <v>352</v>
      </c>
      <c r="B197" s="56" t="s">
        <v>81</v>
      </c>
      <c r="C197" s="56" t="s">
        <v>47</v>
      </c>
      <c r="D197" s="56" t="s">
        <v>48</v>
      </c>
      <c r="E197" s="56" t="s">
        <v>38</v>
      </c>
      <c r="F197" s="59">
        <v>45327.8333333333</v>
      </c>
      <c r="G197" s="56">
        <v>1</v>
      </c>
      <c r="H197" s="56">
        <v>499</v>
      </c>
      <c r="I197" s="56" t="s">
        <v>39</v>
      </c>
      <c r="J197" s="58">
        <v>45331</v>
      </c>
    </row>
    <row r="198" customHeight="1" spans="1:10">
      <c r="A198" s="56" t="s">
        <v>353</v>
      </c>
      <c r="B198" s="56" t="s">
        <v>123</v>
      </c>
      <c r="C198" s="56" t="s">
        <v>168</v>
      </c>
      <c r="D198" s="56" t="s">
        <v>169</v>
      </c>
      <c r="E198" s="56" t="s">
        <v>68</v>
      </c>
      <c r="F198" s="63">
        <v>45421.8333333333</v>
      </c>
      <c r="G198" s="56">
        <v>5</v>
      </c>
      <c r="H198" s="56">
        <v>379</v>
      </c>
      <c r="I198" s="56" t="s">
        <v>39</v>
      </c>
      <c r="J198" s="58">
        <v>45424</v>
      </c>
    </row>
    <row r="199" customHeight="1" spans="1:10">
      <c r="A199" s="56" t="s">
        <v>354</v>
      </c>
      <c r="B199" s="56" t="s">
        <v>109</v>
      </c>
      <c r="C199" s="56" t="s">
        <v>237</v>
      </c>
      <c r="D199" s="56" t="s">
        <v>238</v>
      </c>
      <c r="E199" s="56" t="s">
        <v>78</v>
      </c>
      <c r="F199" s="60">
        <v>45455.625</v>
      </c>
      <c r="G199" s="56">
        <v>4</v>
      </c>
      <c r="H199" s="56">
        <v>99</v>
      </c>
      <c r="I199" s="56" t="s">
        <v>39</v>
      </c>
      <c r="J199" s="58">
        <v>45459</v>
      </c>
    </row>
    <row r="200" customHeight="1" spans="1:10">
      <c r="A200" s="56" t="s">
        <v>355</v>
      </c>
      <c r="B200" s="56" t="s">
        <v>94</v>
      </c>
      <c r="C200" s="56" t="s">
        <v>280</v>
      </c>
      <c r="D200" s="56" t="s">
        <v>281</v>
      </c>
      <c r="E200" s="56" t="s">
        <v>32</v>
      </c>
      <c r="F200" s="57">
        <v>45473.6666666667</v>
      </c>
      <c r="G200" s="56">
        <v>1</v>
      </c>
      <c r="H200" s="56">
        <v>799</v>
      </c>
      <c r="I200" s="56" t="s">
        <v>49</v>
      </c>
      <c r="J200" s="58">
        <v>45477</v>
      </c>
    </row>
    <row r="201" customHeight="1" spans="1:10">
      <c r="A201" s="56" t="s">
        <v>356</v>
      </c>
      <c r="B201" s="56" t="s">
        <v>184</v>
      </c>
      <c r="C201" s="56" t="s">
        <v>156</v>
      </c>
      <c r="D201" s="56" t="s">
        <v>157</v>
      </c>
      <c r="E201" s="56" t="s">
        <v>44</v>
      </c>
      <c r="F201" s="60">
        <v>45382.375</v>
      </c>
      <c r="G201" s="56">
        <v>1</v>
      </c>
      <c r="H201" s="56">
        <v>699</v>
      </c>
      <c r="I201" s="56" t="s">
        <v>39</v>
      </c>
      <c r="J201" s="58">
        <v>45384</v>
      </c>
    </row>
  </sheetData>
  <conditionalFormatting sqref="A1:J201">
    <cfRule type="expression" dxfId="10" priority="1">
      <formula>MOD(ROW(),2)=0</formula>
    </cfRule>
  </conditionalFormatting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7"/>
  <sheetViews>
    <sheetView workbookViewId="0">
      <selection activeCell="A1" sqref="A1"/>
    </sheetView>
  </sheetViews>
  <sheetFormatPr defaultColWidth="12.6285714285714" defaultRowHeight="15.75" customHeight="1" outlineLevelRow="6" outlineLevelCol="1"/>
  <cols>
    <col min="1" max="1" width="19.1428571428571" customWidth="1"/>
    <col min="2" max="2" width="16.5714285714286" customWidth="1"/>
  </cols>
  <sheetData>
    <row r="1" customHeight="1" spans="1:2">
      <c r="A1" s="55" t="s">
        <v>26</v>
      </c>
      <c r="B1" s="55" t="s">
        <v>357</v>
      </c>
    </row>
    <row r="2" customHeight="1" spans="1:2">
      <c r="A2" s="56" t="s">
        <v>102</v>
      </c>
      <c r="B2" s="56">
        <v>10</v>
      </c>
    </row>
    <row r="3" customHeight="1" spans="1:2">
      <c r="A3" s="56" t="s">
        <v>69</v>
      </c>
      <c r="B3" s="56">
        <v>20</v>
      </c>
    </row>
    <row r="4" customHeight="1" spans="1:2">
      <c r="A4" s="56" t="s">
        <v>49</v>
      </c>
      <c r="B4" s="56">
        <v>15</v>
      </c>
    </row>
    <row r="5" customHeight="1" spans="1:2">
      <c r="A5" s="56" t="s">
        <v>33</v>
      </c>
      <c r="B5" s="56">
        <v>25</v>
      </c>
    </row>
    <row r="6" customHeight="1" spans="1:2">
      <c r="A6" s="56" t="s">
        <v>89</v>
      </c>
      <c r="B6" s="56">
        <v>30</v>
      </c>
    </row>
    <row r="7" customHeight="1" spans="1:2">
      <c r="A7" s="56" t="s">
        <v>39</v>
      </c>
      <c r="B7" s="56">
        <v>0</v>
      </c>
    </row>
  </sheetData>
  <conditionalFormatting sqref="A1:B7">
    <cfRule type="expression" dxfId="10" priority="1">
      <formula>MOD(ROW(),2)=0</formula>
    </cfRule>
  </conditionalFormatting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1"/>
  <sheetViews>
    <sheetView workbookViewId="0">
      <selection activeCell="A1" sqref="A1"/>
    </sheetView>
  </sheetViews>
  <sheetFormatPr defaultColWidth="9.14285714285714" defaultRowHeight="12.75"/>
  <cols>
    <col min="1" max="1" width="18.7142857142857" customWidth="1"/>
    <col min="2" max="8" width="21.2857142857143" customWidth="1"/>
    <col min="10" max="10" width="132.571428571429" customWidth="1"/>
  </cols>
  <sheetData>
    <row r="1" ht="18" spans="1:10">
      <c r="A1" s="4" t="s">
        <v>18</v>
      </c>
      <c r="B1" s="4" t="s">
        <v>19</v>
      </c>
      <c r="C1" s="53" t="s">
        <v>358</v>
      </c>
      <c r="D1" s="53" t="s">
        <v>359</v>
      </c>
      <c r="E1" s="53" t="s">
        <v>360</v>
      </c>
      <c r="F1" s="53"/>
      <c r="G1" s="53" t="s">
        <v>361</v>
      </c>
      <c r="H1" s="53" t="s">
        <v>362</v>
      </c>
      <c r="I1">
        <v>2024</v>
      </c>
    </row>
    <row r="2" ht="17.25" spans="1:10">
      <c r="A2" s="10" t="s">
        <v>28</v>
      </c>
      <c r="B2" s="10" t="s">
        <v>29</v>
      </c>
      <c r="C2" s="54">
        <f>FIND($I$1,A2)</f>
        <v>5</v>
      </c>
      <c r="D2" s="54" t="str">
        <f>MID(A2,10,5)</f>
        <v>00143</v>
      </c>
      <c r="E2" s="54" t="str" cm="1">
        <f t="array" ref="E2:F2">_xlfn.TEXTSPLIT(B2," ")</f>
        <v>SHREYA</v>
      </c>
      <c r="F2" s="54" t="str">
        <v>GHOSH</v>
      </c>
      <c r="G2" s="54" t="str">
        <f>PROPER(B2)</f>
        <v>Shreya Ghosh</v>
      </c>
      <c r="H2" s="54" t="str">
        <f>TRIM(B2)</f>
        <v>SHREYA GHOSH</v>
      </c>
      <c r="J2" s="8" t="s">
        <v>8</v>
      </c>
    </row>
    <row r="3" ht="16.5" spans="1:10">
      <c r="A3" s="10" t="s">
        <v>34</v>
      </c>
      <c r="B3" s="10" t="s">
        <v>35</v>
      </c>
      <c r="C3" s="54">
        <f t="shared" ref="C3:C34" si="0">FIND($I$1,A3)</f>
        <v>5</v>
      </c>
      <c r="D3" s="54" t="str">
        <f t="shared" ref="D3:D34" si="1">MID(A3,10,5)</f>
        <v>00114</v>
      </c>
      <c r="E3" s="54" t="str" cm="1">
        <f t="array" ref="E3:F3">_xlfn.TEXTSPLIT(B3," ")</f>
        <v>Zara</v>
      </c>
      <c r="F3" s="54" t="str">
        <v>sinha</v>
      </c>
      <c r="G3" s="54" t="str">
        <f t="shared" ref="G3:G34" si="2">PROPER(B3)</f>
        <v>Zara Sinha</v>
      </c>
      <c r="H3" s="54" t="str">
        <f t="shared" ref="H3:H34" si="3">TRIM(B3)</f>
        <v>Zara sinha</v>
      </c>
    </row>
    <row r="4" ht="16.5" spans="1:10">
      <c r="A4" s="10" t="s">
        <v>40</v>
      </c>
      <c r="B4" s="10" t="s">
        <v>41</v>
      </c>
      <c r="C4" s="54">
        <f t="shared" si="0"/>
        <v>5</v>
      </c>
      <c r="D4" s="54" t="str">
        <f t="shared" si="1"/>
        <v>00019</v>
      </c>
      <c r="E4" s="54" t="str" cm="1">
        <f t="array" ref="E4:F4">_xlfn.TEXTSPLIT(B4," ")</f>
        <v>nitin</v>
      </c>
      <c r="F4" s="54" t="str">
        <v>Wagh</v>
      </c>
      <c r="G4" s="54" t="str">
        <f t="shared" si="2"/>
        <v>Nitin Wagh</v>
      </c>
      <c r="H4" s="54" t="str">
        <f t="shared" si="3"/>
        <v>nitin Wagh</v>
      </c>
    </row>
    <row r="5" ht="16.5" spans="1:10">
      <c r="A5" s="10" t="s">
        <v>45</v>
      </c>
      <c r="B5" s="10" t="s">
        <v>46</v>
      </c>
      <c r="C5" s="54">
        <f t="shared" si="0"/>
        <v>5</v>
      </c>
      <c r="D5" s="54" t="str">
        <f t="shared" si="1"/>
        <v>00106</v>
      </c>
      <c r="E5" s="54" t="str" cm="1">
        <f t="array" ref="E5:F5">_xlfn.TEXTSPLIT(B5," ")</f>
        <v>rekha</v>
      </c>
      <c r="F5" s="54" t="str">
        <v>BOSE</v>
      </c>
      <c r="G5" s="54" t="str">
        <f t="shared" si="2"/>
        <v>Rekha Bose</v>
      </c>
      <c r="H5" s="54" t="str">
        <f t="shared" si="3"/>
        <v>rekha BOSE</v>
      </c>
    </row>
    <row r="6" ht="16.5" spans="1:10">
      <c r="A6" s="10" t="s">
        <v>50</v>
      </c>
      <c r="B6" s="10" t="s">
        <v>51</v>
      </c>
      <c r="C6" s="54">
        <f t="shared" si="0"/>
        <v>5</v>
      </c>
      <c r="D6" s="54" t="str">
        <f t="shared" si="1"/>
        <v>00055</v>
      </c>
      <c r="E6" s="54" t="str" cm="1">
        <f t="array" ref="E6:F6">_xlfn.TEXTSPLIT(B6," ")</f>
        <v>deepa</v>
      </c>
      <c r="F6" s="54" t="str">
        <v>DESAI</v>
      </c>
      <c r="G6" s="54" t="str">
        <f t="shared" si="2"/>
        <v>Deepa Desai</v>
      </c>
      <c r="H6" s="54" t="str">
        <f t="shared" si="3"/>
        <v>deepa DESAI</v>
      </c>
    </row>
    <row r="7" ht="16.5" spans="1:10">
      <c r="A7" s="10" t="s">
        <v>55</v>
      </c>
      <c r="B7" s="10" t="s">
        <v>56</v>
      </c>
      <c r="C7" s="54">
        <f t="shared" si="0"/>
        <v>5</v>
      </c>
      <c r="D7" s="54" t="str">
        <f t="shared" si="1"/>
        <v>00176</v>
      </c>
      <c r="E7" s="54" t="str" cm="1">
        <f t="array" ref="E7:F7">_xlfn.TEXTSPLIT(B7," ")</f>
        <v>akash</v>
      </c>
      <c r="F7" s="54" t="str">
        <v>MISHRA</v>
      </c>
      <c r="G7" s="54" t="str">
        <f t="shared" si="2"/>
        <v>Akash Mishra</v>
      </c>
      <c r="H7" s="54" t="str">
        <f t="shared" si="3"/>
        <v>akash MISHRA</v>
      </c>
    </row>
    <row r="8" ht="16.5" spans="1:10">
      <c r="A8" s="10" t="s">
        <v>59</v>
      </c>
      <c r="B8" s="10" t="s">
        <v>60</v>
      </c>
      <c r="C8" s="54">
        <f t="shared" si="0"/>
        <v>5</v>
      </c>
      <c r="D8" s="54" t="str">
        <f t="shared" si="1"/>
        <v>00026</v>
      </c>
      <c r="E8" s="54" t="str" cm="1">
        <f t="array" ref="E8:F8">_xlfn.TEXTSPLIT(B8," ")</f>
        <v>nikhil</v>
      </c>
      <c r="F8" s="54" t="str">
        <v>Singh</v>
      </c>
      <c r="G8" s="54" t="str">
        <f t="shared" si="2"/>
        <v>Nikhil Singh</v>
      </c>
      <c r="H8" s="54" t="str">
        <f t="shared" si="3"/>
        <v>nikhil Singh</v>
      </c>
    </row>
    <row r="9" ht="16.5" spans="1:10">
      <c r="A9" s="10" t="s">
        <v>64</v>
      </c>
      <c r="B9" s="10" t="s">
        <v>65</v>
      </c>
      <c r="C9" s="54">
        <f t="shared" si="0"/>
        <v>5</v>
      </c>
      <c r="D9" s="54" t="str">
        <f t="shared" si="1"/>
        <v>00023</v>
      </c>
      <c r="E9" s="54" t="str" cm="1">
        <f t="array" ref="E9:F9">_xlfn.TEXTSPLIT(B9," ")</f>
        <v>raj</v>
      </c>
      <c r="F9" s="54" t="str">
        <v>joshi</v>
      </c>
      <c r="G9" s="54" t="str">
        <f t="shared" si="2"/>
        <v>Raj Joshi</v>
      </c>
      <c r="H9" s="54" t="str">
        <f t="shared" si="3"/>
        <v>raj joshi</v>
      </c>
    </row>
    <row r="10" ht="16.5" spans="1:10">
      <c r="A10" s="10" t="s">
        <v>70</v>
      </c>
      <c r="B10" s="10" t="s">
        <v>71</v>
      </c>
      <c r="C10" s="54">
        <f t="shared" si="0"/>
        <v>5</v>
      </c>
      <c r="D10" s="54" t="str">
        <f t="shared" si="1"/>
        <v>00105</v>
      </c>
      <c r="E10" s="54" t="str" cm="1">
        <f t="array" ref="E10:F10">_xlfn.TEXTSPLIT(B10," ")</f>
        <v>nikhil</v>
      </c>
      <c r="F10" s="54" t="str">
        <v>Shukla</v>
      </c>
      <c r="G10" s="54" t="str">
        <f t="shared" si="2"/>
        <v>Nikhil Shukla</v>
      </c>
      <c r="H10" s="54" t="str">
        <f t="shared" si="3"/>
        <v>nikhil Shukla</v>
      </c>
    </row>
    <row r="11" ht="16.5" spans="1:10">
      <c r="A11" s="10" t="s">
        <v>74</v>
      </c>
      <c r="B11" s="10" t="s">
        <v>75</v>
      </c>
      <c r="C11" s="54">
        <f t="shared" si="0"/>
        <v>5</v>
      </c>
      <c r="D11" s="54" t="str">
        <f t="shared" si="1"/>
        <v>00093</v>
      </c>
      <c r="E11" s="54" t="str" cm="1">
        <f t="array" ref="E11:F11">_xlfn.TEXTSPLIT(B11," ")</f>
        <v>VARUN</v>
      </c>
      <c r="F11" s="54" t="str">
        <v>Mehta</v>
      </c>
      <c r="G11" s="54" t="str">
        <f t="shared" si="2"/>
        <v>Varun Mehta</v>
      </c>
      <c r="H11" s="54" t="str">
        <f t="shared" si="3"/>
        <v>VARUN Mehta</v>
      </c>
    </row>
    <row r="12" ht="16.5" spans="1:10">
      <c r="A12" s="10" t="s">
        <v>79</v>
      </c>
      <c r="B12" s="10" t="s">
        <v>65</v>
      </c>
      <c r="C12" s="54">
        <f t="shared" si="0"/>
        <v>5</v>
      </c>
      <c r="D12" s="54" t="str">
        <f t="shared" si="1"/>
        <v>00015</v>
      </c>
      <c r="E12" s="54" t="str" cm="1">
        <f t="array" ref="E12:F12">_xlfn.TEXTSPLIT(B12," ")</f>
        <v>raj</v>
      </c>
      <c r="F12" s="54" t="str">
        <v>joshi</v>
      </c>
      <c r="G12" s="54" t="str">
        <f t="shared" si="2"/>
        <v>Raj Joshi</v>
      </c>
      <c r="H12" s="54" t="str">
        <f t="shared" si="3"/>
        <v>raj joshi</v>
      </c>
    </row>
    <row r="13" ht="16.5" spans="1:10">
      <c r="A13" s="10" t="s">
        <v>80</v>
      </c>
      <c r="B13" s="10" t="s">
        <v>81</v>
      </c>
      <c r="C13" s="54">
        <f t="shared" si="0"/>
        <v>5</v>
      </c>
      <c r="D13" s="54" t="str">
        <f t="shared" si="1"/>
        <v>00194</v>
      </c>
      <c r="E13" s="54" t="str" cm="1">
        <f t="array" ref="E13:F13">_xlfn.TEXTSPLIT(B13," ")</f>
        <v>leena</v>
      </c>
      <c r="F13" s="54" t="str">
        <v>dubey</v>
      </c>
      <c r="G13" s="54" t="str">
        <f t="shared" si="2"/>
        <v>Leena Dubey</v>
      </c>
      <c r="H13" s="54" t="str">
        <f t="shared" si="3"/>
        <v>leena dubey</v>
      </c>
    </row>
    <row r="14" ht="16.5" spans="1:10">
      <c r="A14" s="10" t="s">
        <v>84</v>
      </c>
      <c r="B14" s="10" t="s">
        <v>85</v>
      </c>
      <c r="C14" s="54">
        <f t="shared" si="0"/>
        <v>5</v>
      </c>
      <c r="D14" s="54" t="str">
        <f t="shared" si="1"/>
        <v>00018</v>
      </c>
      <c r="E14" s="54" t="str" cm="1">
        <f t="array" ref="E14:F14">_xlfn.TEXTSPLIT(B14," ")</f>
        <v>Amit</v>
      </c>
      <c r="F14" s="54" t="str">
        <v>SHINDE</v>
      </c>
      <c r="G14" s="54" t="str">
        <f t="shared" si="2"/>
        <v>Amit Shinde</v>
      </c>
      <c r="H14" s="54" t="str">
        <f t="shared" si="3"/>
        <v>Amit SHINDE</v>
      </c>
    </row>
    <row r="15" ht="16.5" spans="1:10">
      <c r="A15" s="10" t="s">
        <v>86</v>
      </c>
      <c r="B15" s="10" t="s">
        <v>56</v>
      </c>
      <c r="C15" s="54">
        <f t="shared" si="0"/>
        <v>5</v>
      </c>
      <c r="D15" s="54" t="str">
        <f t="shared" si="1"/>
        <v>00034</v>
      </c>
      <c r="E15" s="54" t="str" cm="1">
        <f t="array" ref="E15:F15">_xlfn.TEXTSPLIT(B15," ")</f>
        <v>akash</v>
      </c>
      <c r="F15" s="54" t="str">
        <v>MISHRA</v>
      </c>
      <c r="G15" s="54" t="str">
        <f t="shared" si="2"/>
        <v>Akash Mishra</v>
      </c>
      <c r="H15" s="54" t="str">
        <f t="shared" si="3"/>
        <v>akash MISHRA</v>
      </c>
    </row>
    <row r="16" ht="16.5" spans="1:10">
      <c r="A16" s="10" t="s">
        <v>90</v>
      </c>
      <c r="B16" s="10" t="s">
        <v>46</v>
      </c>
      <c r="C16" s="54">
        <f t="shared" si="0"/>
        <v>5</v>
      </c>
      <c r="D16" s="54" t="str">
        <f t="shared" si="1"/>
        <v>00073</v>
      </c>
      <c r="E16" s="54" t="str" cm="1">
        <f t="array" ref="E16:F16">_xlfn.TEXTSPLIT(B16," ")</f>
        <v>rekha</v>
      </c>
      <c r="F16" s="54" t="str">
        <v>BOSE</v>
      </c>
      <c r="G16" s="54" t="str">
        <f t="shared" si="2"/>
        <v>Rekha Bose</v>
      </c>
      <c r="H16" s="54" t="str">
        <f t="shared" si="3"/>
        <v>rekha BOSE</v>
      </c>
    </row>
    <row r="17" ht="16.5" spans="1:8">
      <c r="A17" s="10" t="s">
        <v>91</v>
      </c>
      <c r="B17" s="10" t="s">
        <v>92</v>
      </c>
      <c r="C17" s="54">
        <f t="shared" si="0"/>
        <v>5</v>
      </c>
      <c r="D17" s="54" t="str">
        <f t="shared" si="1"/>
        <v>00121</v>
      </c>
      <c r="E17" s="54" t="str" cm="1">
        <f t="array" ref="E17:F17">_xlfn.TEXTSPLIT(B17," ")</f>
        <v>sneha</v>
      </c>
      <c r="F17" s="54" t="str">
        <v>shah</v>
      </c>
      <c r="G17" s="54" t="str">
        <f t="shared" si="2"/>
        <v>Sneha Shah</v>
      </c>
      <c r="H17" s="54" t="str">
        <f t="shared" si="3"/>
        <v>sneha shah</v>
      </c>
    </row>
    <row r="18" ht="16.5" spans="1:8">
      <c r="A18" s="10" t="s">
        <v>93</v>
      </c>
      <c r="B18" s="10" t="s">
        <v>94</v>
      </c>
      <c r="C18" s="54">
        <f t="shared" si="0"/>
        <v>5</v>
      </c>
      <c r="D18" s="54" t="str">
        <f t="shared" si="1"/>
        <v>00180</v>
      </c>
      <c r="E18" s="54" t="str" cm="1">
        <f t="array" ref="E18:F18">_xlfn.TEXTSPLIT(B18," ")</f>
        <v>KAVYA</v>
      </c>
      <c r="F18" s="54" t="str">
        <v>das</v>
      </c>
      <c r="G18" s="54" t="str">
        <f t="shared" si="2"/>
        <v>Kavya Das</v>
      </c>
      <c r="H18" s="54" t="str">
        <f t="shared" si="3"/>
        <v>KAVYA das</v>
      </c>
    </row>
    <row r="19" ht="16.5" spans="1:8">
      <c r="A19" s="10" t="s">
        <v>97</v>
      </c>
      <c r="B19" s="10" t="s">
        <v>98</v>
      </c>
      <c r="C19" s="54">
        <f t="shared" si="0"/>
        <v>5</v>
      </c>
      <c r="D19" s="54" t="str">
        <f t="shared" si="1"/>
        <v>00001</v>
      </c>
      <c r="E19" s="54" t="str" cm="1">
        <f t="array" ref="E19:F19">_xlfn.TEXTSPLIT(B19," ")</f>
        <v>Preeti</v>
      </c>
      <c r="F19" s="54" t="str">
        <v>BOSE</v>
      </c>
      <c r="G19" s="54" t="str">
        <f t="shared" si="2"/>
        <v>Preeti Bose</v>
      </c>
      <c r="H19" s="54" t="str">
        <f t="shared" si="3"/>
        <v>Preeti BOSE</v>
      </c>
    </row>
    <row r="20" ht="16.5" spans="1:8">
      <c r="A20" s="10" t="s">
        <v>103</v>
      </c>
      <c r="B20" s="10" t="s">
        <v>65</v>
      </c>
      <c r="C20" s="54">
        <f t="shared" si="0"/>
        <v>5</v>
      </c>
      <c r="D20" s="54" t="str">
        <f t="shared" si="1"/>
        <v>00086</v>
      </c>
      <c r="E20" s="54" t="str" cm="1">
        <f t="array" ref="E20:F20">_xlfn.TEXTSPLIT(B20," ")</f>
        <v>raj</v>
      </c>
      <c r="F20" s="54" t="str">
        <v>joshi</v>
      </c>
      <c r="G20" s="54" t="str">
        <f t="shared" si="2"/>
        <v>Raj Joshi</v>
      </c>
      <c r="H20" s="54" t="str">
        <f t="shared" si="3"/>
        <v>raj joshi</v>
      </c>
    </row>
    <row r="21" ht="16.5" spans="1:8">
      <c r="A21" s="10" t="s">
        <v>106</v>
      </c>
      <c r="B21" s="10" t="s">
        <v>107</v>
      </c>
      <c r="C21" s="54">
        <f t="shared" si="0"/>
        <v>5</v>
      </c>
      <c r="D21" s="54" t="str">
        <f t="shared" si="1"/>
        <v>00100</v>
      </c>
      <c r="E21" s="54" t="str" cm="1">
        <f t="array" ref="E21:F21">_xlfn.TEXTSPLIT(B21," ")</f>
        <v>anjali</v>
      </c>
      <c r="F21" s="54" t="str">
        <v>Reddy</v>
      </c>
      <c r="G21" s="54" t="str">
        <f t="shared" si="2"/>
        <v>Anjali Reddy</v>
      </c>
      <c r="H21" s="54" t="str">
        <f t="shared" si="3"/>
        <v>anjali Reddy</v>
      </c>
    </row>
    <row r="22" ht="16.5" spans="1:8">
      <c r="A22" s="10" t="s">
        <v>108</v>
      </c>
      <c r="B22" s="10" t="s">
        <v>109</v>
      </c>
      <c r="C22" s="54">
        <f t="shared" si="0"/>
        <v>5</v>
      </c>
      <c r="D22" s="54" t="str">
        <f t="shared" si="1"/>
        <v>00154</v>
      </c>
      <c r="E22" s="54" t="str" cm="1">
        <f t="array" ref="E22:F22">_xlfn.TEXTSPLIT(B22," ")</f>
        <v>Tanya</v>
      </c>
      <c r="F22" s="54" t="str">
        <v>Wagh</v>
      </c>
      <c r="G22" s="54" t="str">
        <f t="shared" si="2"/>
        <v>Tanya Wagh</v>
      </c>
      <c r="H22" s="54" t="str">
        <f t="shared" si="3"/>
        <v>Tanya Wagh</v>
      </c>
    </row>
    <row r="23" ht="16.5" spans="1:8">
      <c r="A23" s="10" t="s">
        <v>112</v>
      </c>
      <c r="B23" s="10" t="s">
        <v>113</v>
      </c>
      <c r="C23" s="54">
        <f t="shared" si="0"/>
        <v>5</v>
      </c>
      <c r="D23" s="54" t="str">
        <f t="shared" si="1"/>
        <v>00078</v>
      </c>
      <c r="E23" s="54" t="str" cm="1">
        <f t="array" ref="E23:F23">_xlfn.TEXTSPLIT(B23," ")</f>
        <v>Ananya</v>
      </c>
      <c r="F23" s="54" t="str">
        <v>joshi</v>
      </c>
      <c r="G23" s="54" t="str">
        <f t="shared" si="2"/>
        <v>Ananya Joshi</v>
      </c>
      <c r="H23" s="54" t="str">
        <f t="shared" si="3"/>
        <v>Ananya joshi</v>
      </c>
    </row>
    <row r="24" ht="16.5" spans="1:8">
      <c r="A24" s="10" t="s">
        <v>114</v>
      </c>
      <c r="B24" s="10" t="s">
        <v>115</v>
      </c>
      <c r="C24" s="54">
        <f t="shared" si="0"/>
        <v>5</v>
      </c>
      <c r="D24" s="54" t="str">
        <f t="shared" si="1"/>
        <v>00119</v>
      </c>
      <c r="E24" s="54" t="str" cm="1">
        <f t="array" ref="E24:F24">_xlfn.TEXTSPLIT(B24," ")</f>
        <v>manav</v>
      </c>
      <c r="F24" s="54" t="str">
        <v>Singh</v>
      </c>
      <c r="G24" s="54" t="str">
        <f t="shared" si="2"/>
        <v>Manav Singh</v>
      </c>
      <c r="H24" s="54" t="str">
        <f t="shared" si="3"/>
        <v>manav Singh</v>
      </c>
    </row>
    <row r="25" ht="16.5" spans="1:8">
      <c r="A25" s="10" t="s">
        <v>118</v>
      </c>
      <c r="B25" s="10" t="s">
        <v>119</v>
      </c>
      <c r="C25" s="54">
        <f t="shared" si="0"/>
        <v>5</v>
      </c>
      <c r="D25" s="54" t="str">
        <f t="shared" si="1"/>
        <v>00098</v>
      </c>
      <c r="E25" s="54" t="str" cm="1">
        <f t="array" ref="E25:F25">_xlfn.TEXTSPLIT(B25," ")</f>
        <v>tarun</v>
      </c>
      <c r="F25" s="54" t="str">
        <v>pillai</v>
      </c>
      <c r="G25" s="54" t="str">
        <f t="shared" si="2"/>
        <v>Tarun Pillai</v>
      </c>
      <c r="H25" s="54" t="str">
        <f t="shared" si="3"/>
        <v>tarun pillai</v>
      </c>
    </row>
    <row r="26" ht="16.5" spans="1:8">
      <c r="A26" s="10" t="s">
        <v>122</v>
      </c>
      <c r="B26" s="10" t="s">
        <v>123</v>
      </c>
      <c r="C26" s="54">
        <f t="shared" si="0"/>
        <v>5</v>
      </c>
      <c r="D26" s="54" t="str">
        <f t="shared" si="1"/>
        <v>00158</v>
      </c>
      <c r="E26" s="54" t="str" cm="1">
        <f t="array" ref="E26:F26">_xlfn.TEXTSPLIT(B26," ")</f>
        <v>aarav</v>
      </c>
      <c r="F26" s="54" t="str">
        <v>YADAV</v>
      </c>
      <c r="G26" s="54" t="str">
        <f t="shared" si="2"/>
        <v>Aarav Yadav</v>
      </c>
      <c r="H26" s="54" t="str">
        <f t="shared" si="3"/>
        <v>aarav YADAV</v>
      </c>
    </row>
    <row r="27" ht="16.5" spans="1:8">
      <c r="A27" s="10" t="s">
        <v>126</v>
      </c>
      <c r="B27" s="10" t="s">
        <v>127</v>
      </c>
      <c r="C27" s="54">
        <f t="shared" si="0"/>
        <v>5</v>
      </c>
      <c r="D27" s="54" t="str">
        <f t="shared" si="1"/>
        <v>00066</v>
      </c>
      <c r="E27" s="54" t="str" cm="1">
        <f t="array" ref="E27:F27">_xlfn.TEXTSPLIT(B27," ")</f>
        <v>Zara</v>
      </c>
      <c r="F27" s="54" t="str">
        <v>GAIKWAD</v>
      </c>
      <c r="G27" s="54" t="str">
        <f t="shared" si="2"/>
        <v>Zara Gaikwad</v>
      </c>
      <c r="H27" s="54" t="str">
        <f t="shared" si="3"/>
        <v>Zara GAIKWAD</v>
      </c>
    </row>
    <row r="28" ht="16.5" spans="1:8">
      <c r="A28" s="10" t="s">
        <v>128</v>
      </c>
      <c r="B28" s="10" t="s">
        <v>129</v>
      </c>
      <c r="C28" s="54">
        <f t="shared" si="0"/>
        <v>5</v>
      </c>
      <c r="D28" s="54" t="str">
        <f t="shared" si="1"/>
        <v>00057</v>
      </c>
      <c r="E28" s="54" t="str" cm="1">
        <f t="array" ref="E28:F28">_xlfn.TEXTSPLIT(B28," ")</f>
        <v>Rohan</v>
      </c>
      <c r="F28" s="54" t="str">
        <v>GUPTA</v>
      </c>
      <c r="G28" s="54" t="str">
        <f t="shared" si="2"/>
        <v>Rohan Gupta</v>
      </c>
      <c r="H28" s="54" t="str">
        <f t="shared" si="3"/>
        <v>Rohan GUPTA</v>
      </c>
    </row>
    <row r="29" ht="16.5" spans="1:8">
      <c r="A29" s="10" t="s">
        <v>132</v>
      </c>
      <c r="B29" s="10" t="s">
        <v>65</v>
      </c>
      <c r="C29" s="54">
        <f t="shared" si="0"/>
        <v>5</v>
      </c>
      <c r="D29" s="54" t="str">
        <f t="shared" si="1"/>
        <v>00007</v>
      </c>
      <c r="E29" s="54" t="str" cm="1">
        <f t="array" ref="E29:F29">_xlfn.TEXTSPLIT(B29," ")</f>
        <v>raj</v>
      </c>
      <c r="F29" s="54" t="str">
        <v>joshi</v>
      </c>
      <c r="G29" s="54" t="str">
        <f t="shared" si="2"/>
        <v>Raj Joshi</v>
      </c>
      <c r="H29" s="54" t="str">
        <f t="shared" si="3"/>
        <v>raj joshi</v>
      </c>
    </row>
    <row r="30" ht="16.5" spans="1:8">
      <c r="A30" s="10" t="s">
        <v>135</v>
      </c>
      <c r="B30" s="10" t="s">
        <v>115</v>
      </c>
      <c r="C30" s="54">
        <f t="shared" si="0"/>
        <v>5</v>
      </c>
      <c r="D30" s="54" t="str">
        <f t="shared" si="1"/>
        <v>00014</v>
      </c>
      <c r="E30" s="54" t="str" cm="1">
        <f t="array" ref="E30:F30">_xlfn.TEXTSPLIT(B30," ")</f>
        <v>manav</v>
      </c>
      <c r="F30" s="54" t="str">
        <v>Singh</v>
      </c>
      <c r="G30" s="54" t="str">
        <f t="shared" si="2"/>
        <v>Manav Singh</v>
      </c>
      <c r="H30" s="54" t="str">
        <f t="shared" si="3"/>
        <v>manav Singh</v>
      </c>
    </row>
    <row r="31" ht="16.5" spans="1:8">
      <c r="A31" s="10" t="s">
        <v>136</v>
      </c>
      <c r="B31" s="10" t="s">
        <v>137</v>
      </c>
      <c r="C31" s="54">
        <f t="shared" si="0"/>
        <v>5</v>
      </c>
      <c r="D31" s="54" t="str">
        <f t="shared" si="1"/>
        <v>00025</v>
      </c>
      <c r="E31" s="54" t="str" cm="1">
        <f t="array" ref="E31:F31">_xlfn.TEXTSPLIT(B31," ")</f>
        <v>nikhil</v>
      </c>
      <c r="F31" s="54" t="str">
        <v>trivedi</v>
      </c>
      <c r="G31" s="54" t="str">
        <f t="shared" si="2"/>
        <v>Nikhil Trivedi</v>
      </c>
      <c r="H31" s="54" t="str">
        <f t="shared" si="3"/>
        <v>nikhil trivedi</v>
      </c>
    </row>
    <row r="32" ht="16.5" spans="1:8">
      <c r="A32" s="10" t="s">
        <v>138</v>
      </c>
      <c r="B32" s="10" t="s">
        <v>60</v>
      </c>
      <c r="C32" s="54">
        <f t="shared" si="0"/>
        <v>5</v>
      </c>
      <c r="D32" s="54" t="str">
        <f t="shared" si="1"/>
        <v>00006</v>
      </c>
      <c r="E32" s="54" t="str" cm="1">
        <f t="array" ref="E32:F32">_xlfn.TEXTSPLIT(B32," ")</f>
        <v>nikhil</v>
      </c>
      <c r="F32" s="54" t="str">
        <v>Singh</v>
      </c>
      <c r="G32" s="54" t="str">
        <f t="shared" si="2"/>
        <v>Nikhil Singh</v>
      </c>
      <c r="H32" s="54" t="str">
        <f t="shared" si="3"/>
        <v>nikhil Singh</v>
      </c>
    </row>
    <row r="33" ht="16.5" spans="1:8">
      <c r="A33" s="10" t="s">
        <v>139</v>
      </c>
      <c r="B33" s="10" t="s">
        <v>115</v>
      </c>
      <c r="C33" s="54">
        <f t="shared" si="0"/>
        <v>5</v>
      </c>
      <c r="D33" s="54" t="str">
        <f t="shared" si="1"/>
        <v>00190</v>
      </c>
      <c r="E33" s="54" t="str" cm="1">
        <f t="array" ref="E33:F33">_xlfn.TEXTSPLIT(B33," ")</f>
        <v>manav</v>
      </c>
      <c r="F33" s="54" t="str">
        <v>Singh</v>
      </c>
      <c r="G33" s="54" t="str">
        <f t="shared" si="2"/>
        <v>Manav Singh</v>
      </c>
      <c r="H33" s="54" t="str">
        <f t="shared" si="3"/>
        <v>manav Singh</v>
      </c>
    </row>
    <row r="34" ht="16.5" spans="1:8">
      <c r="A34" s="10" t="s">
        <v>142</v>
      </c>
      <c r="B34" s="10" t="s">
        <v>65</v>
      </c>
      <c r="C34" s="54">
        <f t="shared" si="0"/>
        <v>5</v>
      </c>
      <c r="D34" s="54" t="str">
        <f t="shared" si="1"/>
        <v>00136</v>
      </c>
      <c r="E34" s="54" t="str" cm="1">
        <f t="array" ref="E34:F34">_xlfn.TEXTSPLIT(B34," ")</f>
        <v>raj</v>
      </c>
      <c r="F34" s="54" t="str">
        <v>joshi</v>
      </c>
      <c r="G34" s="54" t="str">
        <f t="shared" si="2"/>
        <v>Raj Joshi</v>
      </c>
      <c r="H34" s="54" t="str">
        <f t="shared" si="3"/>
        <v>raj joshi</v>
      </c>
    </row>
    <row r="35" ht="16.5" spans="1:8">
      <c r="A35" s="10" t="s">
        <v>145</v>
      </c>
      <c r="B35" s="10" t="s">
        <v>146</v>
      </c>
      <c r="C35" s="54">
        <f t="shared" ref="C35:C66" si="4">FIND($I$1,A35)</f>
        <v>5</v>
      </c>
      <c r="D35" s="54" t="str">
        <f t="shared" ref="D35:D66" si="5">MID(A35,10,5)</f>
        <v>00175</v>
      </c>
      <c r="E35" s="54" t="str" cm="1">
        <f t="array" ref="E35:F35">_xlfn.TEXTSPLIT(B35," ")</f>
        <v>harsh</v>
      </c>
      <c r="F35" s="54" t="str">
        <v>KULKARNI</v>
      </c>
      <c r="G35" s="54" t="str">
        <f t="shared" ref="G35:G66" si="6">PROPER(B35)</f>
        <v>Harsh Kulkarni</v>
      </c>
      <c r="H35" s="54" t="str">
        <f t="shared" ref="H35:H66" si="7">TRIM(B35)</f>
        <v>harsh KULKARNI</v>
      </c>
    </row>
    <row r="36" ht="16.5" spans="1:8">
      <c r="A36" s="10" t="s">
        <v>147</v>
      </c>
      <c r="B36" s="10" t="s">
        <v>115</v>
      </c>
      <c r="C36" s="54">
        <f t="shared" si="4"/>
        <v>5</v>
      </c>
      <c r="D36" s="54" t="str">
        <f t="shared" si="5"/>
        <v>00111</v>
      </c>
      <c r="E36" s="54" t="str" cm="1">
        <f t="array" ref="E36:F36">_xlfn.TEXTSPLIT(B36," ")</f>
        <v>manav</v>
      </c>
      <c r="F36" s="54" t="str">
        <v>Singh</v>
      </c>
      <c r="G36" s="54" t="str">
        <f t="shared" si="6"/>
        <v>Manav Singh</v>
      </c>
      <c r="H36" s="54" t="str">
        <f t="shared" si="7"/>
        <v>manav Singh</v>
      </c>
    </row>
    <row r="37" ht="16.5" spans="1:8">
      <c r="A37" s="10" t="s">
        <v>148</v>
      </c>
      <c r="B37" s="10" t="s">
        <v>94</v>
      </c>
      <c r="C37" s="54">
        <f t="shared" si="4"/>
        <v>5</v>
      </c>
      <c r="D37" s="54" t="str">
        <f t="shared" si="5"/>
        <v>00173</v>
      </c>
      <c r="E37" s="54" t="str" cm="1">
        <f t="array" ref="E37:F37">_xlfn.TEXTSPLIT(B37," ")</f>
        <v>KAVYA</v>
      </c>
      <c r="F37" s="54" t="str">
        <v>das</v>
      </c>
      <c r="G37" s="54" t="str">
        <f t="shared" si="6"/>
        <v>Kavya Das</v>
      </c>
      <c r="H37" s="54" t="str">
        <f t="shared" si="7"/>
        <v>KAVYA das</v>
      </c>
    </row>
    <row r="38" ht="16.5" spans="1:8">
      <c r="A38" s="10" t="s">
        <v>149</v>
      </c>
      <c r="B38" s="10" t="s">
        <v>150</v>
      </c>
      <c r="C38" s="54">
        <f t="shared" si="4"/>
        <v>5</v>
      </c>
      <c r="D38" s="54" t="str">
        <f t="shared" si="5"/>
        <v>00181</v>
      </c>
      <c r="E38" s="54" t="str" cm="1">
        <f t="array" ref="E38:F38">_xlfn.TEXTSPLIT(B38," ")</f>
        <v>aditya</v>
      </c>
      <c r="F38" s="54" t="str">
        <v>YADAV</v>
      </c>
      <c r="G38" s="54" t="str">
        <f t="shared" si="6"/>
        <v>Aditya Yadav</v>
      </c>
      <c r="H38" s="54" t="str">
        <f t="shared" si="7"/>
        <v>aditya YADAV</v>
      </c>
    </row>
    <row r="39" ht="16.5" spans="1:8">
      <c r="A39" s="10" t="s">
        <v>151</v>
      </c>
      <c r="B39" s="10" t="s">
        <v>46</v>
      </c>
      <c r="C39" s="54">
        <f t="shared" si="4"/>
        <v>5</v>
      </c>
      <c r="D39" s="54" t="str">
        <f t="shared" si="5"/>
        <v>00094</v>
      </c>
      <c r="E39" s="54" t="str" cm="1">
        <f t="array" ref="E39:F39">_xlfn.TEXTSPLIT(B39," ")</f>
        <v>rekha</v>
      </c>
      <c r="F39" s="54" t="str">
        <v>BOSE</v>
      </c>
      <c r="G39" s="54" t="str">
        <f t="shared" si="6"/>
        <v>Rekha Bose</v>
      </c>
      <c r="H39" s="54" t="str">
        <f t="shared" si="7"/>
        <v>rekha BOSE</v>
      </c>
    </row>
    <row r="40" ht="16.5" spans="1:8">
      <c r="A40" s="10" t="s">
        <v>154</v>
      </c>
      <c r="B40" s="10" t="s">
        <v>155</v>
      </c>
      <c r="C40" s="54">
        <f t="shared" si="4"/>
        <v>5</v>
      </c>
      <c r="D40" s="54" t="str">
        <f t="shared" si="5"/>
        <v>00126</v>
      </c>
      <c r="E40" s="54" t="str" cm="1">
        <f t="array" ref="E40:F40">_xlfn.TEXTSPLIT(B40," ")</f>
        <v>KAVYA</v>
      </c>
      <c r="F40" s="54" t="str">
        <v>chauhan</v>
      </c>
      <c r="G40" s="54" t="str">
        <f t="shared" si="6"/>
        <v>Kavya Chauhan</v>
      </c>
      <c r="H40" s="54" t="str">
        <f t="shared" si="7"/>
        <v>KAVYA chauhan</v>
      </c>
    </row>
    <row r="41" ht="16.5" spans="1:8">
      <c r="A41" s="10" t="s">
        <v>158</v>
      </c>
      <c r="B41" s="10" t="s">
        <v>115</v>
      </c>
      <c r="C41" s="54">
        <f t="shared" si="4"/>
        <v>5</v>
      </c>
      <c r="D41" s="54" t="str">
        <f t="shared" si="5"/>
        <v>00088</v>
      </c>
      <c r="E41" s="54" t="str" cm="1">
        <f t="array" ref="E41:F41">_xlfn.TEXTSPLIT(B41," ")</f>
        <v>manav</v>
      </c>
      <c r="F41" s="54" t="str">
        <v>Singh</v>
      </c>
      <c r="G41" s="54" t="str">
        <f t="shared" si="6"/>
        <v>Manav Singh</v>
      </c>
      <c r="H41" s="54" t="str">
        <f t="shared" si="7"/>
        <v>manav Singh</v>
      </c>
    </row>
    <row r="42" ht="16.5" spans="1:8">
      <c r="A42" s="10" t="s">
        <v>159</v>
      </c>
      <c r="B42" s="10" t="s">
        <v>127</v>
      </c>
      <c r="C42" s="54">
        <f t="shared" si="4"/>
        <v>5</v>
      </c>
      <c r="D42" s="54" t="str">
        <f t="shared" si="5"/>
        <v>00020</v>
      </c>
      <c r="E42" s="54" t="str" cm="1">
        <f t="array" ref="E42:F42">_xlfn.TEXTSPLIT(B42," ")</f>
        <v>Zara</v>
      </c>
      <c r="F42" s="54" t="str">
        <v>GAIKWAD</v>
      </c>
      <c r="G42" s="54" t="str">
        <f t="shared" si="6"/>
        <v>Zara Gaikwad</v>
      </c>
      <c r="H42" s="54" t="str">
        <f t="shared" si="7"/>
        <v>Zara GAIKWAD</v>
      </c>
    </row>
    <row r="43" ht="16.5" spans="1:8">
      <c r="A43" s="10" t="s">
        <v>160</v>
      </c>
      <c r="B43" s="10" t="s">
        <v>81</v>
      </c>
      <c r="C43" s="54">
        <f t="shared" si="4"/>
        <v>5</v>
      </c>
      <c r="D43" s="54" t="str">
        <f t="shared" si="5"/>
        <v>00144</v>
      </c>
      <c r="E43" s="54" t="str" cm="1">
        <f t="array" ref="E43:F43">_xlfn.TEXTSPLIT(B43," ")</f>
        <v>leena</v>
      </c>
      <c r="F43" s="54" t="str">
        <v>dubey</v>
      </c>
      <c r="G43" s="54" t="str">
        <f t="shared" si="6"/>
        <v>Leena Dubey</v>
      </c>
      <c r="H43" s="54" t="str">
        <f t="shared" si="7"/>
        <v>leena dubey</v>
      </c>
    </row>
    <row r="44" ht="16.5" spans="1:8">
      <c r="A44" s="10" t="s">
        <v>161</v>
      </c>
      <c r="B44" s="10" t="s">
        <v>150</v>
      </c>
      <c r="C44" s="54">
        <f t="shared" si="4"/>
        <v>5</v>
      </c>
      <c r="D44" s="54" t="str">
        <f t="shared" si="5"/>
        <v>00124</v>
      </c>
      <c r="E44" s="54" t="str" cm="1">
        <f t="array" ref="E44:F44">_xlfn.TEXTSPLIT(B44," ")</f>
        <v>aditya</v>
      </c>
      <c r="F44" s="54" t="str">
        <v>YADAV</v>
      </c>
      <c r="G44" s="54" t="str">
        <f t="shared" si="6"/>
        <v>Aditya Yadav</v>
      </c>
      <c r="H44" s="54" t="str">
        <f t="shared" si="7"/>
        <v>aditya YADAV</v>
      </c>
    </row>
    <row r="45" ht="16.5" spans="1:8">
      <c r="A45" s="10" t="s">
        <v>164</v>
      </c>
      <c r="B45" s="10" t="s">
        <v>165</v>
      </c>
      <c r="C45" s="54">
        <f t="shared" si="4"/>
        <v>5</v>
      </c>
      <c r="D45" s="54" t="str">
        <f t="shared" si="5"/>
        <v>00035</v>
      </c>
      <c r="E45" s="54" t="str" cm="1">
        <f t="array" ref="E45:F45">_xlfn.TEXTSPLIT(B45," ")</f>
        <v>aarav</v>
      </c>
      <c r="F45" s="54" t="str">
        <v>AGARWAL</v>
      </c>
      <c r="G45" s="54" t="str">
        <f t="shared" si="6"/>
        <v>Aarav Agarwal</v>
      </c>
      <c r="H45" s="54" t="str">
        <f t="shared" si="7"/>
        <v>aarav AGARWAL</v>
      </c>
    </row>
    <row r="46" ht="16.5" spans="1:8">
      <c r="A46" s="10" t="s">
        <v>166</v>
      </c>
      <c r="B46" s="10" t="s">
        <v>167</v>
      </c>
      <c r="C46" s="54">
        <f t="shared" si="4"/>
        <v>5</v>
      </c>
      <c r="D46" s="54" t="str">
        <f t="shared" si="5"/>
        <v>00042</v>
      </c>
      <c r="E46" s="54" vm="1" t="e" cm="1">
        <f ca="1" t="array" ref="E46">_xlfn.TEXTSPLIT(B46," ")</f>
        <v>#VALUE!</v>
      </c>
      <c r="F46" s="54"/>
      <c r="G46" s="54" t="str">
        <f t="shared" si="6"/>
        <v>Alok  Joshi</v>
      </c>
      <c r="H46" s="54" t="str">
        <f t="shared" si="7"/>
        <v>alok joshi</v>
      </c>
    </row>
    <row r="47" ht="16.5" spans="1:8">
      <c r="A47" s="10" t="s">
        <v>170</v>
      </c>
      <c r="B47" s="10" t="s">
        <v>56</v>
      </c>
      <c r="C47" s="54">
        <f t="shared" si="4"/>
        <v>5</v>
      </c>
      <c r="D47" s="54" t="str">
        <f t="shared" si="5"/>
        <v>00013</v>
      </c>
      <c r="E47" s="54" t="str" cm="1">
        <f t="array" ref="E47:F47">_xlfn.TEXTSPLIT(B47," ")</f>
        <v>akash</v>
      </c>
      <c r="F47" s="54" t="str">
        <v>MISHRA</v>
      </c>
      <c r="G47" s="54" t="str">
        <f t="shared" si="6"/>
        <v>Akash Mishra</v>
      </c>
      <c r="H47" s="54" t="str">
        <f t="shared" si="7"/>
        <v>akash MISHRA</v>
      </c>
    </row>
    <row r="48" ht="16.5" spans="1:8">
      <c r="A48" s="10" t="s">
        <v>171</v>
      </c>
      <c r="B48" s="10" t="s">
        <v>137</v>
      </c>
      <c r="C48" s="54">
        <f t="shared" si="4"/>
        <v>5</v>
      </c>
      <c r="D48" s="54" t="str">
        <f t="shared" si="5"/>
        <v>00070</v>
      </c>
      <c r="E48" s="54" t="str" cm="1">
        <f t="array" ref="E48:F48">_xlfn.TEXTSPLIT(B48," ")</f>
        <v>nikhil</v>
      </c>
      <c r="F48" s="54" t="str">
        <v>trivedi</v>
      </c>
      <c r="G48" s="54" t="str">
        <f t="shared" si="6"/>
        <v>Nikhil Trivedi</v>
      </c>
      <c r="H48" s="54" t="str">
        <f t="shared" si="7"/>
        <v>nikhil trivedi</v>
      </c>
    </row>
    <row r="49" ht="16.5" spans="1:8">
      <c r="A49" s="10" t="s">
        <v>172</v>
      </c>
      <c r="B49" s="10" t="s">
        <v>173</v>
      </c>
      <c r="C49" s="54">
        <f t="shared" si="4"/>
        <v>5</v>
      </c>
      <c r="D49" s="54" t="str">
        <f t="shared" si="5"/>
        <v>00074</v>
      </c>
      <c r="E49" s="54" t="str" cm="1">
        <f t="array" ref="E49:F49">_xlfn.TEXTSPLIT(B49," ")</f>
        <v>jyoti</v>
      </c>
      <c r="F49" s="54" t="str">
        <v>joshi</v>
      </c>
      <c r="G49" s="54" t="str">
        <f t="shared" si="6"/>
        <v>Jyoti Joshi</v>
      </c>
      <c r="H49" s="54" t="str">
        <f t="shared" si="7"/>
        <v>jyoti joshi</v>
      </c>
    </row>
    <row r="50" ht="16.5" spans="1:8">
      <c r="A50" s="10" t="s">
        <v>174</v>
      </c>
      <c r="B50" s="10" t="s">
        <v>165</v>
      </c>
      <c r="C50" s="54">
        <f t="shared" si="4"/>
        <v>5</v>
      </c>
      <c r="D50" s="54" t="str">
        <f t="shared" si="5"/>
        <v>00033</v>
      </c>
      <c r="E50" s="54" t="str" cm="1">
        <f t="array" ref="E50:F50">_xlfn.TEXTSPLIT(B50," ")</f>
        <v>aarav</v>
      </c>
      <c r="F50" s="54" t="str">
        <v>AGARWAL</v>
      </c>
      <c r="G50" s="54" t="str">
        <f t="shared" si="6"/>
        <v>Aarav Agarwal</v>
      </c>
      <c r="H50" s="54" t="str">
        <f t="shared" si="7"/>
        <v>aarav AGARWAL</v>
      </c>
    </row>
    <row r="51" ht="16.5" spans="1:8">
      <c r="A51" s="10" t="s">
        <v>175</v>
      </c>
      <c r="B51" s="10" t="s">
        <v>137</v>
      </c>
      <c r="C51" s="54">
        <f t="shared" si="4"/>
        <v>5</v>
      </c>
      <c r="D51" s="54" t="str">
        <f t="shared" si="5"/>
        <v>00149</v>
      </c>
      <c r="E51" s="54" t="str" cm="1">
        <f t="array" ref="E51:F51">_xlfn.TEXTSPLIT(B51," ")</f>
        <v>nikhil</v>
      </c>
      <c r="F51" s="54" t="str">
        <v>trivedi</v>
      </c>
      <c r="G51" s="54" t="str">
        <f t="shared" si="6"/>
        <v>Nikhil Trivedi</v>
      </c>
      <c r="H51" s="54" t="str">
        <f t="shared" si="7"/>
        <v>nikhil trivedi</v>
      </c>
    </row>
    <row r="52" ht="16.5" spans="1:8">
      <c r="A52" s="10" t="s">
        <v>176</v>
      </c>
      <c r="B52" s="10" t="s">
        <v>177</v>
      </c>
      <c r="C52" s="54">
        <f t="shared" si="4"/>
        <v>5</v>
      </c>
      <c r="D52" s="54" t="str">
        <f t="shared" si="5"/>
        <v>00138</v>
      </c>
      <c r="E52" s="54" t="str" cm="1">
        <f t="array" ref="E52:F52">_xlfn.TEXTSPLIT(B52," ")</f>
        <v>manav</v>
      </c>
      <c r="F52" s="54" t="str">
        <v>Bajaj</v>
      </c>
      <c r="G52" s="54" t="str">
        <f t="shared" si="6"/>
        <v>Manav Bajaj</v>
      </c>
      <c r="H52" s="54" t="str">
        <f t="shared" si="7"/>
        <v>manav Bajaj</v>
      </c>
    </row>
    <row r="53" ht="16.5" spans="1:8">
      <c r="A53" s="10" t="s">
        <v>180</v>
      </c>
      <c r="B53" s="10" t="s">
        <v>109</v>
      </c>
      <c r="C53" s="54">
        <f t="shared" si="4"/>
        <v>5</v>
      </c>
      <c r="D53" s="54" t="str">
        <f t="shared" si="5"/>
        <v>00195</v>
      </c>
      <c r="E53" s="54" t="str" cm="1">
        <f t="array" ref="E53:F53">_xlfn.TEXTSPLIT(B53," ")</f>
        <v>Tanya</v>
      </c>
      <c r="F53" s="54" t="str">
        <v>Wagh</v>
      </c>
      <c r="G53" s="54" t="str">
        <f t="shared" si="6"/>
        <v>Tanya Wagh</v>
      </c>
      <c r="H53" s="54" t="str">
        <f t="shared" si="7"/>
        <v>Tanya Wagh</v>
      </c>
    </row>
    <row r="54" ht="16.5" spans="1:8">
      <c r="A54" s="10" t="s">
        <v>181</v>
      </c>
      <c r="B54" s="10" t="s">
        <v>182</v>
      </c>
      <c r="C54" s="54">
        <f t="shared" si="4"/>
        <v>5</v>
      </c>
      <c r="D54" s="54" t="str">
        <f t="shared" si="5"/>
        <v>00027</v>
      </c>
      <c r="E54" s="54" t="str" cm="1">
        <f t="array" ref="E54:F54">_xlfn.TEXTSPLIT(B54," ")</f>
        <v>SHREYA</v>
      </c>
      <c r="F54" s="54" t="str">
        <v>trivedi</v>
      </c>
      <c r="G54" s="54" t="str">
        <f t="shared" si="6"/>
        <v>Shreya Trivedi</v>
      </c>
      <c r="H54" s="54" t="str">
        <f t="shared" si="7"/>
        <v>SHREYA trivedi</v>
      </c>
    </row>
    <row r="55" ht="16.5" spans="1:8">
      <c r="A55" s="10" t="s">
        <v>183</v>
      </c>
      <c r="B55" s="10" t="s">
        <v>184</v>
      </c>
      <c r="C55" s="54">
        <f t="shared" si="4"/>
        <v>5</v>
      </c>
      <c r="D55" s="54" t="str">
        <f t="shared" si="5"/>
        <v>00072</v>
      </c>
      <c r="E55" s="54" t="str" cm="1">
        <f t="array" ref="E55:F55">_xlfn.TEXTSPLIT(B55," ")</f>
        <v>RIYA</v>
      </c>
      <c r="F55" s="54" t="str">
        <v>bhatnagar</v>
      </c>
      <c r="G55" s="54" t="str">
        <f t="shared" si="6"/>
        <v>Riya Bhatnagar</v>
      </c>
      <c r="H55" s="54" t="str">
        <f t="shared" si="7"/>
        <v>RIYA bhatnagar</v>
      </c>
    </row>
    <row r="56" ht="16.5" spans="1:8">
      <c r="A56" s="10" t="s">
        <v>187</v>
      </c>
      <c r="B56" s="10" t="s">
        <v>167</v>
      </c>
      <c r="C56" s="54">
        <f t="shared" si="4"/>
        <v>5</v>
      </c>
      <c r="D56" s="54" t="str">
        <f t="shared" si="5"/>
        <v>00054</v>
      </c>
      <c r="E56" s="54" vm="1" t="e" cm="1">
        <f ca="1" t="array" ref="E56">_xlfn.TEXTSPLIT(B56," ")</f>
        <v>#VALUE!</v>
      </c>
      <c r="F56" s="54"/>
      <c r="G56" s="54" t="str">
        <f t="shared" si="6"/>
        <v>Alok  Joshi</v>
      </c>
      <c r="H56" s="54" t="str">
        <f t="shared" si="7"/>
        <v>alok joshi</v>
      </c>
    </row>
    <row r="57" ht="16.5" spans="1:8">
      <c r="A57" s="10" t="s">
        <v>188</v>
      </c>
      <c r="B57" s="10" t="s">
        <v>189</v>
      </c>
      <c r="C57" s="54">
        <f t="shared" si="4"/>
        <v>5</v>
      </c>
      <c r="D57" s="54" t="str">
        <f t="shared" si="5"/>
        <v>00092</v>
      </c>
      <c r="E57" s="54" t="str" cm="1">
        <f t="array" ref="E57:F57">_xlfn.TEXTSPLIT(B57," ")</f>
        <v>siddharth</v>
      </c>
      <c r="F57" s="54" t="str">
        <v>jadhav</v>
      </c>
      <c r="G57" s="54" t="str">
        <f t="shared" si="6"/>
        <v>Siddharth Jadhav</v>
      </c>
      <c r="H57" s="54" t="str">
        <f t="shared" si="7"/>
        <v>siddharth jadhav</v>
      </c>
    </row>
    <row r="58" ht="16.5" spans="1:8">
      <c r="A58" s="10" t="s">
        <v>190</v>
      </c>
      <c r="B58" s="10" t="s">
        <v>191</v>
      </c>
      <c r="C58" s="54">
        <f t="shared" si="4"/>
        <v>5</v>
      </c>
      <c r="D58" s="54" t="str">
        <f t="shared" si="5"/>
        <v>00117</v>
      </c>
      <c r="E58" s="54" t="str" cm="1">
        <f t="array" ref="E58:F58">_xlfn.TEXTSPLIT(B58," ")</f>
        <v>PRIYA</v>
      </c>
      <c r="F58" s="54" t="str">
        <v>NAIR</v>
      </c>
      <c r="G58" s="54" t="str">
        <f t="shared" si="6"/>
        <v>Priya Nair</v>
      </c>
      <c r="H58" s="54" t="str">
        <f t="shared" si="7"/>
        <v>PRIYA NAIR</v>
      </c>
    </row>
    <row r="59" ht="16.5" spans="1:8">
      <c r="A59" s="10" t="s">
        <v>192</v>
      </c>
      <c r="B59" s="10" t="s">
        <v>92</v>
      </c>
      <c r="C59" s="54">
        <f t="shared" si="4"/>
        <v>5</v>
      </c>
      <c r="D59" s="54" t="str">
        <f t="shared" si="5"/>
        <v>00147</v>
      </c>
      <c r="E59" s="54" t="str" cm="1">
        <f t="array" ref="E59:F59">_xlfn.TEXTSPLIT(B59," ")</f>
        <v>sneha</v>
      </c>
      <c r="F59" s="54" t="str">
        <v>shah</v>
      </c>
      <c r="G59" s="54" t="str">
        <f t="shared" si="6"/>
        <v>Sneha Shah</v>
      </c>
      <c r="H59" s="54" t="str">
        <f t="shared" si="7"/>
        <v>sneha shah</v>
      </c>
    </row>
    <row r="60" ht="16.5" spans="1:8">
      <c r="A60" s="10" t="s">
        <v>193</v>
      </c>
      <c r="B60" s="10" t="s">
        <v>194</v>
      </c>
      <c r="C60" s="54">
        <f t="shared" si="4"/>
        <v>5</v>
      </c>
      <c r="D60" s="54" t="str">
        <f t="shared" si="5"/>
        <v>00163</v>
      </c>
      <c r="E60" s="54" t="str" cm="1">
        <f t="array" ref="E60:F60">_xlfn.TEXTSPLIT(B60," ")</f>
        <v>saurav</v>
      </c>
      <c r="F60" s="54" t="str">
        <v>BOSE</v>
      </c>
      <c r="G60" s="54" t="str">
        <f t="shared" si="6"/>
        <v>Saurav Bose</v>
      </c>
      <c r="H60" s="54" t="str">
        <f t="shared" si="7"/>
        <v>saurav BOSE</v>
      </c>
    </row>
    <row r="61" ht="16.5" spans="1:8">
      <c r="A61" s="10" t="s">
        <v>195</v>
      </c>
      <c r="B61" s="10" t="s">
        <v>51</v>
      </c>
      <c r="C61" s="54">
        <f t="shared" si="4"/>
        <v>5</v>
      </c>
      <c r="D61" s="54" t="str">
        <f t="shared" si="5"/>
        <v>00184</v>
      </c>
      <c r="E61" s="54" t="str" cm="1">
        <f t="array" ref="E61:F61">_xlfn.TEXTSPLIT(B61," ")</f>
        <v>deepa</v>
      </c>
      <c r="F61" s="54" t="str">
        <v>DESAI</v>
      </c>
      <c r="G61" s="54" t="str">
        <f t="shared" si="6"/>
        <v>Deepa Desai</v>
      </c>
      <c r="H61" s="54" t="str">
        <f t="shared" si="7"/>
        <v>deepa DESAI</v>
      </c>
    </row>
    <row r="62" ht="16.5" spans="1:8">
      <c r="A62" s="10" t="s">
        <v>198</v>
      </c>
      <c r="B62" s="10" t="s">
        <v>119</v>
      </c>
      <c r="C62" s="54">
        <f t="shared" si="4"/>
        <v>5</v>
      </c>
      <c r="D62" s="54" t="str">
        <f t="shared" si="5"/>
        <v>00010</v>
      </c>
      <c r="E62" s="54" t="str" cm="1">
        <f t="array" ref="E62:F62">_xlfn.TEXTSPLIT(B62," ")</f>
        <v>tarun</v>
      </c>
      <c r="F62" s="54" t="str">
        <v>pillai</v>
      </c>
      <c r="G62" s="54" t="str">
        <f t="shared" si="6"/>
        <v>Tarun Pillai</v>
      </c>
      <c r="H62" s="54" t="str">
        <f t="shared" si="7"/>
        <v>tarun pillai</v>
      </c>
    </row>
    <row r="63" ht="16.5" spans="1:8">
      <c r="A63" s="10" t="s">
        <v>201</v>
      </c>
      <c r="B63" s="10" t="s">
        <v>129</v>
      </c>
      <c r="C63" s="54">
        <f t="shared" si="4"/>
        <v>5</v>
      </c>
      <c r="D63" s="54" t="str">
        <f t="shared" si="5"/>
        <v>00091</v>
      </c>
      <c r="E63" s="54" t="str" cm="1">
        <f t="array" ref="E63:F63">_xlfn.TEXTSPLIT(B63," ")</f>
        <v>Rohan</v>
      </c>
      <c r="F63" s="54" t="str">
        <v>GUPTA</v>
      </c>
      <c r="G63" s="54" t="str">
        <f t="shared" si="6"/>
        <v>Rohan Gupta</v>
      </c>
      <c r="H63" s="54" t="str">
        <f t="shared" si="7"/>
        <v>Rohan GUPTA</v>
      </c>
    </row>
    <row r="64" ht="16.5" spans="1:8">
      <c r="A64" s="10" t="s">
        <v>204</v>
      </c>
      <c r="B64" s="10" t="s">
        <v>205</v>
      </c>
      <c r="C64" s="54">
        <f t="shared" si="4"/>
        <v>5</v>
      </c>
      <c r="D64" s="54" t="str">
        <f t="shared" si="5"/>
        <v>00171</v>
      </c>
      <c r="E64" s="54" t="str" cm="1">
        <f t="array" ref="E64:F64">_xlfn.TEXTSPLIT(B64," ")</f>
        <v>anjali</v>
      </c>
      <c r="F64" s="54" t="str">
        <v>More</v>
      </c>
      <c r="G64" s="54" t="str">
        <f t="shared" si="6"/>
        <v>Anjali More</v>
      </c>
      <c r="H64" s="54" t="str">
        <f t="shared" si="7"/>
        <v>anjali More</v>
      </c>
    </row>
    <row r="65" ht="16.5" spans="1:8">
      <c r="A65" s="10" t="s">
        <v>206</v>
      </c>
      <c r="B65" s="10" t="s">
        <v>207</v>
      </c>
      <c r="C65" s="54">
        <f t="shared" si="4"/>
        <v>5</v>
      </c>
      <c r="D65" s="54" t="str">
        <f t="shared" si="5"/>
        <v>00071</v>
      </c>
      <c r="E65" s="54" t="str" cm="1">
        <f t="array" ref="E65:F65">_xlfn.TEXTSPLIT(B65," ")</f>
        <v>leena</v>
      </c>
      <c r="F65" s="54" t="str">
        <v>GAIKWAD</v>
      </c>
      <c r="G65" s="54" t="str">
        <f t="shared" si="6"/>
        <v>Leena Gaikwad</v>
      </c>
      <c r="H65" s="54" t="str">
        <f t="shared" si="7"/>
        <v>leena GAIKWAD</v>
      </c>
    </row>
    <row r="66" ht="16.5" spans="1:8">
      <c r="A66" s="10" t="s">
        <v>208</v>
      </c>
      <c r="B66" s="10" t="s">
        <v>60</v>
      </c>
      <c r="C66" s="54">
        <f t="shared" si="4"/>
        <v>5</v>
      </c>
      <c r="D66" s="54" t="str">
        <f t="shared" si="5"/>
        <v>00200</v>
      </c>
      <c r="E66" s="54" t="str" cm="1">
        <f t="array" ref="E66:F66">_xlfn.TEXTSPLIT(B66," ")</f>
        <v>nikhil</v>
      </c>
      <c r="F66" s="54" t="str">
        <v>Singh</v>
      </c>
      <c r="G66" s="54" t="str">
        <f t="shared" si="6"/>
        <v>Nikhil Singh</v>
      </c>
      <c r="H66" s="54" t="str">
        <f t="shared" si="7"/>
        <v>nikhil Singh</v>
      </c>
    </row>
    <row r="67" ht="16.5" spans="1:8">
      <c r="A67" s="10" t="s">
        <v>209</v>
      </c>
      <c r="B67" s="10" t="s">
        <v>210</v>
      </c>
      <c r="C67" s="54">
        <f t="shared" ref="C67:C98" si="8">FIND($I$1,A67)</f>
        <v>5</v>
      </c>
      <c r="D67" s="54" t="str">
        <f t="shared" ref="D67:D98" si="9">MID(A67,10,5)</f>
        <v>00178</v>
      </c>
      <c r="E67" s="54" t="str" cm="1">
        <f t="array" ref="E67:F67">_xlfn.TEXTSPLIT(B67," ")</f>
        <v>simran</v>
      </c>
      <c r="F67" s="54" t="str">
        <v>Bajaj</v>
      </c>
      <c r="G67" s="54" t="str">
        <f t="shared" ref="G67:G98" si="10">PROPER(B67)</f>
        <v>Simran Bajaj</v>
      </c>
      <c r="H67" s="54" t="str">
        <f t="shared" ref="H67:H98" si="11">TRIM(B67)</f>
        <v>simran Bajaj</v>
      </c>
    </row>
    <row r="68" ht="16.5" spans="1:8">
      <c r="A68" s="10" t="s">
        <v>211</v>
      </c>
      <c r="B68" s="10" t="s">
        <v>56</v>
      </c>
      <c r="C68" s="54">
        <f t="shared" si="8"/>
        <v>5</v>
      </c>
      <c r="D68" s="54" t="str">
        <f t="shared" si="9"/>
        <v>00153</v>
      </c>
      <c r="E68" s="54" t="str" cm="1">
        <f t="array" ref="E68:F68">_xlfn.TEXTSPLIT(B68," ")</f>
        <v>akash</v>
      </c>
      <c r="F68" s="54" t="str">
        <v>MISHRA</v>
      </c>
      <c r="G68" s="54" t="str">
        <f t="shared" si="10"/>
        <v>Akash Mishra</v>
      </c>
      <c r="H68" s="54" t="str">
        <f t="shared" si="11"/>
        <v>akash MISHRA</v>
      </c>
    </row>
    <row r="69" ht="16.5" spans="1:8">
      <c r="A69" s="10" t="s">
        <v>212</v>
      </c>
      <c r="B69" s="10" t="s">
        <v>213</v>
      </c>
      <c r="C69" s="54">
        <f t="shared" si="8"/>
        <v>5</v>
      </c>
      <c r="D69" s="54" t="str">
        <f t="shared" si="9"/>
        <v>00130</v>
      </c>
      <c r="E69" s="54" t="str" cm="1">
        <f t="array" ref="E69:F69">_xlfn.TEXTSPLIT(B69," ")</f>
        <v>rekha</v>
      </c>
      <c r="F69" s="54" t="str">
        <v>patil</v>
      </c>
      <c r="G69" s="54" t="str">
        <f t="shared" si="10"/>
        <v>Rekha Patil</v>
      </c>
      <c r="H69" s="54" t="str">
        <f t="shared" si="11"/>
        <v>rekha patil</v>
      </c>
    </row>
    <row r="70" ht="16.5" spans="1:8">
      <c r="A70" s="10" t="s">
        <v>216</v>
      </c>
      <c r="B70" s="10" t="s">
        <v>56</v>
      </c>
      <c r="C70" s="54">
        <f t="shared" si="8"/>
        <v>5</v>
      </c>
      <c r="D70" s="54" t="str">
        <f t="shared" si="9"/>
        <v>00155</v>
      </c>
      <c r="E70" s="54" t="str" cm="1">
        <f t="array" ref="E70:F70">_xlfn.TEXTSPLIT(B70," ")</f>
        <v>akash</v>
      </c>
      <c r="F70" s="54" t="str">
        <v>MISHRA</v>
      </c>
      <c r="G70" s="54" t="str">
        <f t="shared" si="10"/>
        <v>Akash Mishra</v>
      </c>
      <c r="H70" s="54" t="str">
        <f t="shared" si="11"/>
        <v>akash MISHRA</v>
      </c>
    </row>
    <row r="71" ht="16.5" spans="1:8">
      <c r="A71" s="10" t="s">
        <v>217</v>
      </c>
      <c r="B71" s="10" t="s">
        <v>41</v>
      </c>
      <c r="C71" s="54">
        <f t="shared" si="8"/>
        <v>5</v>
      </c>
      <c r="D71" s="54" t="str">
        <f t="shared" si="9"/>
        <v>00087</v>
      </c>
      <c r="E71" s="54" t="str" cm="1">
        <f t="array" ref="E71:F71">_xlfn.TEXTSPLIT(B71," ")</f>
        <v>nitin</v>
      </c>
      <c r="F71" s="54" t="str">
        <v>Wagh</v>
      </c>
      <c r="G71" s="54" t="str">
        <f t="shared" si="10"/>
        <v>Nitin Wagh</v>
      </c>
      <c r="H71" s="54" t="str">
        <f t="shared" si="11"/>
        <v>nitin Wagh</v>
      </c>
    </row>
    <row r="72" ht="16.5" spans="1:8">
      <c r="A72" s="10" t="s">
        <v>218</v>
      </c>
      <c r="B72" s="10" t="s">
        <v>81</v>
      </c>
      <c r="C72" s="54">
        <f t="shared" si="8"/>
        <v>5</v>
      </c>
      <c r="D72" s="54" t="str">
        <f t="shared" si="9"/>
        <v>00063</v>
      </c>
      <c r="E72" s="54" t="str" cm="1">
        <f t="array" ref="E72:F72">_xlfn.TEXTSPLIT(B72," ")</f>
        <v>leena</v>
      </c>
      <c r="F72" s="54" t="str">
        <v>dubey</v>
      </c>
      <c r="G72" s="54" t="str">
        <f t="shared" si="10"/>
        <v>Leena Dubey</v>
      </c>
      <c r="H72" s="54" t="str">
        <f t="shared" si="11"/>
        <v>leena dubey</v>
      </c>
    </row>
    <row r="73" ht="16.5" spans="1:8">
      <c r="A73" s="10" t="s">
        <v>219</v>
      </c>
      <c r="B73" s="10" t="s">
        <v>182</v>
      </c>
      <c r="C73" s="54">
        <f t="shared" si="8"/>
        <v>5</v>
      </c>
      <c r="D73" s="54" t="str">
        <f t="shared" si="9"/>
        <v>00090</v>
      </c>
      <c r="E73" s="54" t="str" cm="1">
        <f t="array" ref="E73:F73">_xlfn.TEXTSPLIT(B73," ")</f>
        <v>SHREYA</v>
      </c>
      <c r="F73" s="54" t="str">
        <v>trivedi</v>
      </c>
      <c r="G73" s="54" t="str">
        <f t="shared" si="10"/>
        <v>Shreya Trivedi</v>
      </c>
      <c r="H73" s="54" t="str">
        <f t="shared" si="11"/>
        <v>SHREYA trivedi</v>
      </c>
    </row>
    <row r="74" ht="16.5" spans="1:8">
      <c r="A74" s="10" t="s">
        <v>220</v>
      </c>
      <c r="B74" s="10" t="s">
        <v>109</v>
      </c>
      <c r="C74" s="54">
        <f t="shared" si="8"/>
        <v>5</v>
      </c>
      <c r="D74" s="54" t="str">
        <f t="shared" si="9"/>
        <v>00152</v>
      </c>
      <c r="E74" s="54" t="str" cm="1">
        <f t="array" ref="E74:F74">_xlfn.TEXTSPLIT(B74," ")</f>
        <v>Tanya</v>
      </c>
      <c r="F74" s="54" t="str">
        <v>Wagh</v>
      </c>
      <c r="G74" s="54" t="str">
        <f t="shared" si="10"/>
        <v>Tanya Wagh</v>
      </c>
      <c r="H74" s="54" t="str">
        <f t="shared" si="11"/>
        <v>Tanya Wagh</v>
      </c>
    </row>
    <row r="75" ht="16.5" spans="1:8">
      <c r="A75" s="10" t="s">
        <v>223</v>
      </c>
      <c r="B75" s="10" t="s">
        <v>146</v>
      </c>
      <c r="C75" s="54">
        <f t="shared" si="8"/>
        <v>5</v>
      </c>
      <c r="D75" s="54" t="str">
        <f t="shared" si="9"/>
        <v>00198</v>
      </c>
      <c r="E75" s="54" t="str" cm="1">
        <f t="array" ref="E75:F75">_xlfn.TEXTSPLIT(B75," ")</f>
        <v>harsh</v>
      </c>
      <c r="F75" s="54" t="str">
        <v>KULKARNI</v>
      </c>
      <c r="G75" s="54" t="str">
        <f t="shared" si="10"/>
        <v>Harsh Kulkarni</v>
      </c>
      <c r="H75" s="54" t="str">
        <f t="shared" si="11"/>
        <v>harsh KULKARNI</v>
      </c>
    </row>
    <row r="76" ht="16.5" spans="1:8">
      <c r="A76" s="10" t="s">
        <v>224</v>
      </c>
      <c r="B76" s="10" t="s">
        <v>35</v>
      </c>
      <c r="C76" s="54">
        <f t="shared" si="8"/>
        <v>5</v>
      </c>
      <c r="D76" s="54" t="str">
        <f t="shared" si="9"/>
        <v>00162</v>
      </c>
      <c r="E76" s="54" t="str" cm="1">
        <f t="array" ref="E76:F76">_xlfn.TEXTSPLIT(B76," ")</f>
        <v>Zara</v>
      </c>
      <c r="F76" s="54" t="str">
        <v>sinha</v>
      </c>
      <c r="G76" s="54" t="str">
        <f t="shared" si="10"/>
        <v>Zara Sinha</v>
      </c>
      <c r="H76" s="54" t="str">
        <f t="shared" si="11"/>
        <v>Zara sinha</v>
      </c>
    </row>
    <row r="77" ht="16.5" spans="1:8">
      <c r="A77" s="10" t="s">
        <v>225</v>
      </c>
      <c r="B77" s="10" t="s">
        <v>65</v>
      </c>
      <c r="C77" s="54">
        <f t="shared" si="8"/>
        <v>5</v>
      </c>
      <c r="D77" s="54" t="str">
        <f t="shared" si="9"/>
        <v>00115</v>
      </c>
      <c r="E77" s="54" t="str" cm="1">
        <f t="array" ref="E77:F77">_xlfn.TEXTSPLIT(B77," ")</f>
        <v>raj</v>
      </c>
      <c r="F77" s="54" t="str">
        <v>joshi</v>
      </c>
      <c r="G77" s="54" t="str">
        <f t="shared" si="10"/>
        <v>Raj Joshi</v>
      </c>
      <c r="H77" s="54" t="str">
        <f t="shared" si="11"/>
        <v>raj joshi</v>
      </c>
    </row>
    <row r="78" ht="16.5" spans="1:8">
      <c r="A78" s="10" t="s">
        <v>226</v>
      </c>
      <c r="B78" s="10" t="s">
        <v>35</v>
      </c>
      <c r="C78" s="54">
        <f t="shared" si="8"/>
        <v>5</v>
      </c>
      <c r="D78" s="54" t="str">
        <f t="shared" si="9"/>
        <v>00028</v>
      </c>
      <c r="E78" s="54" t="str" cm="1">
        <f t="array" ref="E78:F78">_xlfn.TEXTSPLIT(B78," ")</f>
        <v>Zara</v>
      </c>
      <c r="F78" s="54" t="str">
        <v>sinha</v>
      </c>
      <c r="G78" s="54" t="str">
        <f t="shared" si="10"/>
        <v>Zara Sinha</v>
      </c>
      <c r="H78" s="54" t="str">
        <f t="shared" si="11"/>
        <v>Zara sinha</v>
      </c>
    </row>
    <row r="79" ht="16.5" spans="1:8">
      <c r="A79" s="10" t="s">
        <v>227</v>
      </c>
      <c r="B79" s="10" t="s">
        <v>75</v>
      </c>
      <c r="C79" s="54">
        <f t="shared" si="8"/>
        <v>5</v>
      </c>
      <c r="D79" s="54" t="str">
        <f t="shared" si="9"/>
        <v>00182</v>
      </c>
      <c r="E79" s="54" t="str" cm="1">
        <f t="array" ref="E79:F79">_xlfn.TEXTSPLIT(B79," ")</f>
        <v>VARUN</v>
      </c>
      <c r="F79" s="54" t="str">
        <v>Mehta</v>
      </c>
      <c r="G79" s="54" t="str">
        <f t="shared" si="10"/>
        <v>Varun Mehta</v>
      </c>
      <c r="H79" s="54" t="str">
        <f t="shared" si="11"/>
        <v>VARUN Mehta</v>
      </c>
    </row>
    <row r="80" ht="16.5" spans="1:8">
      <c r="A80" s="10" t="s">
        <v>228</v>
      </c>
      <c r="B80" s="10" t="s">
        <v>184</v>
      </c>
      <c r="C80" s="54">
        <f t="shared" si="8"/>
        <v>5</v>
      </c>
      <c r="D80" s="54" t="str">
        <f t="shared" si="9"/>
        <v>00197</v>
      </c>
      <c r="E80" s="54" t="str" cm="1">
        <f t="array" ref="E80:F80">_xlfn.TEXTSPLIT(B80," ")</f>
        <v>RIYA</v>
      </c>
      <c r="F80" s="54" t="str">
        <v>bhatnagar</v>
      </c>
      <c r="G80" s="54" t="str">
        <f t="shared" si="10"/>
        <v>Riya Bhatnagar</v>
      </c>
      <c r="H80" s="54" t="str">
        <f t="shared" si="11"/>
        <v>RIYA bhatnagar</v>
      </c>
    </row>
    <row r="81" ht="16.5" spans="1:8">
      <c r="A81" s="10" t="s">
        <v>229</v>
      </c>
      <c r="B81" s="10" t="s">
        <v>230</v>
      </c>
      <c r="C81" s="54">
        <f t="shared" si="8"/>
        <v>5</v>
      </c>
      <c r="D81" s="54" t="str">
        <f t="shared" si="9"/>
        <v>00048</v>
      </c>
      <c r="E81" s="54" t="str" cm="1">
        <f t="array" ref="E81:F81">_xlfn.TEXTSPLIT(B81," ")</f>
        <v>raj</v>
      </c>
      <c r="F81" s="54" t="str">
        <v>dubey</v>
      </c>
      <c r="G81" s="54" t="str">
        <f t="shared" si="10"/>
        <v>Raj Dubey</v>
      </c>
      <c r="H81" s="54" t="str">
        <f t="shared" si="11"/>
        <v>raj dubey</v>
      </c>
    </row>
    <row r="82" ht="16.5" spans="1:8">
      <c r="A82" s="10" t="s">
        <v>231</v>
      </c>
      <c r="B82" s="10" t="s">
        <v>165</v>
      </c>
      <c r="C82" s="54">
        <f t="shared" si="8"/>
        <v>5</v>
      </c>
      <c r="D82" s="54" t="str">
        <f t="shared" si="9"/>
        <v>00030</v>
      </c>
      <c r="E82" s="54" t="str" cm="1">
        <f t="array" ref="E82:F82">_xlfn.TEXTSPLIT(B82," ")</f>
        <v>aarav</v>
      </c>
      <c r="F82" s="54" t="str">
        <v>AGARWAL</v>
      </c>
      <c r="G82" s="54" t="str">
        <f t="shared" si="10"/>
        <v>Aarav Agarwal</v>
      </c>
      <c r="H82" s="54" t="str">
        <f t="shared" si="11"/>
        <v>aarav AGARWAL</v>
      </c>
    </row>
    <row r="83" ht="16.5" spans="1:8">
      <c r="A83" s="10" t="s">
        <v>232</v>
      </c>
      <c r="B83" s="10" t="s">
        <v>233</v>
      </c>
      <c r="C83" s="54">
        <f t="shared" si="8"/>
        <v>5</v>
      </c>
      <c r="D83" s="54" t="str">
        <f t="shared" si="9"/>
        <v>00196</v>
      </c>
      <c r="E83" s="54" t="str" cm="1">
        <f t="array" ref="E83:F83">_xlfn.TEXTSPLIT(B83," ")</f>
        <v>Pooja</v>
      </c>
      <c r="F83" s="54" t="str">
        <v>More</v>
      </c>
      <c r="G83" s="54" t="str">
        <f t="shared" si="10"/>
        <v>Pooja More</v>
      </c>
      <c r="H83" s="54" t="str">
        <f t="shared" si="11"/>
        <v>Pooja More</v>
      </c>
    </row>
    <row r="84" ht="16.5" spans="1:8">
      <c r="A84" s="10" t="s">
        <v>234</v>
      </c>
      <c r="B84" s="10" t="s">
        <v>207</v>
      </c>
      <c r="C84" s="54">
        <f t="shared" si="8"/>
        <v>5</v>
      </c>
      <c r="D84" s="54" t="str">
        <f t="shared" si="9"/>
        <v>00107</v>
      </c>
      <c r="E84" s="54" t="str" cm="1">
        <f t="array" ref="E84:F84">_xlfn.TEXTSPLIT(B84," ")</f>
        <v>leena</v>
      </c>
      <c r="F84" s="54" t="str">
        <v>GAIKWAD</v>
      </c>
      <c r="G84" s="54" t="str">
        <f t="shared" si="10"/>
        <v>Leena Gaikwad</v>
      </c>
      <c r="H84" s="54" t="str">
        <f t="shared" si="11"/>
        <v>leena GAIKWAD</v>
      </c>
    </row>
    <row r="85" ht="16.5" spans="1:8">
      <c r="A85" s="10" t="s">
        <v>235</v>
      </c>
      <c r="B85" s="10" t="s">
        <v>56</v>
      </c>
      <c r="C85" s="54">
        <f t="shared" si="8"/>
        <v>5</v>
      </c>
      <c r="D85" s="54" t="str">
        <f t="shared" si="9"/>
        <v>00075</v>
      </c>
      <c r="E85" s="54" t="str" cm="1">
        <f t="array" ref="E85:F85">_xlfn.TEXTSPLIT(B85," ")</f>
        <v>akash</v>
      </c>
      <c r="F85" s="54" t="str">
        <v>MISHRA</v>
      </c>
      <c r="G85" s="54" t="str">
        <f t="shared" si="10"/>
        <v>Akash Mishra</v>
      </c>
      <c r="H85" s="54" t="str">
        <f t="shared" si="11"/>
        <v>akash MISHRA</v>
      </c>
    </row>
    <row r="86" ht="16.5" spans="1:8">
      <c r="A86" s="10" t="s">
        <v>236</v>
      </c>
      <c r="B86" s="10" t="s">
        <v>46</v>
      </c>
      <c r="C86" s="54">
        <f t="shared" si="8"/>
        <v>5</v>
      </c>
      <c r="D86" s="54" t="str">
        <f t="shared" si="9"/>
        <v>00172</v>
      </c>
      <c r="E86" s="54" t="str" cm="1">
        <f t="array" ref="E86:F86">_xlfn.TEXTSPLIT(B86," ")</f>
        <v>rekha</v>
      </c>
      <c r="F86" s="54" t="str">
        <v>BOSE</v>
      </c>
      <c r="G86" s="54" t="str">
        <f t="shared" si="10"/>
        <v>Rekha Bose</v>
      </c>
      <c r="H86" s="54" t="str">
        <f t="shared" si="11"/>
        <v>rekha BOSE</v>
      </c>
    </row>
    <row r="87" ht="16.5" spans="1:8">
      <c r="A87" s="10" t="s">
        <v>239</v>
      </c>
      <c r="B87" s="10" t="s">
        <v>60</v>
      </c>
      <c r="C87" s="54">
        <f t="shared" si="8"/>
        <v>5</v>
      </c>
      <c r="D87" s="54" t="str">
        <f t="shared" si="9"/>
        <v>00120</v>
      </c>
      <c r="E87" s="54" t="str" cm="1">
        <f t="array" ref="E87:F87">_xlfn.TEXTSPLIT(B87," ")</f>
        <v>nikhil</v>
      </c>
      <c r="F87" s="54" t="str">
        <v>Singh</v>
      </c>
      <c r="G87" s="54" t="str">
        <f t="shared" si="10"/>
        <v>Nikhil Singh</v>
      </c>
      <c r="H87" s="54" t="str">
        <f t="shared" si="11"/>
        <v>nikhil Singh</v>
      </c>
    </row>
    <row r="88" ht="16.5" spans="1:8">
      <c r="A88" s="10" t="s">
        <v>240</v>
      </c>
      <c r="B88" s="10" t="s">
        <v>205</v>
      </c>
      <c r="C88" s="54">
        <f t="shared" si="8"/>
        <v>5</v>
      </c>
      <c r="D88" s="54" t="str">
        <f t="shared" si="9"/>
        <v>00177</v>
      </c>
      <c r="E88" s="54" t="str" cm="1">
        <f t="array" ref="E88:F88">_xlfn.TEXTSPLIT(B88," ")</f>
        <v>anjali</v>
      </c>
      <c r="F88" s="54" t="str">
        <v>More</v>
      </c>
      <c r="G88" s="54" t="str">
        <f t="shared" si="10"/>
        <v>Anjali More</v>
      </c>
      <c r="H88" s="54" t="str">
        <f t="shared" si="11"/>
        <v>anjali More</v>
      </c>
    </row>
    <row r="89" ht="16.5" spans="1:8">
      <c r="A89" s="10" t="s">
        <v>241</v>
      </c>
      <c r="B89" s="10" t="s">
        <v>167</v>
      </c>
      <c r="C89" s="54">
        <f t="shared" si="8"/>
        <v>5</v>
      </c>
      <c r="D89" s="54" t="str">
        <f t="shared" si="9"/>
        <v>00151</v>
      </c>
      <c r="E89" s="54" vm="1" t="e" cm="1">
        <f ca="1" t="array" ref="E89">_xlfn.TEXTSPLIT(B89," ")</f>
        <v>#VALUE!</v>
      </c>
      <c r="F89" s="54"/>
      <c r="G89" s="54" t="str">
        <f t="shared" si="10"/>
        <v>Alok  Joshi</v>
      </c>
      <c r="H89" s="54" t="str">
        <f t="shared" si="11"/>
        <v>alok joshi</v>
      </c>
    </row>
    <row r="90" ht="16.5" spans="1:8">
      <c r="A90" s="10" t="s">
        <v>242</v>
      </c>
      <c r="B90" s="10" t="s">
        <v>243</v>
      </c>
      <c r="C90" s="54">
        <f t="shared" si="8"/>
        <v>5</v>
      </c>
      <c r="D90" s="54" t="str">
        <f t="shared" si="9"/>
        <v>00110</v>
      </c>
      <c r="E90" s="54" t="str" cm="1">
        <f t="array" ref="E90:F90">_xlfn.TEXTSPLIT(B90," ")</f>
        <v>Divya</v>
      </c>
      <c r="F90" s="54" t="str">
        <v>Rao</v>
      </c>
      <c r="G90" s="54" t="str">
        <f t="shared" si="10"/>
        <v>Divya Rao</v>
      </c>
      <c r="H90" s="54" t="str">
        <f t="shared" si="11"/>
        <v>Divya Rao</v>
      </c>
    </row>
    <row r="91" ht="16.5" spans="1:8">
      <c r="A91" s="10" t="s">
        <v>244</v>
      </c>
      <c r="B91" s="10" t="s">
        <v>233</v>
      </c>
      <c r="C91" s="54">
        <f t="shared" si="8"/>
        <v>5</v>
      </c>
      <c r="D91" s="54" t="str">
        <f t="shared" si="9"/>
        <v>00053</v>
      </c>
      <c r="E91" s="54" t="str" cm="1">
        <f t="array" ref="E91:F91">_xlfn.TEXTSPLIT(B91," ")</f>
        <v>Pooja</v>
      </c>
      <c r="F91" s="54" t="str">
        <v>More</v>
      </c>
      <c r="G91" s="54" t="str">
        <f t="shared" si="10"/>
        <v>Pooja More</v>
      </c>
      <c r="H91" s="54" t="str">
        <f t="shared" si="11"/>
        <v>Pooja More</v>
      </c>
    </row>
    <row r="92" ht="16.5" spans="1:8">
      <c r="A92" s="10" t="s">
        <v>245</v>
      </c>
      <c r="B92" s="10" t="s">
        <v>194</v>
      </c>
      <c r="C92" s="54">
        <f t="shared" si="8"/>
        <v>5</v>
      </c>
      <c r="D92" s="54" t="str">
        <f t="shared" si="9"/>
        <v>00134</v>
      </c>
      <c r="E92" s="54" t="str" cm="1">
        <f t="array" ref="E92:F92">_xlfn.TEXTSPLIT(B92," ")</f>
        <v>saurav</v>
      </c>
      <c r="F92" s="54" t="str">
        <v>BOSE</v>
      </c>
      <c r="G92" s="54" t="str">
        <f t="shared" si="10"/>
        <v>Saurav Bose</v>
      </c>
      <c r="H92" s="54" t="str">
        <f t="shared" si="11"/>
        <v>saurav BOSE</v>
      </c>
    </row>
    <row r="93" ht="16.5" spans="1:8">
      <c r="A93" s="10" t="s">
        <v>246</v>
      </c>
      <c r="B93" s="10" t="s">
        <v>119</v>
      </c>
      <c r="C93" s="54">
        <f t="shared" si="8"/>
        <v>5</v>
      </c>
      <c r="D93" s="54" t="str">
        <f t="shared" si="9"/>
        <v>00097</v>
      </c>
      <c r="E93" s="54" t="str" cm="1">
        <f t="array" ref="E93:F93">_xlfn.TEXTSPLIT(B93," ")</f>
        <v>tarun</v>
      </c>
      <c r="F93" s="54" t="str">
        <v>pillai</v>
      </c>
      <c r="G93" s="54" t="str">
        <f t="shared" si="10"/>
        <v>Tarun Pillai</v>
      </c>
      <c r="H93" s="54" t="str">
        <f t="shared" si="11"/>
        <v>tarun pillai</v>
      </c>
    </row>
    <row r="94" ht="16.5" spans="1:8">
      <c r="A94" s="10" t="s">
        <v>247</v>
      </c>
      <c r="B94" s="10" t="s">
        <v>213</v>
      </c>
      <c r="C94" s="54">
        <f t="shared" si="8"/>
        <v>5</v>
      </c>
      <c r="D94" s="54" t="str">
        <f t="shared" si="9"/>
        <v>00170</v>
      </c>
      <c r="E94" s="54" t="str" cm="1">
        <f t="array" ref="E94:F94">_xlfn.TEXTSPLIT(B94," ")</f>
        <v>rekha</v>
      </c>
      <c r="F94" s="54" t="str">
        <v>patil</v>
      </c>
      <c r="G94" s="54" t="str">
        <f t="shared" si="10"/>
        <v>Rekha Patil</v>
      </c>
      <c r="H94" s="54" t="str">
        <f t="shared" si="11"/>
        <v>rekha patil</v>
      </c>
    </row>
    <row r="95" ht="16.5" spans="1:8">
      <c r="A95" s="10" t="s">
        <v>248</v>
      </c>
      <c r="B95" s="10" t="s">
        <v>119</v>
      </c>
      <c r="C95" s="54">
        <f t="shared" si="8"/>
        <v>5</v>
      </c>
      <c r="D95" s="54" t="str">
        <f t="shared" si="9"/>
        <v>00045</v>
      </c>
      <c r="E95" s="54" t="str" cm="1">
        <f t="array" ref="E95:F95">_xlfn.TEXTSPLIT(B95," ")</f>
        <v>tarun</v>
      </c>
      <c r="F95" s="54" t="str">
        <v>pillai</v>
      </c>
      <c r="G95" s="54" t="str">
        <f t="shared" si="10"/>
        <v>Tarun Pillai</v>
      </c>
      <c r="H95" s="54" t="str">
        <f t="shared" si="11"/>
        <v>tarun pillai</v>
      </c>
    </row>
    <row r="96" ht="16.5" spans="1:8">
      <c r="A96" s="10" t="s">
        <v>249</v>
      </c>
      <c r="B96" s="10" t="s">
        <v>92</v>
      </c>
      <c r="C96" s="54">
        <f t="shared" si="8"/>
        <v>5</v>
      </c>
      <c r="D96" s="54" t="str">
        <f t="shared" si="9"/>
        <v>00076</v>
      </c>
      <c r="E96" s="54" t="str" cm="1">
        <f t="array" ref="E96:F96">_xlfn.TEXTSPLIT(B96," ")</f>
        <v>sneha</v>
      </c>
      <c r="F96" s="54" t="str">
        <v>shah</v>
      </c>
      <c r="G96" s="54" t="str">
        <f t="shared" si="10"/>
        <v>Sneha Shah</v>
      </c>
      <c r="H96" s="54" t="str">
        <f t="shared" si="11"/>
        <v>sneha shah</v>
      </c>
    </row>
    <row r="97" ht="16.5" spans="1:8">
      <c r="A97" s="10" t="s">
        <v>250</v>
      </c>
      <c r="B97" s="10" t="s">
        <v>210</v>
      </c>
      <c r="C97" s="54">
        <f t="shared" si="8"/>
        <v>5</v>
      </c>
      <c r="D97" s="54" t="str">
        <f t="shared" si="9"/>
        <v>00036</v>
      </c>
      <c r="E97" s="54" t="str" cm="1">
        <f t="array" ref="E97:F97">_xlfn.TEXTSPLIT(B97," ")</f>
        <v>simran</v>
      </c>
      <c r="F97" s="54" t="str">
        <v>Bajaj</v>
      </c>
      <c r="G97" s="54" t="str">
        <f t="shared" si="10"/>
        <v>Simran Bajaj</v>
      </c>
      <c r="H97" s="54" t="str">
        <f t="shared" si="11"/>
        <v>simran Bajaj</v>
      </c>
    </row>
    <row r="98" ht="16.5" spans="1:8">
      <c r="A98" s="10" t="s">
        <v>251</v>
      </c>
      <c r="B98" s="10" t="s">
        <v>155</v>
      </c>
      <c r="C98" s="54">
        <f t="shared" si="8"/>
        <v>5</v>
      </c>
      <c r="D98" s="54" t="str">
        <f t="shared" si="9"/>
        <v>00146</v>
      </c>
      <c r="E98" s="54" t="str" cm="1">
        <f t="array" ref="E98:F98">_xlfn.TEXTSPLIT(B98," ")</f>
        <v>KAVYA</v>
      </c>
      <c r="F98" s="54" t="str">
        <v>chauhan</v>
      </c>
      <c r="G98" s="54" t="str">
        <f t="shared" si="10"/>
        <v>Kavya Chauhan</v>
      </c>
      <c r="H98" s="54" t="str">
        <f t="shared" si="11"/>
        <v>KAVYA chauhan</v>
      </c>
    </row>
    <row r="99" ht="16.5" spans="1:8">
      <c r="A99" s="10" t="s">
        <v>252</v>
      </c>
      <c r="B99" s="10" t="s">
        <v>85</v>
      </c>
      <c r="C99" s="54">
        <f t="shared" ref="C99:C130" si="12">FIND($I$1,A99)</f>
        <v>5</v>
      </c>
      <c r="D99" s="54" t="str">
        <f t="shared" ref="D99:D130" si="13">MID(A99,10,5)</f>
        <v>00095</v>
      </c>
      <c r="E99" s="54" t="str" cm="1">
        <f t="array" ref="E99:F99">_xlfn.TEXTSPLIT(B99," ")</f>
        <v>Amit</v>
      </c>
      <c r="F99" s="54" t="str">
        <v>SHINDE</v>
      </c>
      <c r="G99" s="54" t="str">
        <f t="shared" ref="G99:G130" si="14">PROPER(B99)</f>
        <v>Amit Shinde</v>
      </c>
      <c r="H99" s="54" t="str">
        <f t="shared" ref="H99:H130" si="15">TRIM(B99)</f>
        <v>Amit SHINDE</v>
      </c>
    </row>
    <row r="100" ht="16.5" spans="1:8">
      <c r="A100" s="10" t="s">
        <v>253</v>
      </c>
      <c r="B100" s="10" t="s">
        <v>75</v>
      </c>
      <c r="C100" s="54">
        <f t="shared" si="12"/>
        <v>5</v>
      </c>
      <c r="D100" s="54" t="str">
        <f t="shared" si="13"/>
        <v>00009</v>
      </c>
      <c r="E100" s="54" t="str" cm="1">
        <f t="array" ref="E100:F100">_xlfn.TEXTSPLIT(B100," ")</f>
        <v>VARUN</v>
      </c>
      <c r="F100" s="54" t="str">
        <v>Mehta</v>
      </c>
      <c r="G100" s="54" t="str">
        <f t="shared" si="14"/>
        <v>Varun Mehta</v>
      </c>
      <c r="H100" s="54" t="str">
        <f t="shared" si="15"/>
        <v>VARUN Mehta</v>
      </c>
    </row>
    <row r="101" ht="16.5" spans="1:8">
      <c r="A101" s="10" t="s">
        <v>254</v>
      </c>
      <c r="B101" s="10" t="s">
        <v>173</v>
      </c>
      <c r="C101" s="54">
        <f t="shared" si="12"/>
        <v>5</v>
      </c>
      <c r="D101" s="54" t="str">
        <f t="shared" si="13"/>
        <v>00022</v>
      </c>
      <c r="E101" s="54" t="str" cm="1">
        <f t="array" ref="E101:F101">_xlfn.TEXTSPLIT(B101," ")</f>
        <v>jyoti</v>
      </c>
      <c r="F101" s="54" t="str">
        <v>joshi</v>
      </c>
      <c r="G101" s="54" t="str">
        <f t="shared" si="14"/>
        <v>Jyoti Joshi</v>
      </c>
      <c r="H101" s="54" t="str">
        <f t="shared" si="15"/>
        <v>jyoti joshi</v>
      </c>
    </row>
    <row r="102" ht="16.5" spans="1:8">
      <c r="A102" s="10" t="s">
        <v>255</v>
      </c>
      <c r="B102" s="10" t="s">
        <v>191</v>
      </c>
      <c r="C102" s="54">
        <f t="shared" si="12"/>
        <v>5</v>
      </c>
      <c r="D102" s="54" t="str">
        <f t="shared" si="13"/>
        <v>00084</v>
      </c>
      <c r="E102" s="54" t="str" cm="1">
        <f t="array" ref="E102:F102">_xlfn.TEXTSPLIT(B102," ")</f>
        <v>PRIYA</v>
      </c>
      <c r="F102" s="54" t="str">
        <v>NAIR</v>
      </c>
      <c r="G102" s="54" t="str">
        <f t="shared" si="14"/>
        <v>Priya Nair</v>
      </c>
      <c r="H102" s="54" t="str">
        <f t="shared" si="15"/>
        <v>PRIYA NAIR</v>
      </c>
    </row>
    <row r="103" ht="16.5" spans="1:8">
      <c r="A103" s="10" t="s">
        <v>258</v>
      </c>
      <c r="B103" s="10" t="s">
        <v>115</v>
      </c>
      <c r="C103" s="54">
        <f t="shared" si="12"/>
        <v>5</v>
      </c>
      <c r="D103" s="54" t="str">
        <f t="shared" si="13"/>
        <v>00043</v>
      </c>
      <c r="E103" s="54" t="str" cm="1">
        <f t="array" ref="E103:F103">_xlfn.TEXTSPLIT(B103," ")</f>
        <v>manav</v>
      </c>
      <c r="F103" s="54" t="str">
        <v>Singh</v>
      </c>
      <c r="G103" s="54" t="str">
        <f t="shared" si="14"/>
        <v>Manav Singh</v>
      </c>
      <c r="H103" s="54" t="str">
        <f t="shared" si="15"/>
        <v>manav Singh</v>
      </c>
    </row>
    <row r="104" ht="16.5" spans="1:8">
      <c r="A104" s="10" t="s">
        <v>259</v>
      </c>
      <c r="B104" s="10" t="s">
        <v>60</v>
      </c>
      <c r="C104" s="54">
        <f t="shared" si="12"/>
        <v>5</v>
      </c>
      <c r="D104" s="54" t="str">
        <f t="shared" si="13"/>
        <v>00089</v>
      </c>
      <c r="E104" s="54" t="str" cm="1">
        <f t="array" ref="E104:F104">_xlfn.TEXTSPLIT(B104," ")</f>
        <v>nikhil</v>
      </c>
      <c r="F104" s="54" t="str">
        <v>Singh</v>
      </c>
      <c r="G104" s="54" t="str">
        <f t="shared" si="14"/>
        <v>Nikhil Singh</v>
      </c>
      <c r="H104" s="54" t="str">
        <f t="shared" si="15"/>
        <v>nikhil Singh</v>
      </c>
    </row>
    <row r="105" ht="16.5" spans="1:8">
      <c r="A105" s="10" t="s">
        <v>260</v>
      </c>
      <c r="B105" s="10" t="s">
        <v>46</v>
      </c>
      <c r="C105" s="54">
        <f t="shared" si="12"/>
        <v>5</v>
      </c>
      <c r="D105" s="54" t="str">
        <f t="shared" si="13"/>
        <v>00122</v>
      </c>
      <c r="E105" s="54" t="str" cm="1">
        <f t="array" ref="E105:F105">_xlfn.TEXTSPLIT(B105," ")</f>
        <v>rekha</v>
      </c>
      <c r="F105" s="54" t="str">
        <v>BOSE</v>
      </c>
      <c r="G105" s="54" t="str">
        <f t="shared" si="14"/>
        <v>Rekha Bose</v>
      </c>
      <c r="H105" s="54" t="str">
        <f t="shared" si="15"/>
        <v>rekha BOSE</v>
      </c>
    </row>
    <row r="106" ht="16.5" spans="1:8">
      <c r="A106" s="10" t="s">
        <v>261</v>
      </c>
      <c r="B106" s="10" t="s">
        <v>29</v>
      </c>
      <c r="C106" s="54">
        <f t="shared" si="12"/>
        <v>5</v>
      </c>
      <c r="D106" s="54" t="str">
        <f t="shared" si="13"/>
        <v>00191</v>
      </c>
      <c r="E106" s="54" t="str" cm="1">
        <f t="array" ref="E106:F106">_xlfn.TEXTSPLIT(B106," ")</f>
        <v>SHREYA</v>
      </c>
      <c r="F106" s="54" t="str">
        <v>GHOSH</v>
      </c>
      <c r="G106" s="54" t="str">
        <f t="shared" si="14"/>
        <v>Shreya Ghosh</v>
      </c>
      <c r="H106" s="54" t="str">
        <f t="shared" si="15"/>
        <v>SHREYA GHOSH</v>
      </c>
    </row>
    <row r="107" ht="16.5" spans="1:8">
      <c r="A107" s="10" t="s">
        <v>262</v>
      </c>
      <c r="B107" s="10" t="s">
        <v>119</v>
      </c>
      <c r="C107" s="54">
        <f t="shared" si="12"/>
        <v>5</v>
      </c>
      <c r="D107" s="54" t="str">
        <f t="shared" si="13"/>
        <v>00064</v>
      </c>
      <c r="E107" s="54" t="str" cm="1">
        <f t="array" ref="E107:F107">_xlfn.TEXTSPLIT(B107," ")</f>
        <v>tarun</v>
      </c>
      <c r="F107" s="54" t="str">
        <v>pillai</v>
      </c>
      <c r="G107" s="54" t="str">
        <f t="shared" si="14"/>
        <v>Tarun Pillai</v>
      </c>
      <c r="H107" s="54" t="str">
        <f t="shared" si="15"/>
        <v>tarun pillai</v>
      </c>
    </row>
    <row r="108" ht="16.5" spans="1:8">
      <c r="A108" s="10" t="s">
        <v>263</v>
      </c>
      <c r="B108" s="10" t="s">
        <v>65</v>
      </c>
      <c r="C108" s="54">
        <f t="shared" si="12"/>
        <v>5</v>
      </c>
      <c r="D108" s="54" t="str">
        <f t="shared" si="13"/>
        <v>00058</v>
      </c>
      <c r="E108" s="54" t="str" cm="1">
        <f t="array" ref="E108:F108">_xlfn.TEXTSPLIT(B108," ")</f>
        <v>raj</v>
      </c>
      <c r="F108" s="54" t="str">
        <v>joshi</v>
      </c>
      <c r="G108" s="54" t="str">
        <f t="shared" si="14"/>
        <v>Raj Joshi</v>
      </c>
      <c r="H108" s="54" t="str">
        <f t="shared" si="15"/>
        <v>raj joshi</v>
      </c>
    </row>
    <row r="109" ht="16.5" spans="1:8">
      <c r="A109" s="10" t="s">
        <v>264</v>
      </c>
      <c r="B109" s="10" t="s">
        <v>94</v>
      </c>
      <c r="C109" s="54">
        <f t="shared" si="12"/>
        <v>5</v>
      </c>
      <c r="D109" s="54" t="str">
        <f t="shared" si="13"/>
        <v>00188</v>
      </c>
      <c r="E109" s="54" t="str" cm="1">
        <f t="array" ref="E109:F109">_xlfn.TEXTSPLIT(B109," ")</f>
        <v>KAVYA</v>
      </c>
      <c r="F109" s="54" t="str">
        <v>das</v>
      </c>
      <c r="G109" s="54" t="str">
        <f t="shared" si="14"/>
        <v>Kavya Das</v>
      </c>
      <c r="H109" s="54" t="str">
        <f t="shared" si="15"/>
        <v>KAVYA das</v>
      </c>
    </row>
    <row r="110" ht="16.5" spans="1:8">
      <c r="A110" s="10" t="s">
        <v>138</v>
      </c>
      <c r="B110" s="10" t="s">
        <v>146</v>
      </c>
      <c r="C110" s="54">
        <f t="shared" si="12"/>
        <v>5</v>
      </c>
      <c r="D110" s="54" t="str">
        <f t="shared" si="13"/>
        <v>00006</v>
      </c>
      <c r="E110" s="54" t="str" cm="1">
        <f t="array" ref="E110:F110">_xlfn.TEXTSPLIT(B110," ")</f>
        <v>harsh</v>
      </c>
      <c r="F110" s="54" t="str">
        <v>KULKARNI</v>
      </c>
      <c r="G110" s="54" t="str">
        <f t="shared" si="14"/>
        <v>Harsh Kulkarni</v>
      </c>
      <c r="H110" s="54" t="str">
        <f t="shared" si="15"/>
        <v>harsh KULKARNI</v>
      </c>
    </row>
    <row r="111" ht="16.5" spans="1:8">
      <c r="A111" s="10" t="s">
        <v>265</v>
      </c>
      <c r="B111" s="10" t="s">
        <v>184</v>
      </c>
      <c r="C111" s="54">
        <f t="shared" si="12"/>
        <v>5</v>
      </c>
      <c r="D111" s="54" t="str">
        <f t="shared" si="13"/>
        <v>00183</v>
      </c>
      <c r="E111" s="54" t="str" cm="1">
        <f t="array" ref="E111:F111">_xlfn.TEXTSPLIT(B111," ")</f>
        <v>RIYA</v>
      </c>
      <c r="F111" s="54" t="str">
        <v>bhatnagar</v>
      </c>
      <c r="G111" s="54" t="str">
        <f t="shared" si="14"/>
        <v>Riya Bhatnagar</v>
      </c>
      <c r="H111" s="54" t="str">
        <f t="shared" si="15"/>
        <v>RIYA bhatnagar</v>
      </c>
    </row>
    <row r="112" ht="16.5" spans="1:8">
      <c r="A112" s="10" t="s">
        <v>266</v>
      </c>
      <c r="B112" s="10" t="s">
        <v>267</v>
      </c>
      <c r="C112" s="54">
        <f t="shared" si="12"/>
        <v>5</v>
      </c>
      <c r="D112" s="54" t="str">
        <f t="shared" si="13"/>
        <v>00067</v>
      </c>
      <c r="E112" s="54" t="str" cm="1">
        <f t="array" ref="E112:F112">_xlfn.TEXTSPLIT(B112," ")</f>
        <v>VARUN</v>
      </c>
      <c r="F112" s="54" t="str">
        <v>YADAV</v>
      </c>
      <c r="G112" s="54" t="str">
        <f t="shared" si="14"/>
        <v>Varun Yadav</v>
      </c>
      <c r="H112" s="54" t="str">
        <f t="shared" si="15"/>
        <v>VARUN YADAV</v>
      </c>
    </row>
    <row r="113" ht="16.5" spans="1:8">
      <c r="A113" s="10" t="s">
        <v>268</v>
      </c>
      <c r="B113" s="10" t="s">
        <v>94</v>
      </c>
      <c r="C113" s="54">
        <f t="shared" si="12"/>
        <v>5</v>
      </c>
      <c r="D113" s="54" t="str">
        <f t="shared" si="13"/>
        <v>00101</v>
      </c>
      <c r="E113" s="54" t="str" cm="1">
        <f t="array" ref="E113:F113">_xlfn.TEXTSPLIT(B113," ")</f>
        <v>KAVYA</v>
      </c>
      <c r="F113" s="54" t="str">
        <v>das</v>
      </c>
      <c r="G113" s="54" t="str">
        <f t="shared" si="14"/>
        <v>Kavya Das</v>
      </c>
      <c r="H113" s="54" t="str">
        <f t="shared" si="15"/>
        <v>KAVYA das</v>
      </c>
    </row>
    <row r="114" ht="16.5" spans="1:8">
      <c r="A114" s="10" t="s">
        <v>271</v>
      </c>
      <c r="B114" s="10" t="s">
        <v>173</v>
      </c>
      <c r="C114" s="54">
        <f t="shared" si="12"/>
        <v>5</v>
      </c>
      <c r="D114" s="54" t="str">
        <f t="shared" si="13"/>
        <v>00096</v>
      </c>
      <c r="E114" s="54" t="str" cm="1">
        <f t="array" ref="E114:F114">_xlfn.TEXTSPLIT(B114," ")</f>
        <v>jyoti</v>
      </c>
      <c r="F114" s="54" t="str">
        <v>joshi</v>
      </c>
      <c r="G114" s="54" t="str">
        <f t="shared" si="14"/>
        <v>Jyoti Joshi</v>
      </c>
      <c r="H114" s="54" t="str">
        <f t="shared" si="15"/>
        <v>jyoti joshi</v>
      </c>
    </row>
    <row r="115" ht="16.5" spans="1:8">
      <c r="A115" s="10" t="s">
        <v>272</v>
      </c>
      <c r="B115" s="10" t="s">
        <v>230</v>
      </c>
      <c r="C115" s="54">
        <f t="shared" si="12"/>
        <v>5</v>
      </c>
      <c r="D115" s="54" t="str">
        <f t="shared" si="13"/>
        <v>00062</v>
      </c>
      <c r="E115" s="54" t="str" cm="1">
        <f t="array" ref="E115:F115">_xlfn.TEXTSPLIT(B115," ")</f>
        <v>raj</v>
      </c>
      <c r="F115" s="54" t="str">
        <v>dubey</v>
      </c>
      <c r="G115" s="54" t="str">
        <f t="shared" si="14"/>
        <v>Raj Dubey</v>
      </c>
      <c r="H115" s="54" t="str">
        <f t="shared" si="15"/>
        <v>raj dubey</v>
      </c>
    </row>
    <row r="116" ht="16.5" spans="1:8">
      <c r="A116" s="10" t="s">
        <v>273</v>
      </c>
      <c r="B116" s="10" t="s">
        <v>191</v>
      </c>
      <c r="C116" s="54">
        <f t="shared" si="12"/>
        <v>5</v>
      </c>
      <c r="D116" s="54" t="str">
        <f t="shared" si="13"/>
        <v>00132</v>
      </c>
      <c r="E116" s="54" t="str" cm="1">
        <f t="array" ref="E116:F116">_xlfn.TEXTSPLIT(B116," ")</f>
        <v>PRIYA</v>
      </c>
      <c r="F116" s="54" t="str">
        <v>NAIR</v>
      </c>
      <c r="G116" s="54" t="str">
        <f t="shared" si="14"/>
        <v>Priya Nair</v>
      </c>
      <c r="H116" s="54" t="str">
        <f t="shared" si="15"/>
        <v>PRIYA NAIR</v>
      </c>
    </row>
    <row r="117" ht="16.5" spans="1:8">
      <c r="A117" s="10" t="s">
        <v>274</v>
      </c>
      <c r="B117" s="10" t="s">
        <v>155</v>
      </c>
      <c r="C117" s="54">
        <f t="shared" si="12"/>
        <v>5</v>
      </c>
      <c r="D117" s="54" t="str">
        <f t="shared" si="13"/>
        <v>00157</v>
      </c>
      <c r="E117" s="54" t="str" cm="1">
        <f t="array" ref="E117:F117">_xlfn.TEXTSPLIT(B117," ")</f>
        <v>KAVYA</v>
      </c>
      <c r="F117" s="54" t="str">
        <v>chauhan</v>
      </c>
      <c r="G117" s="54" t="str">
        <f t="shared" si="14"/>
        <v>Kavya Chauhan</v>
      </c>
      <c r="H117" s="54" t="str">
        <f t="shared" si="15"/>
        <v>KAVYA chauhan</v>
      </c>
    </row>
    <row r="118" ht="16.5" spans="1:8">
      <c r="A118" s="10" t="s">
        <v>277</v>
      </c>
      <c r="B118" s="10" t="s">
        <v>167</v>
      </c>
      <c r="C118" s="54">
        <f t="shared" si="12"/>
        <v>5</v>
      </c>
      <c r="D118" s="54" t="str">
        <f t="shared" si="13"/>
        <v>00039</v>
      </c>
      <c r="E118" s="54" vm="1" t="e" cm="1">
        <f ca="1" t="array" ref="E118">_xlfn.TEXTSPLIT(B118," ")</f>
        <v>#VALUE!</v>
      </c>
      <c r="F118" s="54"/>
      <c r="G118" s="54" t="str">
        <f t="shared" si="14"/>
        <v>Alok  Joshi</v>
      </c>
      <c r="H118" s="54" t="str">
        <f t="shared" si="15"/>
        <v>alok joshi</v>
      </c>
    </row>
    <row r="119" ht="16.5" spans="1:8">
      <c r="A119" s="10" t="s">
        <v>278</v>
      </c>
      <c r="B119" s="10" t="s">
        <v>119</v>
      </c>
      <c r="C119" s="54">
        <f t="shared" si="12"/>
        <v>5</v>
      </c>
      <c r="D119" s="54" t="str">
        <f t="shared" si="13"/>
        <v>00125</v>
      </c>
      <c r="E119" s="54" t="str" cm="1">
        <f t="array" ref="E119:F119">_xlfn.TEXTSPLIT(B119," ")</f>
        <v>tarun</v>
      </c>
      <c r="F119" s="54" t="str">
        <v>pillai</v>
      </c>
      <c r="G119" s="54" t="str">
        <f t="shared" si="14"/>
        <v>Tarun Pillai</v>
      </c>
      <c r="H119" s="54" t="str">
        <f t="shared" si="15"/>
        <v>tarun pillai</v>
      </c>
    </row>
    <row r="120" ht="16.5" spans="1:8">
      <c r="A120" s="10" t="s">
        <v>279</v>
      </c>
      <c r="B120" s="10" t="s">
        <v>165</v>
      </c>
      <c r="C120" s="54">
        <f t="shared" si="12"/>
        <v>5</v>
      </c>
      <c r="D120" s="54" t="str">
        <f t="shared" si="13"/>
        <v>00081</v>
      </c>
      <c r="E120" s="54" t="str" cm="1">
        <f t="array" ref="E120:F120">_xlfn.TEXTSPLIT(B120," ")</f>
        <v>aarav</v>
      </c>
      <c r="F120" s="54" t="str">
        <v>AGARWAL</v>
      </c>
      <c r="G120" s="54" t="str">
        <f t="shared" si="14"/>
        <v>Aarav Agarwal</v>
      </c>
      <c r="H120" s="54" t="str">
        <f t="shared" si="15"/>
        <v>aarav AGARWAL</v>
      </c>
    </row>
    <row r="121" ht="16.5" spans="1:8">
      <c r="A121" s="10" t="s">
        <v>282</v>
      </c>
      <c r="B121" s="10" t="s">
        <v>146</v>
      </c>
      <c r="C121" s="54">
        <f t="shared" si="12"/>
        <v>5</v>
      </c>
      <c r="D121" s="54" t="str">
        <f t="shared" si="13"/>
        <v>00038</v>
      </c>
      <c r="E121" s="54" t="str" cm="1">
        <f t="array" ref="E121:F121">_xlfn.TEXTSPLIT(B121," ")</f>
        <v>harsh</v>
      </c>
      <c r="F121" s="54" t="str">
        <v>KULKARNI</v>
      </c>
      <c r="G121" s="54" t="str">
        <f t="shared" si="14"/>
        <v>Harsh Kulkarni</v>
      </c>
      <c r="H121" s="54" t="str">
        <f t="shared" si="15"/>
        <v>harsh KULKARNI</v>
      </c>
    </row>
    <row r="122" ht="16.5" spans="1:8">
      <c r="A122" s="10" t="s">
        <v>283</v>
      </c>
      <c r="B122" s="10" t="s">
        <v>129</v>
      </c>
      <c r="C122" s="54">
        <f t="shared" si="12"/>
        <v>5</v>
      </c>
      <c r="D122" s="54" t="str">
        <f t="shared" si="13"/>
        <v>00168</v>
      </c>
      <c r="E122" s="54" t="str" cm="1">
        <f t="array" ref="E122:F122">_xlfn.TEXTSPLIT(B122," ")</f>
        <v>Rohan</v>
      </c>
      <c r="F122" s="54" t="str">
        <v>GUPTA</v>
      </c>
      <c r="G122" s="54" t="str">
        <f t="shared" si="14"/>
        <v>Rohan Gupta</v>
      </c>
      <c r="H122" s="54" t="str">
        <f t="shared" si="15"/>
        <v>Rohan GUPTA</v>
      </c>
    </row>
    <row r="123" ht="16.5" spans="1:8">
      <c r="A123" s="10" t="s">
        <v>284</v>
      </c>
      <c r="B123" s="10" t="s">
        <v>233</v>
      </c>
      <c r="C123" s="54">
        <f t="shared" si="12"/>
        <v>5</v>
      </c>
      <c r="D123" s="54" t="str">
        <f t="shared" si="13"/>
        <v>00164</v>
      </c>
      <c r="E123" s="54" t="str" cm="1">
        <f t="array" ref="E123:F123">_xlfn.TEXTSPLIT(B123," ")</f>
        <v>Pooja</v>
      </c>
      <c r="F123" s="54" t="str">
        <v>More</v>
      </c>
      <c r="G123" s="54" t="str">
        <f t="shared" si="14"/>
        <v>Pooja More</v>
      </c>
      <c r="H123" s="54" t="str">
        <f t="shared" si="15"/>
        <v>Pooja More</v>
      </c>
    </row>
    <row r="124" ht="16.5" spans="1:8">
      <c r="A124" s="10" t="s">
        <v>285</v>
      </c>
      <c r="B124" s="10" t="s">
        <v>119</v>
      </c>
      <c r="C124" s="54">
        <f t="shared" si="12"/>
        <v>5</v>
      </c>
      <c r="D124" s="54" t="str">
        <f t="shared" si="13"/>
        <v>00050</v>
      </c>
      <c r="E124" s="54" t="str" cm="1">
        <f t="array" ref="E124:F124">_xlfn.TEXTSPLIT(B124," ")</f>
        <v>tarun</v>
      </c>
      <c r="F124" s="54" t="str">
        <v>pillai</v>
      </c>
      <c r="G124" s="54" t="str">
        <f t="shared" si="14"/>
        <v>Tarun Pillai</v>
      </c>
      <c r="H124" s="54" t="str">
        <f t="shared" si="15"/>
        <v>tarun pillai</v>
      </c>
    </row>
    <row r="125" ht="16.5" spans="1:8">
      <c r="A125" s="10" t="s">
        <v>252</v>
      </c>
      <c r="B125" s="10" t="s">
        <v>85</v>
      </c>
      <c r="C125" s="54">
        <f t="shared" si="12"/>
        <v>5</v>
      </c>
      <c r="D125" s="54" t="str">
        <f t="shared" si="13"/>
        <v>00095</v>
      </c>
      <c r="E125" s="54" t="str" cm="1">
        <f t="array" ref="E125:F125">_xlfn.TEXTSPLIT(B125," ")</f>
        <v>Amit</v>
      </c>
      <c r="F125" s="54" t="str">
        <v>SHINDE</v>
      </c>
      <c r="G125" s="54" t="str">
        <f t="shared" si="14"/>
        <v>Amit Shinde</v>
      </c>
      <c r="H125" s="54" t="str">
        <f t="shared" si="15"/>
        <v>Amit SHINDE</v>
      </c>
    </row>
    <row r="126" ht="16.5" spans="1:8">
      <c r="A126" s="10" t="s">
        <v>286</v>
      </c>
      <c r="B126" s="10" t="s">
        <v>92</v>
      </c>
      <c r="C126" s="54">
        <f t="shared" si="12"/>
        <v>5</v>
      </c>
      <c r="D126" s="54" t="str">
        <f t="shared" si="13"/>
        <v>00161</v>
      </c>
      <c r="E126" s="54" t="str" cm="1">
        <f t="array" ref="E126:F126">_xlfn.TEXTSPLIT(B126," ")</f>
        <v>sneha</v>
      </c>
      <c r="F126" s="54" t="str">
        <v>shah</v>
      </c>
      <c r="G126" s="54" t="str">
        <f t="shared" si="14"/>
        <v>Sneha Shah</v>
      </c>
      <c r="H126" s="54" t="str">
        <f t="shared" si="15"/>
        <v>sneha shah</v>
      </c>
    </row>
    <row r="127" ht="16.5" spans="1:8">
      <c r="A127" s="10" t="s">
        <v>226</v>
      </c>
      <c r="B127" s="10" t="s">
        <v>173</v>
      </c>
      <c r="C127" s="54">
        <f t="shared" si="12"/>
        <v>5</v>
      </c>
      <c r="D127" s="54" t="str">
        <f t="shared" si="13"/>
        <v>00028</v>
      </c>
      <c r="E127" s="54" t="str" cm="1">
        <f t="array" ref="E127:F127">_xlfn.TEXTSPLIT(B127," ")</f>
        <v>jyoti</v>
      </c>
      <c r="F127" s="54" t="str">
        <v>joshi</v>
      </c>
      <c r="G127" s="54" t="str">
        <f t="shared" si="14"/>
        <v>Jyoti Joshi</v>
      </c>
      <c r="H127" s="54" t="str">
        <f t="shared" si="15"/>
        <v>jyoti joshi</v>
      </c>
    </row>
    <row r="128" ht="16.5" spans="1:8">
      <c r="A128" s="10" t="s">
        <v>287</v>
      </c>
      <c r="B128" s="10" t="s">
        <v>146</v>
      </c>
      <c r="C128" s="54">
        <f t="shared" si="12"/>
        <v>5</v>
      </c>
      <c r="D128" s="54" t="str">
        <f t="shared" si="13"/>
        <v>00046</v>
      </c>
      <c r="E128" s="54" t="str" cm="1">
        <f t="array" ref="E128:F128">_xlfn.TEXTSPLIT(B128," ")</f>
        <v>harsh</v>
      </c>
      <c r="F128" s="54" t="str">
        <v>KULKARNI</v>
      </c>
      <c r="G128" s="54" t="str">
        <f t="shared" si="14"/>
        <v>Harsh Kulkarni</v>
      </c>
      <c r="H128" s="54" t="str">
        <f t="shared" si="15"/>
        <v>harsh KULKARNI</v>
      </c>
    </row>
    <row r="129" ht="16.5" spans="1:8">
      <c r="A129" s="10" t="s">
        <v>288</v>
      </c>
      <c r="B129" s="10" t="s">
        <v>56</v>
      </c>
      <c r="C129" s="54">
        <f t="shared" si="12"/>
        <v>5</v>
      </c>
      <c r="D129" s="54" t="str">
        <f t="shared" si="13"/>
        <v>00169</v>
      </c>
      <c r="E129" s="54" t="str" cm="1">
        <f t="array" ref="E129:F129">_xlfn.TEXTSPLIT(B129," ")</f>
        <v>akash</v>
      </c>
      <c r="F129" s="54" t="str">
        <v>MISHRA</v>
      </c>
      <c r="G129" s="54" t="str">
        <f t="shared" si="14"/>
        <v>Akash Mishra</v>
      </c>
      <c r="H129" s="54" t="str">
        <f t="shared" si="15"/>
        <v>akash MISHRA</v>
      </c>
    </row>
    <row r="130" ht="16.5" spans="1:8">
      <c r="A130" s="10" t="s">
        <v>289</v>
      </c>
      <c r="B130" s="10" t="s">
        <v>109</v>
      </c>
      <c r="C130" s="54">
        <f t="shared" si="12"/>
        <v>5</v>
      </c>
      <c r="D130" s="54" t="str">
        <f t="shared" si="13"/>
        <v>00103</v>
      </c>
      <c r="E130" s="54" t="str" cm="1">
        <f t="array" ref="E130:F130">_xlfn.TEXTSPLIT(B130," ")</f>
        <v>Tanya</v>
      </c>
      <c r="F130" s="54" t="str">
        <v>Wagh</v>
      </c>
      <c r="G130" s="54" t="str">
        <f t="shared" si="14"/>
        <v>Tanya Wagh</v>
      </c>
      <c r="H130" s="54" t="str">
        <f t="shared" si="15"/>
        <v>Tanya Wagh</v>
      </c>
    </row>
    <row r="131" ht="16.5" spans="1:8">
      <c r="A131" s="10" t="s">
        <v>290</v>
      </c>
      <c r="B131" s="10" t="s">
        <v>81</v>
      </c>
      <c r="C131" s="54">
        <f t="shared" ref="C131:C162" si="16">FIND($I$1,A131)</f>
        <v>5</v>
      </c>
      <c r="D131" s="54" t="str">
        <f t="shared" ref="D131:D162" si="17">MID(A131,10,5)</f>
        <v>00059</v>
      </c>
      <c r="E131" s="54" t="str" cm="1">
        <f t="array" ref="E131:F131">_xlfn.TEXTSPLIT(B131," ")</f>
        <v>leena</v>
      </c>
      <c r="F131" s="54" t="str">
        <v>dubey</v>
      </c>
      <c r="G131" s="54" t="str">
        <f t="shared" ref="G131:G162" si="18">PROPER(B131)</f>
        <v>Leena Dubey</v>
      </c>
      <c r="H131" s="54" t="str">
        <f t="shared" ref="H131:H162" si="19">TRIM(B131)</f>
        <v>leena dubey</v>
      </c>
    </row>
    <row r="132" ht="16.5" spans="1:8">
      <c r="A132" s="10" t="s">
        <v>291</v>
      </c>
      <c r="B132" s="10" t="s">
        <v>71</v>
      </c>
      <c r="C132" s="54">
        <f t="shared" si="16"/>
        <v>5</v>
      </c>
      <c r="D132" s="54" t="str">
        <f t="shared" si="17"/>
        <v>00065</v>
      </c>
      <c r="E132" s="54" t="str" cm="1">
        <f t="array" ref="E132:F132">_xlfn.TEXTSPLIT(B132," ")</f>
        <v>nikhil</v>
      </c>
      <c r="F132" s="54" t="str">
        <v>Shukla</v>
      </c>
      <c r="G132" s="54" t="str">
        <f t="shared" si="18"/>
        <v>Nikhil Shukla</v>
      </c>
      <c r="H132" s="54" t="str">
        <f t="shared" si="19"/>
        <v>nikhil Shukla</v>
      </c>
    </row>
    <row r="133" ht="16.5" spans="1:8">
      <c r="A133" s="10" t="s">
        <v>292</v>
      </c>
      <c r="B133" s="10" t="s">
        <v>113</v>
      </c>
      <c r="C133" s="54">
        <f t="shared" si="16"/>
        <v>5</v>
      </c>
      <c r="D133" s="54" t="str">
        <f t="shared" si="17"/>
        <v>00032</v>
      </c>
      <c r="E133" s="54" t="str" cm="1">
        <f t="array" ref="E133:F133">_xlfn.TEXTSPLIT(B133," ")</f>
        <v>Ananya</v>
      </c>
      <c r="F133" s="54" t="str">
        <v>joshi</v>
      </c>
      <c r="G133" s="54" t="str">
        <f t="shared" si="18"/>
        <v>Ananya Joshi</v>
      </c>
      <c r="H133" s="54" t="str">
        <f t="shared" si="19"/>
        <v>Ananya joshi</v>
      </c>
    </row>
    <row r="134" ht="16.5" spans="1:8">
      <c r="A134" s="10" t="s">
        <v>293</v>
      </c>
      <c r="B134" s="10" t="s">
        <v>207</v>
      </c>
      <c r="C134" s="54">
        <f t="shared" si="16"/>
        <v>5</v>
      </c>
      <c r="D134" s="54" t="str">
        <f t="shared" si="17"/>
        <v>00199</v>
      </c>
      <c r="E134" s="54" t="str" cm="1">
        <f t="array" ref="E134:F134">_xlfn.TEXTSPLIT(B134," ")</f>
        <v>leena</v>
      </c>
      <c r="F134" s="54" t="str">
        <v>GAIKWAD</v>
      </c>
      <c r="G134" s="54" t="str">
        <f t="shared" si="18"/>
        <v>Leena Gaikwad</v>
      </c>
      <c r="H134" s="54" t="str">
        <f t="shared" si="19"/>
        <v>leena GAIKWAD</v>
      </c>
    </row>
    <row r="135" ht="16.5" spans="1:8">
      <c r="A135" s="10" t="s">
        <v>294</v>
      </c>
      <c r="B135" s="10" t="s">
        <v>213</v>
      </c>
      <c r="C135" s="54">
        <f t="shared" si="16"/>
        <v>5</v>
      </c>
      <c r="D135" s="54" t="str">
        <f t="shared" si="17"/>
        <v>00077</v>
      </c>
      <c r="E135" s="54" t="str" cm="1">
        <f t="array" ref="E135:F135">_xlfn.TEXTSPLIT(B135," ")</f>
        <v>rekha</v>
      </c>
      <c r="F135" s="54" t="str">
        <v>patil</v>
      </c>
      <c r="G135" s="54" t="str">
        <f t="shared" si="18"/>
        <v>Rekha Patil</v>
      </c>
      <c r="H135" s="54" t="str">
        <f t="shared" si="19"/>
        <v>rekha patil</v>
      </c>
    </row>
    <row r="136" ht="16.5" spans="1:8">
      <c r="A136" s="10" t="s">
        <v>295</v>
      </c>
      <c r="B136" s="10" t="s">
        <v>113</v>
      </c>
      <c r="C136" s="54">
        <f t="shared" si="16"/>
        <v>5</v>
      </c>
      <c r="D136" s="54" t="str">
        <f t="shared" si="17"/>
        <v>00179</v>
      </c>
      <c r="E136" s="54" t="str" cm="1">
        <f t="array" ref="E136:F136">_xlfn.TEXTSPLIT(B136," ")</f>
        <v>Ananya</v>
      </c>
      <c r="F136" s="54" t="str">
        <v>joshi</v>
      </c>
      <c r="G136" s="54" t="str">
        <f t="shared" si="18"/>
        <v>Ananya Joshi</v>
      </c>
      <c r="H136" s="54" t="str">
        <f t="shared" si="19"/>
        <v>Ananya joshi</v>
      </c>
    </row>
    <row r="137" ht="16.5" spans="1:8">
      <c r="A137" s="10" t="s">
        <v>296</v>
      </c>
      <c r="B137" s="10" t="s">
        <v>71</v>
      </c>
      <c r="C137" s="54">
        <f t="shared" si="16"/>
        <v>5</v>
      </c>
      <c r="D137" s="54" t="str">
        <f t="shared" si="17"/>
        <v>00060</v>
      </c>
      <c r="E137" s="54" t="str" cm="1">
        <f t="array" ref="E137:F137">_xlfn.TEXTSPLIT(B137," ")</f>
        <v>nikhil</v>
      </c>
      <c r="F137" s="54" t="str">
        <v>Shukla</v>
      </c>
      <c r="G137" s="54" t="str">
        <f t="shared" si="18"/>
        <v>Nikhil Shukla</v>
      </c>
      <c r="H137" s="54" t="str">
        <f t="shared" si="19"/>
        <v>nikhil Shukla</v>
      </c>
    </row>
    <row r="138" ht="16.5" spans="1:8">
      <c r="A138" s="10" t="s">
        <v>297</v>
      </c>
      <c r="B138" s="10" t="s">
        <v>177</v>
      </c>
      <c r="C138" s="54">
        <f t="shared" si="16"/>
        <v>5</v>
      </c>
      <c r="D138" s="54" t="str">
        <f t="shared" si="17"/>
        <v>00127</v>
      </c>
      <c r="E138" s="54" t="str" cm="1">
        <f t="array" ref="E138:F138">_xlfn.TEXTSPLIT(B138," ")</f>
        <v>manav</v>
      </c>
      <c r="F138" s="54" t="str">
        <v>Bajaj</v>
      </c>
      <c r="G138" s="54" t="str">
        <f t="shared" si="18"/>
        <v>Manav Bajaj</v>
      </c>
      <c r="H138" s="54" t="str">
        <f t="shared" si="19"/>
        <v>manav Bajaj</v>
      </c>
    </row>
    <row r="139" ht="16.5" spans="1:8">
      <c r="A139" s="10" t="s">
        <v>298</v>
      </c>
      <c r="B139" s="10" t="s">
        <v>230</v>
      </c>
      <c r="C139" s="54">
        <f t="shared" si="16"/>
        <v>5</v>
      </c>
      <c r="D139" s="54" t="str">
        <f t="shared" si="17"/>
        <v>00141</v>
      </c>
      <c r="E139" s="54" t="str" cm="1">
        <f t="array" ref="E139:F139">_xlfn.TEXTSPLIT(B139," ")</f>
        <v>raj</v>
      </c>
      <c r="F139" s="54" t="str">
        <v>dubey</v>
      </c>
      <c r="G139" s="54" t="str">
        <f t="shared" si="18"/>
        <v>Raj Dubey</v>
      </c>
      <c r="H139" s="54" t="str">
        <f t="shared" si="19"/>
        <v>raj dubey</v>
      </c>
    </row>
    <row r="140" ht="16.5" spans="1:8">
      <c r="A140" s="10" t="s">
        <v>299</v>
      </c>
      <c r="B140" s="10" t="s">
        <v>230</v>
      </c>
      <c r="C140" s="54">
        <f t="shared" si="16"/>
        <v>5</v>
      </c>
      <c r="D140" s="54" t="str">
        <f t="shared" si="17"/>
        <v>00193</v>
      </c>
      <c r="E140" s="54" t="str" cm="1">
        <f t="array" ref="E140:F140">_xlfn.TEXTSPLIT(B140," ")</f>
        <v>raj</v>
      </c>
      <c r="F140" s="54" t="str">
        <v>dubey</v>
      </c>
      <c r="G140" s="54" t="str">
        <f t="shared" si="18"/>
        <v>Raj Dubey</v>
      </c>
      <c r="H140" s="54" t="str">
        <f t="shared" si="19"/>
        <v>raj dubey</v>
      </c>
    </row>
    <row r="141" ht="16.5" spans="1:8">
      <c r="A141" s="10" t="s">
        <v>300</v>
      </c>
      <c r="B141" s="10" t="s">
        <v>65</v>
      </c>
      <c r="C141" s="54">
        <f t="shared" si="16"/>
        <v>5</v>
      </c>
      <c r="D141" s="54" t="str">
        <f t="shared" si="17"/>
        <v>00137</v>
      </c>
      <c r="E141" s="54" t="str" cm="1">
        <f t="array" ref="E141:F141">_xlfn.TEXTSPLIT(B141," ")</f>
        <v>raj</v>
      </c>
      <c r="F141" s="54" t="str">
        <v>joshi</v>
      </c>
      <c r="G141" s="54" t="str">
        <f t="shared" si="18"/>
        <v>Raj Joshi</v>
      </c>
      <c r="H141" s="54" t="str">
        <f t="shared" si="19"/>
        <v>raj joshi</v>
      </c>
    </row>
    <row r="142" ht="16.5" spans="1:8">
      <c r="A142" s="10" t="s">
        <v>301</v>
      </c>
      <c r="B142" s="10" t="s">
        <v>119</v>
      </c>
      <c r="C142" s="54">
        <f t="shared" si="16"/>
        <v>5</v>
      </c>
      <c r="D142" s="54" t="str">
        <f t="shared" si="17"/>
        <v>00012</v>
      </c>
      <c r="E142" s="54" t="str" cm="1">
        <f t="array" ref="E142:F142">_xlfn.TEXTSPLIT(B142," ")</f>
        <v>tarun</v>
      </c>
      <c r="F142" s="54" t="str">
        <v>pillai</v>
      </c>
      <c r="G142" s="54" t="str">
        <f t="shared" si="18"/>
        <v>Tarun Pillai</v>
      </c>
      <c r="H142" s="54" t="str">
        <f t="shared" si="19"/>
        <v>tarun pillai</v>
      </c>
    </row>
    <row r="143" ht="16.5" spans="1:8">
      <c r="A143" s="10" t="s">
        <v>302</v>
      </c>
      <c r="B143" s="10" t="s">
        <v>109</v>
      </c>
      <c r="C143" s="54">
        <f t="shared" si="16"/>
        <v>5</v>
      </c>
      <c r="D143" s="54" t="str">
        <f t="shared" si="17"/>
        <v>00029</v>
      </c>
      <c r="E143" s="54" t="str" cm="1">
        <f t="array" ref="E143:F143">_xlfn.TEXTSPLIT(B143," ")</f>
        <v>Tanya</v>
      </c>
      <c r="F143" s="54" t="str">
        <v>Wagh</v>
      </c>
      <c r="G143" s="54" t="str">
        <f t="shared" si="18"/>
        <v>Tanya Wagh</v>
      </c>
      <c r="H143" s="54" t="str">
        <f t="shared" si="19"/>
        <v>Tanya Wagh</v>
      </c>
    </row>
    <row r="144" ht="16.5" spans="1:8">
      <c r="A144" s="10" t="s">
        <v>303</v>
      </c>
      <c r="B144" s="10" t="s">
        <v>213</v>
      </c>
      <c r="C144" s="54">
        <f t="shared" si="16"/>
        <v>5</v>
      </c>
      <c r="D144" s="54" t="str">
        <f t="shared" si="17"/>
        <v>00102</v>
      </c>
      <c r="E144" s="54" t="str" cm="1">
        <f t="array" ref="E144:F144">_xlfn.TEXTSPLIT(B144," ")</f>
        <v>rekha</v>
      </c>
      <c r="F144" s="54" t="str">
        <v>patil</v>
      </c>
      <c r="G144" s="54" t="str">
        <f t="shared" si="18"/>
        <v>Rekha Patil</v>
      </c>
      <c r="H144" s="54" t="str">
        <f t="shared" si="19"/>
        <v>rekha patil</v>
      </c>
    </row>
    <row r="145" ht="16.5" spans="1:8">
      <c r="A145" s="10" t="s">
        <v>304</v>
      </c>
      <c r="B145" s="10" t="s">
        <v>155</v>
      </c>
      <c r="C145" s="54">
        <f t="shared" si="16"/>
        <v>5</v>
      </c>
      <c r="D145" s="54" t="str">
        <f t="shared" si="17"/>
        <v>00118</v>
      </c>
      <c r="E145" s="54" t="str" cm="1">
        <f t="array" ref="E145:F145">_xlfn.TEXTSPLIT(B145," ")</f>
        <v>KAVYA</v>
      </c>
      <c r="F145" s="54" t="str">
        <v>chauhan</v>
      </c>
      <c r="G145" s="54" t="str">
        <f t="shared" si="18"/>
        <v>Kavya Chauhan</v>
      </c>
      <c r="H145" s="54" t="str">
        <f t="shared" si="19"/>
        <v>KAVYA chauhan</v>
      </c>
    </row>
    <row r="146" ht="16.5" spans="1:8">
      <c r="A146" s="10" t="s">
        <v>305</v>
      </c>
      <c r="B146" s="10" t="s">
        <v>65</v>
      </c>
      <c r="C146" s="54">
        <f t="shared" si="16"/>
        <v>5</v>
      </c>
      <c r="D146" s="54" t="str">
        <f t="shared" si="17"/>
        <v>00051</v>
      </c>
      <c r="E146" s="54" t="str" cm="1">
        <f t="array" ref="E146:F146">_xlfn.TEXTSPLIT(B146," ")</f>
        <v>raj</v>
      </c>
      <c r="F146" s="54" t="str">
        <v>joshi</v>
      </c>
      <c r="G146" s="54" t="str">
        <f t="shared" si="18"/>
        <v>Raj Joshi</v>
      </c>
      <c r="H146" s="54" t="str">
        <f t="shared" si="19"/>
        <v>raj joshi</v>
      </c>
    </row>
    <row r="147" ht="16.5" spans="1:8">
      <c r="A147" s="10" t="s">
        <v>306</v>
      </c>
      <c r="B147" s="10" t="s">
        <v>65</v>
      </c>
      <c r="C147" s="54">
        <f t="shared" si="16"/>
        <v>5</v>
      </c>
      <c r="D147" s="54" t="str">
        <f t="shared" si="17"/>
        <v>00150</v>
      </c>
      <c r="E147" s="54" t="str" cm="1">
        <f t="array" ref="E147:F147">_xlfn.TEXTSPLIT(B147," ")</f>
        <v>raj</v>
      </c>
      <c r="F147" s="54" t="str">
        <v>joshi</v>
      </c>
      <c r="G147" s="54" t="str">
        <f t="shared" si="18"/>
        <v>Raj Joshi</v>
      </c>
      <c r="H147" s="54" t="str">
        <f t="shared" si="19"/>
        <v>raj joshi</v>
      </c>
    </row>
    <row r="148" ht="16.5" spans="1:8">
      <c r="A148" s="10" t="s">
        <v>97</v>
      </c>
      <c r="B148" s="10" t="s">
        <v>65</v>
      </c>
      <c r="C148" s="54">
        <f t="shared" si="16"/>
        <v>5</v>
      </c>
      <c r="D148" s="54" t="str">
        <f t="shared" si="17"/>
        <v>00001</v>
      </c>
      <c r="E148" s="54" t="str" cm="1">
        <f t="array" ref="E148:F148">_xlfn.TEXTSPLIT(B148," ")</f>
        <v>raj</v>
      </c>
      <c r="F148" s="54" t="str">
        <v>joshi</v>
      </c>
      <c r="G148" s="54" t="str">
        <f t="shared" si="18"/>
        <v>Raj Joshi</v>
      </c>
      <c r="H148" s="54" t="str">
        <f t="shared" si="19"/>
        <v>raj joshi</v>
      </c>
    </row>
    <row r="149" ht="16.5" spans="1:8">
      <c r="A149" s="10" t="s">
        <v>307</v>
      </c>
      <c r="B149" s="10" t="s">
        <v>182</v>
      </c>
      <c r="C149" s="54">
        <f t="shared" si="16"/>
        <v>5</v>
      </c>
      <c r="D149" s="54" t="str">
        <f t="shared" si="17"/>
        <v>00135</v>
      </c>
      <c r="E149" s="54" t="str" cm="1">
        <f t="array" ref="E149:F149">_xlfn.TEXTSPLIT(B149," ")</f>
        <v>SHREYA</v>
      </c>
      <c r="F149" s="54" t="str">
        <v>trivedi</v>
      </c>
      <c r="G149" s="54" t="str">
        <f t="shared" si="18"/>
        <v>Shreya Trivedi</v>
      </c>
      <c r="H149" s="54" t="str">
        <f t="shared" si="19"/>
        <v>SHREYA trivedi</v>
      </c>
    </row>
    <row r="150" ht="16.5" spans="1:8">
      <c r="A150" s="10" t="s">
        <v>308</v>
      </c>
      <c r="B150" s="10" t="s">
        <v>56</v>
      </c>
      <c r="C150" s="54">
        <f t="shared" si="16"/>
        <v>5</v>
      </c>
      <c r="D150" s="54" t="str">
        <f t="shared" si="17"/>
        <v>00085</v>
      </c>
      <c r="E150" s="54" t="str" cm="1">
        <f t="array" ref="E150:F150">_xlfn.TEXTSPLIT(B150," ")</f>
        <v>akash</v>
      </c>
      <c r="F150" s="54" t="str">
        <v>MISHRA</v>
      </c>
      <c r="G150" s="54" t="str">
        <f t="shared" si="18"/>
        <v>Akash Mishra</v>
      </c>
      <c r="H150" s="54" t="str">
        <f t="shared" si="19"/>
        <v>akash MISHRA</v>
      </c>
    </row>
    <row r="151" ht="16.5" spans="1:8">
      <c r="A151" s="10" t="s">
        <v>309</v>
      </c>
      <c r="B151" s="10" t="s">
        <v>109</v>
      </c>
      <c r="C151" s="54">
        <f t="shared" si="16"/>
        <v>5</v>
      </c>
      <c r="D151" s="54" t="str">
        <f t="shared" si="17"/>
        <v>00159</v>
      </c>
      <c r="E151" s="54" t="str" cm="1">
        <f t="array" ref="E151:F151">_xlfn.TEXTSPLIT(B151," ")</f>
        <v>Tanya</v>
      </c>
      <c r="F151" s="54" t="str">
        <v>Wagh</v>
      </c>
      <c r="G151" s="54" t="str">
        <f t="shared" si="18"/>
        <v>Tanya Wagh</v>
      </c>
      <c r="H151" s="54" t="str">
        <f t="shared" si="19"/>
        <v>Tanya Wagh</v>
      </c>
    </row>
    <row r="152" ht="16.5" spans="1:8">
      <c r="A152" s="10" t="s">
        <v>310</v>
      </c>
      <c r="B152" s="10" t="s">
        <v>94</v>
      </c>
      <c r="C152" s="54">
        <f t="shared" si="16"/>
        <v>5</v>
      </c>
      <c r="D152" s="54" t="str">
        <f t="shared" si="17"/>
        <v>00113</v>
      </c>
      <c r="E152" s="54" t="str" cm="1">
        <f t="array" ref="E152:F152">_xlfn.TEXTSPLIT(B152," ")</f>
        <v>KAVYA</v>
      </c>
      <c r="F152" s="54" t="str">
        <v>das</v>
      </c>
      <c r="G152" s="54" t="str">
        <f t="shared" si="18"/>
        <v>Kavya Das</v>
      </c>
      <c r="H152" s="54" t="str">
        <f t="shared" si="19"/>
        <v>KAVYA das</v>
      </c>
    </row>
    <row r="153" ht="16.5" spans="1:8">
      <c r="A153" s="10" t="s">
        <v>311</v>
      </c>
      <c r="B153" s="10" t="s">
        <v>194</v>
      </c>
      <c r="C153" s="54">
        <f t="shared" si="16"/>
        <v>5</v>
      </c>
      <c r="D153" s="54" t="str">
        <f t="shared" si="17"/>
        <v>00145</v>
      </c>
      <c r="E153" s="54" t="str" cm="1">
        <f t="array" ref="E153:F153">_xlfn.TEXTSPLIT(B153," ")</f>
        <v>saurav</v>
      </c>
      <c r="F153" s="54" t="str">
        <v>BOSE</v>
      </c>
      <c r="G153" s="54" t="str">
        <f t="shared" si="18"/>
        <v>Saurav Bose</v>
      </c>
      <c r="H153" s="54" t="str">
        <f t="shared" si="19"/>
        <v>saurav BOSE</v>
      </c>
    </row>
    <row r="154" ht="16.5" spans="1:8">
      <c r="A154" s="10" t="s">
        <v>312</v>
      </c>
      <c r="B154" s="10" t="s">
        <v>207</v>
      </c>
      <c r="C154" s="54">
        <f t="shared" si="16"/>
        <v>5</v>
      </c>
      <c r="D154" s="54" t="str">
        <f t="shared" si="17"/>
        <v>00082</v>
      </c>
      <c r="E154" s="54" t="str" cm="1">
        <f t="array" ref="E154:F154">_xlfn.TEXTSPLIT(B154," ")</f>
        <v>leena</v>
      </c>
      <c r="F154" s="54" t="str">
        <v>GAIKWAD</v>
      </c>
      <c r="G154" s="54" t="str">
        <f t="shared" si="18"/>
        <v>Leena Gaikwad</v>
      </c>
      <c r="H154" s="54" t="str">
        <f t="shared" si="19"/>
        <v>leena GAIKWAD</v>
      </c>
    </row>
    <row r="155" ht="16.5" spans="1:8">
      <c r="A155" s="10" t="s">
        <v>313</v>
      </c>
      <c r="B155" s="10" t="s">
        <v>92</v>
      </c>
      <c r="C155" s="54">
        <f t="shared" si="16"/>
        <v>5</v>
      </c>
      <c r="D155" s="54" t="str">
        <f t="shared" si="17"/>
        <v>00131</v>
      </c>
      <c r="E155" s="54" t="str" cm="1">
        <f t="array" ref="E155:F155">_xlfn.TEXTSPLIT(B155," ")</f>
        <v>sneha</v>
      </c>
      <c r="F155" s="54" t="str">
        <v>shah</v>
      </c>
      <c r="G155" s="54" t="str">
        <f t="shared" si="18"/>
        <v>Sneha Shah</v>
      </c>
      <c r="H155" s="54" t="str">
        <f t="shared" si="19"/>
        <v>sneha shah</v>
      </c>
    </row>
    <row r="156" ht="16.5" spans="1:8">
      <c r="A156" s="10" t="s">
        <v>314</v>
      </c>
      <c r="B156" s="10" t="s">
        <v>107</v>
      </c>
      <c r="C156" s="54">
        <f t="shared" si="16"/>
        <v>5</v>
      </c>
      <c r="D156" s="54" t="str">
        <f t="shared" si="17"/>
        <v>00148</v>
      </c>
      <c r="E156" s="54" t="str" cm="1">
        <f t="array" ref="E156:F156">_xlfn.TEXTSPLIT(B156," ")</f>
        <v>anjali</v>
      </c>
      <c r="F156" s="54" t="str">
        <v>Reddy</v>
      </c>
      <c r="G156" s="54" t="str">
        <f t="shared" si="18"/>
        <v>Anjali Reddy</v>
      </c>
      <c r="H156" s="54" t="str">
        <f t="shared" si="19"/>
        <v>anjali Reddy</v>
      </c>
    </row>
    <row r="157" ht="16.5" spans="1:8">
      <c r="A157" s="10" t="s">
        <v>315</v>
      </c>
      <c r="B157" s="10" t="s">
        <v>113</v>
      </c>
      <c r="C157" s="54">
        <f t="shared" si="16"/>
        <v>5</v>
      </c>
      <c r="D157" s="54" t="str">
        <f t="shared" si="17"/>
        <v>00165</v>
      </c>
      <c r="E157" s="54" t="str" cm="1">
        <f t="array" ref="E157:F157">_xlfn.TEXTSPLIT(B157," ")</f>
        <v>Ananya</v>
      </c>
      <c r="F157" s="54" t="str">
        <v>joshi</v>
      </c>
      <c r="G157" s="54" t="str">
        <f t="shared" si="18"/>
        <v>Ananya Joshi</v>
      </c>
      <c r="H157" s="54" t="str">
        <f t="shared" si="19"/>
        <v>Ananya joshi</v>
      </c>
    </row>
    <row r="158" ht="16.5" spans="1:8">
      <c r="A158" s="10" t="s">
        <v>316</v>
      </c>
      <c r="B158" s="10" t="s">
        <v>75</v>
      </c>
      <c r="C158" s="54">
        <f t="shared" si="16"/>
        <v>5</v>
      </c>
      <c r="D158" s="54" t="str">
        <f t="shared" si="17"/>
        <v>00047</v>
      </c>
      <c r="E158" s="54" t="str" cm="1">
        <f t="array" ref="E158:F158">_xlfn.TEXTSPLIT(B158," ")</f>
        <v>VARUN</v>
      </c>
      <c r="F158" s="54" t="str">
        <v>Mehta</v>
      </c>
      <c r="G158" s="54" t="str">
        <f t="shared" si="18"/>
        <v>Varun Mehta</v>
      </c>
      <c r="H158" s="54" t="str">
        <f t="shared" si="19"/>
        <v>VARUN Mehta</v>
      </c>
    </row>
    <row r="159" ht="16.5" spans="1:8">
      <c r="A159" s="10" t="s">
        <v>317</v>
      </c>
      <c r="B159" s="10" t="s">
        <v>123</v>
      </c>
      <c r="C159" s="54">
        <f t="shared" si="16"/>
        <v>5</v>
      </c>
      <c r="D159" s="54" t="str">
        <f t="shared" si="17"/>
        <v>00133</v>
      </c>
      <c r="E159" s="54" t="str" cm="1">
        <f t="array" ref="E159:F159">_xlfn.TEXTSPLIT(B159," ")</f>
        <v>aarav</v>
      </c>
      <c r="F159" s="54" t="str">
        <v>YADAV</v>
      </c>
      <c r="G159" s="54" t="str">
        <f t="shared" si="18"/>
        <v>Aarav Yadav</v>
      </c>
      <c r="H159" s="54" t="str">
        <f t="shared" si="19"/>
        <v>aarav YADAV</v>
      </c>
    </row>
    <row r="160" ht="16.5" spans="1:8">
      <c r="A160" s="10" t="s">
        <v>318</v>
      </c>
      <c r="B160" s="10" t="s">
        <v>46</v>
      </c>
      <c r="C160" s="54">
        <f t="shared" si="16"/>
        <v>5</v>
      </c>
      <c r="D160" s="54" t="str">
        <f t="shared" si="17"/>
        <v>00123</v>
      </c>
      <c r="E160" s="54" t="str" cm="1">
        <f t="array" ref="E160:F160">_xlfn.TEXTSPLIT(B160," ")</f>
        <v>rekha</v>
      </c>
      <c r="F160" s="54" t="str">
        <v>BOSE</v>
      </c>
      <c r="G160" s="54" t="str">
        <f t="shared" si="18"/>
        <v>Rekha Bose</v>
      </c>
      <c r="H160" s="54" t="str">
        <f t="shared" si="19"/>
        <v>rekha BOSE</v>
      </c>
    </row>
    <row r="161" ht="16.5" spans="1:8">
      <c r="A161" s="10" t="s">
        <v>319</v>
      </c>
      <c r="B161" s="10" t="s">
        <v>41</v>
      </c>
      <c r="C161" s="54">
        <f t="shared" si="16"/>
        <v>5</v>
      </c>
      <c r="D161" s="54" t="str">
        <f t="shared" si="17"/>
        <v>00044</v>
      </c>
      <c r="E161" s="54" t="str" cm="1">
        <f t="array" ref="E161:F161">_xlfn.TEXTSPLIT(B161," ")</f>
        <v>nitin</v>
      </c>
      <c r="F161" s="54" t="str">
        <v>Wagh</v>
      </c>
      <c r="G161" s="54" t="str">
        <f t="shared" si="18"/>
        <v>Nitin Wagh</v>
      </c>
      <c r="H161" s="54" t="str">
        <f t="shared" si="19"/>
        <v>nitin Wagh</v>
      </c>
    </row>
    <row r="162" ht="16.5" spans="1:8">
      <c r="A162" s="10" t="s">
        <v>320</v>
      </c>
      <c r="B162" s="10" t="s">
        <v>113</v>
      </c>
      <c r="C162" s="54">
        <f t="shared" si="16"/>
        <v>5</v>
      </c>
      <c r="D162" s="54" t="str">
        <f t="shared" si="17"/>
        <v>00109</v>
      </c>
      <c r="E162" s="54" t="str" cm="1">
        <f t="array" ref="E162:F162">_xlfn.TEXTSPLIT(B162," ")</f>
        <v>Ananya</v>
      </c>
      <c r="F162" s="54" t="str">
        <v>joshi</v>
      </c>
      <c r="G162" s="54" t="str">
        <f t="shared" si="18"/>
        <v>Ananya Joshi</v>
      </c>
      <c r="H162" s="54" t="str">
        <f t="shared" si="19"/>
        <v>Ananya joshi</v>
      </c>
    </row>
    <row r="163" ht="16.5" spans="1:8">
      <c r="A163" s="10" t="s">
        <v>321</v>
      </c>
      <c r="B163" s="10" t="s">
        <v>243</v>
      </c>
      <c r="C163" s="54">
        <f t="shared" ref="C163:C201" si="20">FIND($I$1,A163)</f>
        <v>5</v>
      </c>
      <c r="D163" s="54" t="str">
        <f t="shared" ref="D163:D201" si="21">MID(A163,10,5)</f>
        <v>00142</v>
      </c>
      <c r="E163" s="54" t="str" cm="1">
        <f t="array" ref="E163:F163">_xlfn.TEXTSPLIT(B163," ")</f>
        <v>Divya</v>
      </c>
      <c r="F163" s="54" t="str">
        <v>Rao</v>
      </c>
      <c r="G163" s="54" t="str">
        <f t="shared" ref="G163:G201" si="22">PROPER(B163)</f>
        <v>Divya Rao</v>
      </c>
      <c r="H163" s="54" t="str">
        <f t="shared" ref="H163:H201" si="23">TRIM(B163)</f>
        <v>Divya Rao</v>
      </c>
    </row>
    <row r="164" ht="16.5" spans="1:8">
      <c r="A164" s="10" t="s">
        <v>322</v>
      </c>
      <c r="B164" s="10" t="s">
        <v>191</v>
      </c>
      <c r="C164" s="54">
        <f t="shared" si="20"/>
        <v>5</v>
      </c>
      <c r="D164" s="54" t="str">
        <f t="shared" si="21"/>
        <v>00068</v>
      </c>
      <c r="E164" s="54" t="str" cm="1">
        <f t="array" ref="E164:F164">_xlfn.TEXTSPLIT(B164," ")</f>
        <v>PRIYA</v>
      </c>
      <c r="F164" s="54" t="str">
        <v>NAIR</v>
      </c>
      <c r="G164" s="54" t="str">
        <f t="shared" si="22"/>
        <v>Priya Nair</v>
      </c>
      <c r="H164" s="54" t="str">
        <f t="shared" si="23"/>
        <v>PRIYA NAIR</v>
      </c>
    </row>
    <row r="165" ht="16.5" spans="1:8">
      <c r="A165" s="10" t="s">
        <v>323</v>
      </c>
      <c r="B165" s="10" t="s">
        <v>324</v>
      </c>
      <c r="C165" s="54">
        <f t="shared" si="20"/>
        <v>5</v>
      </c>
      <c r="D165" s="54" t="str">
        <f t="shared" si="21"/>
        <v>00049</v>
      </c>
      <c r="E165" s="54" t="str" cm="1">
        <f t="array" ref="E165:F165">_xlfn.TEXTSPLIT(B165," ")</f>
        <v>NISHA</v>
      </c>
      <c r="F165" s="54" t="str">
        <v>shah</v>
      </c>
      <c r="G165" s="54" t="str">
        <f t="shared" si="22"/>
        <v>Nisha Shah</v>
      </c>
      <c r="H165" s="54" t="str">
        <f t="shared" si="23"/>
        <v>NISHA shah</v>
      </c>
    </row>
    <row r="166" ht="16.5" spans="1:8">
      <c r="A166" s="10" t="s">
        <v>325</v>
      </c>
      <c r="B166" s="10" t="s">
        <v>119</v>
      </c>
      <c r="C166" s="54">
        <f t="shared" si="20"/>
        <v>5</v>
      </c>
      <c r="D166" s="54" t="str">
        <f t="shared" si="21"/>
        <v>00052</v>
      </c>
      <c r="E166" s="54" t="str" cm="1">
        <f t="array" ref="E166:F166">_xlfn.TEXTSPLIT(B166," ")</f>
        <v>tarun</v>
      </c>
      <c r="F166" s="54" t="str">
        <v>pillai</v>
      </c>
      <c r="G166" s="54" t="str">
        <f t="shared" si="22"/>
        <v>Tarun Pillai</v>
      </c>
      <c r="H166" s="54" t="str">
        <f t="shared" si="23"/>
        <v>tarun pillai</v>
      </c>
    </row>
    <row r="167" ht="16.5" spans="1:8">
      <c r="A167" s="10" t="s">
        <v>326</v>
      </c>
      <c r="B167" s="10" t="s">
        <v>127</v>
      </c>
      <c r="C167" s="54">
        <f t="shared" si="20"/>
        <v>5</v>
      </c>
      <c r="D167" s="54" t="str">
        <f t="shared" si="21"/>
        <v>00069</v>
      </c>
      <c r="E167" s="54" t="str" cm="1">
        <f t="array" ref="E167:F167">_xlfn.TEXTSPLIT(B167," ")</f>
        <v>Zara</v>
      </c>
      <c r="F167" s="54" t="str">
        <v>GAIKWAD</v>
      </c>
      <c r="G167" s="54" t="str">
        <f t="shared" si="22"/>
        <v>Zara Gaikwad</v>
      </c>
      <c r="H167" s="54" t="str">
        <f t="shared" si="23"/>
        <v>Zara GAIKWAD</v>
      </c>
    </row>
    <row r="168" ht="16.5" spans="1:8">
      <c r="A168" s="10" t="s">
        <v>327</v>
      </c>
      <c r="B168" s="10" t="s">
        <v>119</v>
      </c>
      <c r="C168" s="54">
        <f t="shared" si="20"/>
        <v>5</v>
      </c>
      <c r="D168" s="54" t="str">
        <f t="shared" si="21"/>
        <v>00192</v>
      </c>
      <c r="E168" s="54" t="str" cm="1">
        <f t="array" ref="E168:F168">_xlfn.TEXTSPLIT(B168," ")</f>
        <v>tarun</v>
      </c>
      <c r="F168" s="54" t="str">
        <v>pillai</v>
      </c>
      <c r="G168" s="54" t="str">
        <f t="shared" si="22"/>
        <v>Tarun Pillai</v>
      </c>
      <c r="H168" s="54" t="str">
        <f t="shared" si="23"/>
        <v>tarun pillai</v>
      </c>
    </row>
    <row r="169" ht="16.5" spans="1:8">
      <c r="A169" s="10" t="s">
        <v>328</v>
      </c>
      <c r="B169" s="10" t="s">
        <v>94</v>
      </c>
      <c r="C169" s="54">
        <f t="shared" si="20"/>
        <v>5</v>
      </c>
      <c r="D169" s="54" t="str">
        <f t="shared" si="21"/>
        <v>00187</v>
      </c>
      <c r="E169" s="54" t="str" cm="1">
        <f t="array" ref="E169:F169">_xlfn.TEXTSPLIT(B169," ")</f>
        <v>KAVYA</v>
      </c>
      <c r="F169" s="54" t="str">
        <v>das</v>
      </c>
      <c r="G169" s="54" t="str">
        <f t="shared" si="22"/>
        <v>Kavya Das</v>
      </c>
      <c r="H169" s="54" t="str">
        <f t="shared" si="23"/>
        <v>KAVYA das</v>
      </c>
    </row>
    <row r="170" ht="16.5" spans="1:8">
      <c r="A170" s="10" t="s">
        <v>329</v>
      </c>
      <c r="B170" s="10" t="s">
        <v>127</v>
      </c>
      <c r="C170" s="54">
        <f t="shared" si="20"/>
        <v>5</v>
      </c>
      <c r="D170" s="54" t="str">
        <f t="shared" si="21"/>
        <v>00129</v>
      </c>
      <c r="E170" s="54" t="str" cm="1">
        <f t="array" ref="E170:F170">_xlfn.TEXTSPLIT(B170," ")</f>
        <v>Zara</v>
      </c>
      <c r="F170" s="54" t="str">
        <v>GAIKWAD</v>
      </c>
      <c r="G170" s="54" t="str">
        <f t="shared" si="22"/>
        <v>Zara Gaikwad</v>
      </c>
      <c r="H170" s="54" t="str">
        <f t="shared" si="23"/>
        <v>Zara GAIKWAD</v>
      </c>
    </row>
    <row r="171" ht="16.5" spans="1:8">
      <c r="A171" s="10" t="s">
        <v>138</v>
      </c>
      <c r="B171" s="10" t="s">
        <v>65</v>
      </c>
      <c r="C171" s="54">
        <f t="shared" si="20"/>
        <v>5</v>
      </c>
      <c r="D171" s="54" t="str">
        <f t="shared" si="21"/>
        <v>00006</v>
      </c>
      <c r="E171" s="54" t="str" cm="1">
        <f t="array" ref="E171:F171">_xlfn.TEXTSPLIT(B171," ")</f>
        <v>raj</v>
      </c>
      <c r="F171" s="54" t="str">
        <v>joshi</v>
      </c>
      <c r="G171" s="54" t="str">
        <f t="shared" si="22"/>
        <v>Raj Joshi</v>
      </c>
      <c r="H171" s="54" t="str">
        <f t="shared" si="23"/>
        <v>raj joshi</v>
      </c>
    </row>
    <row r="172" ht="16.5" spans="1:8">
      <c r="A172" s="10" t="s">
        <v>330</v>
      </c>
      <c r="B172" s="10" t="s">
        <v>165</v>
      </c>
      <c r="C172" s="54">
        <f t="shared" si="20"/>
        <v>5</v>
      </c>
      <c r="D172" s="54" t="str">
        <f t="shared" si="21"/>
        <v>00031</v>
      </c>
      <c r="E172" s="54" t="str" cm="1">
        <f t="array" ref="E172:F172">_xlfn.TEXTSPLIT(B172," ")</f>
        <v>aarav</v>
      </c>
      <c r="F172" s="54" t="str">
        <v>AGARWAL</v>
      </c>
      <c r="G172" s="54" t="str">
        <f t="shared" si="22"/>
        <v>Aarav Agarwal</v>
      </c>
      <c r="H172" s="54" t="str">
        <f t="shared" si="23"/>
        <v>aarav AGARWAL</v>
      </c>
    </row>
    <row r="173" ht="16.5" spans="1:8">
      <c r="A173" s="10" t="s">
        <v>277</v>
      </c>
      <c r="B173" s="10" t="s">
        <v>29</v>
      </c>
      <c r="C173" s="54">
        <f t="shared" si="20"/>
        <v>5</v>
      </c>
      <c r="D173" s="54" t="str">
        <f t="shared" si="21"/>
        <v>00039</v>
      </c>
      <c r="E173" s="54" t="str" cm="1">
        <f t="array" ref="E173:F173">_xlfn.TEXTSPLIT(B173," ")</f>
        <v>SHREYA</v>
      </c>
      <c r="F173" s="54" t="str">
        <v>GHOSH</v>
      </c>
      <c r="G173" s="54" t="str">
        <f t="shared" si="22"/>
        <v>Shreya Ghosh</v>
      </c>
      <c r="H173" s="54" t="str">
        <f t="shared" si="23"/>
        <v>SHREYA GHOSH</v>
      </c>
    </row>
    <row r="174" ht="16.5" spans="1:8">
      <c r="A174" s="10" t="s">
        <v>331</v>
      </c>
      <c r="B174" s="10" t="s">
        <v>155</v>
      </c>
      <c r="C174" s="54">
        <f t="shared" si="20"/>
        <v>5</v>
      </c>
      <c r="D174" s="54" t="str">
        <f t="shared" si="21"/>
        <v>00174</v>
      </c>
      <c r="E174" s="54" t="str" cm="1">
        <f t="array" ref="E174:F174">_xlfn.TEXTSPLIT(B174," ")</f>
        <v>KAVYA</v>
      </c>
      <c r="F174" s="54" t="str">
        <v>chauhan</v>
      </c>
      <c r="G174" s="54" t="str">
        <f t="shared" si="22"/>
        <v>Kavya Chauhan</v>
      </c>
      <c r="H174" s="54" t="str">
        <f t="shared" si="23"/>
        <v>KAVYA chauhan</v>
      </c>
    </row>
    <row r="175" ht="16.5" spans="1:8">
      <c r="A175" s="10" t="s">
        <v>332</v>
      </c>
      <c r="B175" s="10" t="s">
        <v>119</v>
      </c>
      <c r="C175" s="54">
        <f t="shared" si="20"/>
        <v>5</v>
      </c>
      <c r="D175" s="54" t="str">
        <f t="shared" si="21"/>
        <v>00083</v>
      </c>
      <c r="E175" s="54" t="str" cm="1">
        <f t="array" ref="E175:F175">_xlfn.TEXTSPLIT(B175," ")</f>
        <v>tarun</v>
      </c>
      <c r="F175" s="54" t="str">
        <v>pillai</v>
      </c>
      <c r="G175" s="54" t="str">
        <f t="shared" si="22"/>
        <v>Tarun Pillai</v>
      </c>
      <c r="H175" s="54" t="str">
        <f t="shared" si="23"/>
        <v>tarun pillai</v>
      </c>
    </row>
    <row r="176" ht="16.5" spans="1:8">
      <c r="A176" s="10" t="s">
        <v>333</v>
      </c>
      <c r="B176" s="10" t="s">
        <v>65</v>
      </c>
      <c r="C176" s="54">
        <f t="shared" si="20"/>
        <v>5</v>
      </c>
      <c r="D176" s="54" t="str">
        <f t="shared" si="21"/>
        <v>00021</v>
      </c>
      <c r="E176" s="54" t="str" cm="1">
        <f t="array" ref="E176:F176">_xlfn.TEXTSPLIT(B176," ")</f>
        <v>raj</v>
      </c>
      <c r="F176" s="54" t="str">
        <v>joshi</v>
      </c>
      <c r="G176" s="54" t="str">
        <f t="shared" si="22"/>
        <v>Raj Joshi</v>
      </c>
      <c r="H176" s="54" t="str">
        <f t="shared" si="23"/>
        <v>raj joshi</v>
      </c>
    </row>
    <row r="177" ht="16.5" spans="1:8">
      <c r="A177" s="10" t="s">
        <v>334</v>
      </c>
      <c r="B177" s="10" t="s">
        <v>113</v>
      </c>
      <c r="C177" s="54">
        <f t="shared" si="20"/>
        <v>5</v>
      </c>
      <c r="D177" s="54" t="str">
        <f t="shared" si="21"/>
        <v>00061</v>
      </c>
      <c r="E177" s="54" t="str" cm="1">
        <f t="array" ref="E177:F177">_xlfn.TEXTSPLIT(B177," ")</f>
        <v>Ananya</v>
      </c>
      <c r="F177" s="54" t="str">
        <v>joshi</v>
      </c>
      <c r="G177" s="54" t="str">
        <f t="shared" si="22"/>
        <v>Ananya Joshi</v>
      </c>
      <c r="H177" s="54" t="str">
        <f t="shared" si="23"/>
        <v>Ananya joshi</v>
      </c>
    </row>
    <row r="178" ht="16.5" spans="1:8">
      <c r="A178" s="10" t="s">
        <v>335</v>
      </c>
      <c r="B178" s="10" t="s">
        <v>123</v>
      </c>
      <c r="C178" s="54">
        <f t="shared" si="20"/>
        <v>5</v>
      </c>
      <c r="D178" s="54" t="str">
        <f t="shared" si="21"/>
        <v>00056</v>
      </c>
      <c r="E178" s="54" t="str" cm="1">
        <f t="array" ref="E178:F178">_xlfn.TEXTSPLIT(B178," ")</f>
        <v>aarav</v>
      </c>
      <c r="F178" s="54" t="str">
        <v>YADAV</v>
      </c>
      <c r="G178" s="54" t="str">
        <f t="shared" si="22"/>
        <v>Aarav Yadav</v>
      </c>
      <c r="H178" s="54" t="str">
        <f t="shared" si="23"/>
        <v>aarav YADAV</v>
      </c>
    </row>
    <row r="179" ht="16.5" spans="1:8">
      <c r="A179" s="10" t="s">
        <v>336</v>
      </c>
      <c r="B179" s="10" t="s">
        <v>210</v>
      </c>
      <c r="C179" s="54">
        <f t="shared" si="20"/>
        <v>5</v>
      </c>
      <c r="D179" s="54" t="str">
        <f t="shared" si="21"/>
        <v>00185</v>
      </c>
      <c r="E179" s="54" t="str" cm="1">
        <f t="array" ref="E179:F179">_xlfn.TEXTSPLIT(B179," ")</f>
        <v>simran</v>
      </c>
      <c r="F179" s="54" t="str">
        <v>Bajaj</v>
      </c>
      <c r="G179" s="54" t="str">
        <f t="shared" si="22"/>
        <v>Simran Bajaj</v>
      </c>
      <c r="H179" s="54" t="str">
        <f t="shared" si="23"/>
        <v>simran Bajaj</v>
      </c>
    </row>
    <row r="180" ht="16.5" spans="1:8">
      <c r="A180" s="10" t="s">
        <v>337</v>
      </c>
      <c r="B180" s="10" t="s">
        <v>56</v>
      </c>
      <c r="C180" s="54">
        <f t="shared" si="20"/>
        <v>5</v>
      </c>
      <c r="D180" s="54" t="str">
        <f t="shared" si="21"/>
        <v>00104</v>
      </c>
      <c r="E180" s="54" t="str" cm="1">
        <f t="array" ref="E180:F180">_xlfn.TEXTSPLIT(B180," ")</f>
        <v>akash</v>
      </c>
      <c r="F180" s="54" t="str">
        <v>MISHRA</v>
      </c>
      <c r="G180" s="54" t="str">
        <f t="shared" si="22"/>
        <v>Akash Mishra</v>
      </c>
      <c r="H180" s="54" t="str">
        <f t="shared" si="23"/>
        <v>akash MISHRA</v>
      </c>
    </row>
    <row r="181" ht="16.5" spans="1:8">
      <c r="A181" s="10" t="s">
        <v>338</v>
      </c>
      <c r="B181" s="10" t="s">
        <v>107</v>
      </c>
      <c r="C181" s="54">
        <f t="shared" si="20"/>
        <v>5</v>
      </c>
      <c r="D181" s="54" t="str">
        <f t="shared" si="21"/>
        <v>00005</v>
      </c>
      <c r="E181" s="54" t="str" cm="1">
        <f t="array" ref="E181:F181">_xlfn.TEXTSPLIT(B181," ")</f>
        <v>anjali</v>
      </c>
      <c r="F181" s="54" t="str">
        <v>Reddy</v>
      </c>
      <c r="G181" s="54" t="str">
        <f t="shared" si="22"/>
        <v>Anjali Reddy</v>
      </c>
      <c r="H181" s="54" t="str">
        <f t="shared" si="23"/>
        <v>anjali Reddy</v>
      </c>
    </row>
    <row r="182" ht="16.5" spans="1:8">
      <c r="A182" s="10" t="s">
        <v>339</v>
      </c>
      <c r="B182" s="10" t="s">
        <v>340</v>
      </c>
      <c r="C182" s="54">
        <f t="shared" si="20"/>
        <v>5</v>
      </c>
      <c r="D182" s="54" t="str">
        <f t="shared" si="21"/>
        <v>00004</v>
      </c>
      <c r="E182" s="54" t="str" cm="1">
        <f t="array" ref="E182:F182">_xlfn.TEXTSPLIT(B182," ")</f>
        <v>Pooja</v>
      </c>
      <c r="F182" s="54" t="str">
        <v>Tiwari</v>
      </c>
      <c r="G182" s="54" t="str">
        <f t="shared" si="22"/>
        <v>Pooja Tiwari</v>
      </c>
      <c r="H182" s="54" t="str">
        <f t="shared" si="23"/>
        <v>Pooja Tiwari</v>
      </c>
    </row>
    <row r="183" ht="16.5" spans="1:8">
      <c r="A183" s="10" t="s">
        <v>259</v>
      </c>
      <c r="B183" s="10" t="s">
        <v>65</v>
      </c>
      <c r="C183" s="54">
        <f t="shared" si="20"/>
        <v>5</v>
      </c>
      <c r="D183" s="54" t="str">
        <f t="shared" si="21"/>
        <v>00089</v>
      </c>
      <c r="E183" s="54" t="str" cm="1">
        <f t="array" ref="E183:F183">_xlfn.TEXTSPLIT(B183," ")</f>
        <v>raj</v>
      </c>
      <c r="F183" s="54" t="str">
        <v>joshi</v>
      </c>
      <c r="G183" s="54" t="str">
        <f t="shared" si="22"/>
        <v>Raj Joshi</v>
      </c>
      <c r="H183" s="54" t="str">
        <f t="shared" si="23"/>
        <v>raj joshi</v>
      </c>
    </row>
    <row r="184" ht="16.5" spans="1:8">
      <c r="A184" s="10" t="s">
        <v>341</v>
      </c>
      <c r="B184" s="10" t="s">
        <v>324</v>
      </c>
      <c r="C184" s="54">
        <f t="shared" si="20"/>
        <v>5</v>
      </c>
      <c r="D184" s="54" t="str">
        <f t="shared" si="21"/>
        <v>00128</v>
      </c>
      <c r="E184" s="54" t="str" cm="1">
        <f t="array" ref="E184:F184">_xlfn.TEXTSPLIT(B184," ")</f>
        <v>NISHA</v>
      </c>
      <c r="F184" s="54" t="str">
        <v>shah</v>
      </c>
      <c r="G184" s="54" t="str">
        <f t="shared" si="22"/>
        <v>Nisha Shah</v>
      </c>
      <c r="H184" s="54" t="str">
        <f t="shared" si="23"/>
        <v>NISHA shah</v>
      </c>
    </row>
    <row r="185" ht="16.5" spans="1:8">
      <c r="A185" s="10" t="s">
        <v>342</v>
      </c>
      <c r="B185" s="10" t="s">
        <v>173</v>
      </c>
      <c r="C185" s="54">
        <f t="shared" si="20"/>
        <v>5</v>
      </c>
      <c r="D185" s="54" t="str">
        <f t="shared" si="21"/>
        <v>00167</v>
      </c>
      <c r="E185" s="54" t="str" cm="1">
        <f t="array" ref="E185:F185">_xlfn.TEXTSPLIT(B185," ")</f>
        <v>jyoti</v>
      </c>
      <c r="F185" s="54" t="str">
        <v>joshi</v>
      </c>
      <c r="G185" s="54" t="str">
        <f t="shared" si="22"/>
        <v>Jyoti Joshi</v>
      </c>
      <c r="H185" s="54" t="str">
        <f t="shared" si="23"/>
        <v>jyoti joshi</v>
      </c>
    </row>
    <row r="186" ht="16.5" spans="1:8">
      <c r="A186" s="10" t="s">
        <v>301</v>
      </c>
      <c r="B186" s="10" t="s">
        <v>71</v>
      </c>
      <c r="C186" s="54">
        <f t="shared" si="20"/>
        <v>5</v>
      </c>
      <c r="D186" s="54" t="str">
        <f t="shared" si="21"/>
        <v>00012</v>
      </c>
      <c r="E186" s="54" t="str" cm="1">
        <f t="array" ref="E186:F186">_xlfn.TEXTSPLIT(B186," ")</f>
        <v>nikhil</v>
      </c>
      <c r="F186" s="54" t="str">
        <v>Shukla</v>
      </c>
      <c r="G186" s="54" t="str">
        <f t="shared" si="22"/>
        <v>Nikhil Shukla</v>
      </c>
      <c r="H186" s="54" t="str">
        <f t="shared" si="23"/>
        <v>nikhil Shukla</v>
      </c>
    </row>
    <row r="187" ht="16.5" spans="1:8">
      <c r="A187" s="10" t="s">
        <v>271</v>
      </c>
      <c r="B187" s="10" t="s">
        <v>167</v>
      </c>
      <c r="C187" s="54">
        <f t="shared" si="20"/>
        <v>5</v>
      </c>
      <c r="D187" s="54" t="str">
        <f t="shared" si="21"/>
        <v>00096</v>
      </c>
      <c r="E187" s="54" vm="1" t="e" cm="1">
        <f ca="1" t="array" ref="E187">_xlfn.TEXTSPLIT(B187," ")</f>
        <v>#VALUE!</v>
      </c>
      <c r="F187" s="54"/>
      <c r="G187" s="54" t="str">
        <f t="shared" si="22"/>
        <v>Alok  Joshi</v>
      </c>
      <c r="H187" s="54" t="str">
        <f t="shared" si="23"/>
        <v>alok joshi</v>
      </c>
    </row>
    <row r="188" ht="16.5" spans="1:8">
      <c r="A188" s="10" t="s">
        <v>343</v>
      </c>
      <c r="B188" s="10" t="s">
        <v>340</v>
      </c>
      <c r="C188" s="54">
        <f t="shared" si="20"/>
        <v>5</v>
      </c>
      <c r="D188" s="54" t="str">
        <f t="shared" si="21"/>
        <v>00166</v>
      </c>
      <c r="E188" s="54" t="str" cm="1">
        <f t="array" ref="E188:F188">_xlfn.TEXTSPLIT(B188," ")</f>
        <v>Pooja</v>
      </c>
      <c r="F188" s="54" t="str">
        <v>Tiwari</v>
      </c>
      <c r="G188" s="54" t="str">
        <f t="shared" si="22"/>
        <v>Pooja Tiwari</v>
      </c>
      <c r="H188" s="54" t="str">
        <f t="shared" si="23"/>
        <v>Pooja Tiwari</v>
      </c>
    </row>
    <row r="189" ht="16.5" spans="1:8">
      <c r="A189" s="10" t="s">
        <v>344</v>
      </c>
      <c r="B189" s="10" t="s">
        <v>184</v>
      </c>
      <c r="C189" s="54">
        <f t="shared" si="20"/>
        <v>5</v>
      </c>
      <c r="D189" s="54" t="str">
        <f t="shared" si="21"/>
        <v>00003</v>
      </c>
      <c r="E189" s="54" t="str" cm="1">
        <f t="array" ref="E189:F189">_xlfn.TEXTSPLIT(B189," ")</f>
        <v>RIYA</v>
      </c>
      <c r="F189" s="54" t="str">
        <v>bhatnagar</v>
      </c>
      <c r="G189" s="54" t="str">
        <f t="shared" si="22"/>
        <v>Riya Bhatnagar</v>
      </c>
      <c r="H189" s="54" t="str">
        <f t="shared" si="23"/>
        <v>RIYA bhatnagar</v>
      </c>
    </row>
    <row r="190" ht="16.5" spans="1:8">
      <c r="A190" s="10" t="s">
        <v>345</v>
      </c>
      <c r="B190" s="10" t="s">
        <v>119</v>
      </c>
      <c r="C190" s="54">
        <f t="shared" si="20"/>
        <v>5</v>
      </c>
      <c r="D190" s="54" t="str">
        <f t="shared" si="21"/>
        <v>00041</v>
      </c>
      <c r="E190" s="54" t="str" cm="1">
        <f t="array" ref="E190:F190">_xlfn.TEXTSPLIT(B190," ")</f>
        <v>tarun</v>
      </c>
      <c r="F190" s="54" t="str">
        <v>pillai</v>
      </c>
      <c r="G190" s="54" t="str">
        <f t="shared" si="22"/>
        <v>Tarun Pillai</v>
      </c>
      <c r="H190" s="54" t="str">
        <f t="shared" si="23"/>
        <v>tarun pillai</v>
      </c>
    </row>
    <row r="191" ht="16.5" spans="1:8">
      <c r="A191" s="10" t="s">
        <v>346</v>
      </c>
      <c r="B191" s="10" t="s">
        <v>191</v>
      </c>
      <c r="C191" s="54">
        <f t="shared" si="20"/>
        <v>5</v>
      </c>
      <c r="D191" s="54" t="str">
        <f t="shared" si="21"/>
        <v>00112</v>
      </c>
      <c r="E191" s="54" t="str" cm="1">
        <f t="array" ref="E191:F191">_xlfn.TEXTSPLIT(B191," ")</f>
        <v>PRIYA</v>
      </c>
      <c r="F191" s="54" t="str">
        <v>NAIR</v>
      </c>
      <c r="G191" s="54" t="str">
        <f t="shared" si="22"/>
        <v>Priya Nair</v>
      </c>
      <c r="H191" s="54" t="str">
        <f t="shared" si="23"/>
        <v>PRIYA NAIR</v>
      </c>
    </row>
    <row r="192" ht="16.5" spans="1:8">
      <c r="A192" s="10" t="s">
        <v>347</v>
      </c>
      <c r="B192" s="10" t="s">
        <v>129</v>
      </c>
      <c r="C192" s="54">
        <f t="shared" si="20"/>
        <v>5</v>
      </c>
      <c r="D192" s="54" t="str">
        <f t="shared" si="21"/>
        <v>00156</v>
      </c>
      <c r="E192" s="54" t="str" cm="1">
        <f t="array" ref="E192:F192">_xlfn.TEXTSPLIT(B192," ")</f>
        <v>Rohan</v>
      </c>
      <c r="F192" s="54" t="str">
        <v>GUPTA</v>
      </c>
      <c r="G192" s="54" t="str">
        <f t="shared" si="22"/>
        <v>Rohan Gupta</v>
      </c>
      <c r="H192" s="54" t="str">
        <f t="shared" si="23"/>
        <v>Rohan GUPTA</v>
      </c>
    </row>
    <row r="193" ht="16.5" spans="1:8">
      <c r="A193" s="10" t="s">
        <v>348</v>
      </c>
      <c r="B193" s="10" t="s">
        <v>94</v>
      </c>
      <c r="C193" s="54">
        <f t="shared" si="20"/>
        <v>5</v>
      </c>
      <c r="D193" s="54" t="str">
        <f t="shared" si="21"/>
        <v>00140</v>
      </c>
      <c r="E193" s="54" t="str" cm="1">
        <f t="array" ref="E193:F193">_xlfn.TEXTSPLIT(B193," ")</f>
        <v>KAVYA</v>
      </c>
      <c r="F193" s="54" t="str">
        <v>das</v>
      </c>
      <c r="G193" s="54" t="str">
        <f t="shared" si="22"/>
        <v>Kavya Das</v>
      </c>
      <c r="H193" s="54" t="str">
        <f t="shared" si="23"/>
        <v>KAVYA das</v>
      </c>
    </row>
    <row r="194" ht="16.5" spans="1:8">
      <c r="A194" s="10" t="s">
        <v>349</v>
      </c>
      <c r="B194" s="10" t="s">
        <v>205</v>
      </c>
      <c r="C194" s="54">
        <f t="shared" si="20"/>
        <v>5</v>
      </c>
      <c r="D194" s="54" t="str">
        <f t="shared" si="21"/>
        <v>00016</v>
      </c>
      <c r="E194" s="54" t="str" cm="1">
        <f t="array" ref="E194:F194">_xlfn.TEXTSPLIT(B194," ")</f>
        <v>anjali</v>
      </c>
      <c r="F194" s="54" t="str">
        <v>More</v>
      </c>
      <c r="G194" s="54" t="str">
        <f t="shared" si="22"/>
        <v>Anjali More</v>
      </c>
      <c r="H194" s="54" t="str">
        <f t="shared" si="23"/>
        <v>anjali More</v>
      </c>
    </row>
    <row r="195" ht="16.5" spans="1:8">
      <c r="A195" s="10" t="s">
        <v>350</v>
      </c>
      <c r="B195" s="10" t="s">
        <v>205</v>
      </c>
      <c r="C195" s="54">
        <f t="shared" si="20"/>
        <v>5</v>
      </c>
      <c r="D195" s="54" t="str">
        <f t="shared" si="21"/>
        <v>00002</v>
      </c>
      <c r="E195" s="54" t="str" cm="1">
        <f t="array" ref="E195:F195">_xlfn.TEXTSPLIT(B195," ")</f>
        <v>anjali</v>
      </c>
      <c r="F195" s="54" t="str">
        <v>More</v>
      </c>
      <c r="G195" s="54" t="str">
        <f t="shared" si="22"/>
        <v>Anjali More</v>
      </c>
      <c r="H195" s="54" t="str">
        <f t="shared" si="23"/>
        <v>anjali More</v>
      </c>
    </row>
    <row r="196" ht="16.5" spans="1:8">
      <c r="A196" s="10" t="s">
        <v>351</v>
      </c>
      <c r="B196" s="10" t="s">
        <v>177</v>
      </c>
      <c r="C196" s="54">
        <f t="shared" si="20"/>
        <v>5</v>
      </c>
      <c r="D196" s="54" t="str">
        <f t="shared" si="21"/>
        <v>00099</v>
      </c>
      <c r="E196" s="54" t="str" cm="1">
        <f t="array" ref="E196:F196">_xlfn.TEXTSPLIT(B196," ")</f>
        <v>manav</v>
      </c>
      <c r="F196" s="54" t="str">
        <v>Bajaj</v>
      </c>
      <c r="G196" s="54" t="str">
        <f t="shared" si="22"/>
        <v>Manav Bajaj</v>
      </c>
      <c r="H196" s="54" t="str">
        <f t="shared" si="23"/>
        <v>manav Bajaj</v>
      </c>
    </row>
    <row r="197" ht="16.5" spans="1:8">
      <c r="A197" s="10" t="s">
        <v>352</v>
      </c>
      <c r="B197" s="10" t="s">
        <v>81</v>
      </c>
      <c r="C197" s="54">
        <f t="shared" si="20"/>
        <v>5</v>
      </c>
      <c r="D197" s="54" t="str">
        <f t="shared" si="21"/>
        <v>00186</v>
      </c>
      <c r="E197" s="54" t="str" cm="1">
        <f t="array" ref="E197:F197">_xlfn.TEXTSPLIT(B197," ")</f>
        <v>leena</v>
      </c>
      <c r="F197" s="54" t="str">
        <v>dubey</v>
      </c>
      <c r="G197" s="54" t="str">
        <f t="shared" si="22"/>
        <v>Leena Dubey</v>
      </c>
      <c r="H197" s="54" t="str">
        <f t="shared" si="23"/>
        <v>leena dubey</v>
      </c>
    </row>
    <row r="198" ht="16.5" spans="1:8">
      <c r="A198" s="10" t="s">
        <v>353</v>
      </c>
      <c r="B198" s="10" t="s">
        <v>123</v>
      </c>
      <c r="C198" s="54">
        <f t="shared" si="20"/>
        <v>5</v>
      </c>
      <c r="D198" s="54" t="str">
        <f t="shared" si="21"/>
        <v>00139</v>
      </c>
      <c r="E198" s="54" t="str" cm="1">
        <f t="array" ref="E198:F198">_xlfn.TEXTSPLIT(B198," ")</f>
        <v>aarav</v>
      </c>
      <c r="F198" s="54" t="str">
        <v>YADAV</v>
      </c>
      <c r="G198" s="54" t="str">
        <f t="shared" si="22"/>
        <v>Aarav Yadav</v>
      </c>
      <c r="H198" s="54" t="str">
        <f t="shared" si="23"/>
        <v>aarav YADAV</v>
      </c>
    </row>
    <row r="199" ht="16.5" spans="1:8">
      <c r="A199" s="10" t="s">
        <v>354</v>
      </c>
      <c r="B199" s="10" t="s">
        <v>109</v>
      </c>
      <c r="C199" s="54">
        <f t="shared" si="20"/>
        <v>5</v>
      </c>
      <c r="D199" s="54" t="str">
        <f t="shared" si="21"/>
        <v>00008</v>
      </c>
      <c r="E199" s="54" t="str" cm="1">
        <f t="array" ref="E199:F199">_xlfn.TEXTSPLIT(B199," ")</f>
        <v>Tanya</v>
      </c>
      <c r="F199" s="54" t="str">
        <v>Wagh</v>
      </c>
      <c r="G199" s="54" t="str">
        <f t="shared" si="22"/>
        <v>Tanya Wagh</v>
      </c>
      <c r="H199" s="54" t="str">
        <f t="shared" si="23"/>
        <v>Tanya Wagh</v>
      </c>
    </row>
    <row r="200" ht="16.5" spans="1:8">
      <c r="A200" s="10" t="s">
        <v>355</v>
      </c>
      <c r="B200" s="10" t="s">
        <v>94</v>
      </c>
      <c r="C200" s="54">
        <f t="shared" si="20"/>
        <v>5</v>
      </c>
      <c r="D200" s="54" t="str">
        <f t="shared" si="21"/>
        <v>00011</v>
      </c>
      <c r="E200" s="54" t="str" cm="1">
        <f t="array" ref="E200:F200">_xlfn.TEXTSPLIT(B200," ")</f>
        <v>KAVYA</v>
      </c>
      <c r="F200" s="54" t="str">
        <v>das</v>
      </c>
      <c r="G200" s="54" t="str">
        <f t="shared" si="22"/>
        <v>Kavya Das</v>
      </c>
      <c r="H200" s="54" t="str">
        <f t="shared" si="23"/>
        <v>KAVYA das</v>
      </c>
    </row>
    <row r="201" ht="16.5" spans="1:8">
      <c r="A201" s="10" t="s">
        <v>356</v>
      </c>
      <c r="B201" s="10" t="s">
        <v>184</v>
      </c>
      <c r="C201" s="54">
        <f t="shared" si="20"/>
        <v>5</v>
      </c>
      <c r="D201" s="54" t="str">
        <f t="shared" si="21"/>
        <v>00017</v>
      </c>
      <c r="E201" s="54" t="str" cm="1">
        <f t="array" ref="E201:F201">_xlfn.TEXTSPLIT(B201," ")</f>
        <v>RIYA</v>
      </c>
      <c r="F201" s="54" t="str">
        <v>bhatnagar</v>
      </c>
      <c r="G201" s="54" t="str">
        <f t="shared" si="22"/>
        <v>Riya Bhatnagar</v>
      </c>
      <c r="H201" s="54" t="str">
        <f t="shared" si="23"/>
        <v>RIYA bhatnagar</v>
      </c>
    </row>
  </sheetData>
  <conditionalFormatting sqref="A1:H201">
    <cfRule type="expression" dxfId="10" priority="1">
      <formula>MOD(ROW(),2)=0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1"/>
  <sheetViews>
    <sheetView workbookViewId="0">
      <selection activeCell="A1" sqref="A1"/>
    </sheetView>
  </sheetViews>
  <sheetFormatPr defaultColWidth="9.14285714285714" defaultRowHeight="12.75" outlineLevelCol="5"/>
  <cols>
    <col min="1" max="1" width="20.8571428571429" style="44" customWidth="1"/>
    <col min="2" max="2" width="18.2857142857143" style="25" customWidth="1"/>
    <col min="3" max="3" width="12.7142857142857" style="45" customWidth="1"/>
    <col min="4" max="4" width="16.4285714285714" style="46" customWidth="1"/>
    <col min="6" max="6" width="125.714285714286" customWidth="1"/>
  </cols>
  <sheetData>
    <row r="1" ht="18" spans="1:6">
      <c r="A1" s="47" t="s">
        <v>23</v>
      </c>
      <c r="B1" s="26" t="s">
        <v>363</v>
      </c>
      <c r="C1" s="48" t="s">
        <v>364</v>
      </c>
      <c r="D1" s="49" t="s">
        <v>365</v>
      </c>
    </row>
    <row r="2" ht="17.25" spans="1:6">
      <c r="A2" s="50">
        <v>45313.875</v>
      </c>
      <c r="B2" s="28">
        <f>MONTH(A2)</f>
        <v>1</v>
      </c>
      <c r="C2" s="51">
        <f>WEEKDAY(A2)</f>
        <v>2</v>
      </c>
      <c r="D2" s="52">
        <f>HOUR(A2)</f>
        <v>21</v>
      </c>
      <c r="F2" s="8" t="s">
        <v>10</v>
      </c>
    </row>
    <row r="3" ht="16.5" spans="1:6">
      <c r="A3" s="50">
        <v>45378.7916666667</v>
      </c>
      <c r="B3" s="28">
        <f t="shared" ref="B3:B34" si="0">MONTH(A3)</f>
        <v>3</v>
      </c>
      <c r="C3" s="51">
        <f t="shared" ref="C3:C34" si="1">WEEKDAY(A3)</f>
        <v>4</v>
      </c>
      <c r="D3" s="52">
        <f t="shared" ref="D3:D34" si="2">HOUR(A3)</f>
        <v>19</v>
      </c>
    </row>
    <row r="4" ht="16.5" spans="1:6">
      <c r="A4" s="50">
        <v>45295.5833333333</v>
      </c>
      <c r="B4" s="28">
        <f t="shared" si="0"/>
        <v>1</v>
      </c>
      <c r="C4" s="51">
        <f t="shared" si="1"/>
        <v>5</v>
      </c>
      <c r="D4" s="52">
        <f t="shared" si="2"/>
        <v>14</v>
      </c>
    </row>
    <row r="5" ht="16.5" spans="1:6">
      <c r="A5" s="50">
        <v>45363.75</v>
      </c>
      <c r="B5" s="28">
        <f t="shared" si="0"/>
        <v>3</v>
      </c>
      <c r="C5" s="51">
        <f t="shared" si="1"/>
        <v>3</v>
      </c>
      <c r="D5" s="52">
        <f t="shared" si="2"/>
        <v>18</v>
      </c>
    </row>
    <row r="6" ht="16.5" spans="1:6">
      <c r="A6" s="50">
        <v>45447.2916666667</v>
      </c>
      <c r="B6" s="28">
        <f t="shared" si="0"/>
        <v>6</v>
      </c>
      <c r="C6" s="51">
        <f t="shared" si="1"/>
        <v>3</v>
      </c>
      <c r="D6" s="52">
        <f t="shared" si="2"/>
        <v>7</v>
      </c>
    </row>
    <row r="7" ht="16.5" spans="1:6">
      <c r="A7" s="50">
        <v>45319.4583333333</v>
      </c>
      <c r="B7" s="28">
        <f t="shared" si="0"/>
        <v>1</v>
      </c>
      <c r="C7" s="51">
        <f t="shared" si="1"/>
        <v>1</v>
      </c>
      <c r="D7" s="52">
        <f t="shared" si="2"/>
        <v>11</v>
      </c>
    </row>
    <row r="8" ht="16.5" spans="1:6">
      <c r="A8" s="50">
        <v>45336.4583333333</v>
      </c>
      <c r="B8" s="28">
        <f t="shared" si="0"/>
        <v>2</v>
      </c>
      <c r="C8" s="51">
        <f t="shared" si="1"/>
        <v>4</v>
      </c>
      <c r="D8" s="52">
        <f t="shared" si="2"/>
        <v>11</v>
      </c>
    </row>
    <row r="9" ht="16.5" spans="1:6">
      <c r="A9" s="50">
        <v>45353.625</v>
      </c>
      <c r="B9" s="28">
        <f t="shared" si="0"/>
        <v>3</v>
      </c>
      <c r="C9" s="51">
        <f t="shared" si="1"/>
        <v>7</v>
      </c>
      <c r="D9" s="52">
        <f t="shared" si="2"/>
        <v>15</v>
      </c>
    </row>
    <row r="10" ht="16.5" spans="1:6">
      <c r="A10" s="50">
        <v>45407.4583333333</v>
      </c>
      <c r="B10" s="28">
        <f t="shared" si="0"/>
        <v>4</v>
      </c>
      <c r="C10" s="51">
        <f t="shared" si="1"/>
        <v>5</v>
      </c>
      <c r="D10" s="52">
        <f t="shared" si="2"/>
        <v>11</v>
      </c>
    </row>
    <row r="11" ht="16.5" spans="1:6">
      <c r="A11" s="50">
        <v>45322.5</v>
      </c>
      <c r="B11" s="28">
        <f t="shared" si="0"/>
        <v>1</v>
      </c>
      <c r="C11" s="51">
        <f t="shared" si="1"/>
        <v>4</v>
      </c>
      <c r="D11" s="52">
        <f t="shared" si="2"/>
        <v>12</v>
      </c>
    </row>
    <row r="12" ht="16.5" spans="1:6">
      <c r="A12" s="50">
        <v>45393.3333333333</v>
      </c>
      <c r="B12" s="28">
        <f t="shared" si="0"/>
        <v>4</v>
      </c>
      <c r="C12" s="51">
        <f t="shared" si="1"/>
        <v>5</v>
      </c>
      <c r="D12" s="52">
        <f t="shared" si="2"/>
        <v>8</v>
      </c>
    </row>
    <row r="13" ht="16.5" spans="1:6">
      <c r="A13" s="50">
        <v>45352.6666666667</v>
      </c>
      <c r="B13" s="28">
        <f t="shared" si="0"/>
        <v>3</v>
      </c>
      <c r="C13" s="51">
        <f t="shared" si="1"/>
        <v>6</v>
      </c>
      <c r="D13" s="52">
        <f t="shared" si="2"/>
        <v>16</v>
      </c>
    </row>
    <row r="14" ht="16.5" spans="1:6">
      <c r="A14" s="50">
        <v>45351.5</v>
      </c>
      <c r="B14" s="28">
        <f t="shared" si="0"/>
        <v>2</v>
      </c>
      <c r="C14" s="51">
        <f t="shared" si="1"/>
        <v>5</v>
      </c>
      <c r="D14" s="52">
        <f t="shared" si="2"/>
        <v>12</v>
      </c>
    </row>
    <row r="15" ht="16.5" spans="1:6">
      <c r="A15" s="50">
        <v>45462.875</v>
      </c>
      <c r="B15" s="28">
        <f t="shared" si="0"/>
        <v>6</v>
      </c>
      <c r="C15" s="51">
        <f t="shared" si="1"/>
        <v>4</v>
      </c>
      <c r="D15" s="52">
        <f t="shared" si="2"/>
        <v>21</v>
      </c>
    </row>
    <row r="16" ht="16.5" spans="1:6">
      <c r="A16" s="50">
        <v>45310.375</v>
      </c>
      <c r="B16" s="28">
        <f t="shared" si="0"/>
        <v>1</v>
      </c>
      <c r="C16" s="51">
        <f t="shared" si="1"/>
        <v>6</v>
      </c>
      <c r="D16" s="52">
        <f t="shared" si="2"/>
        <v>9</v>
      </c>
    </row>
    <row r="17" ht="16.5" spans="1:4">
      <c r="A17" s="50">
        <v>45323.7916666667</v>
      </c>
      <c r="B17" s="28">
        <f t="shared" si="0"/>
        <v>2</v>
      </c>
      <c r="C17" s="51">
        <f t="shared" si="1"/>
        <v>5</v>
      </c>
      <c r="D17" s="52">
        <f t="shared" si="2"/>
        <v>19</v>
      </c>
    </row>
    <row r="18" ht="16.5" spans="1:4">
      <c r="A18" s="50">
        <v>45438.375</v>
      </c>
      <c r="B18" s="28">
        <f t="shared" si="0"/>
        <v>5</v>
      </c>
      <c r="C18" s="51">
        <f t="shared" si="1"/>
        <v>1</v>
      </c>
      <c r="D18" s="52">
        <f t="shared" si="2"/>
        <v>9</v>
      </c>
    </row>
    <row r="19" ht="16.5" spans="1:4">
      <c r="A19" s="50">
        <v>45338.8333333333</v>
      </c>
      <c r="B19" s="28">
        <f t="shared" si="0"/>
        <v>2</v>
      </c>
      <c r="C19" s="51">
        <f t="shared" si="1"/>
        <v>6</v>
      </c>
      <c r="D19" s="52">
        <f t="shared" si="2"/>
        <v>20</v>
      </c>
    </row>
    <row r="20" ht="16.5" spans="1:4">
      <c r="A20" s="50">
        <v>45324.9583333333</v>
      </c>
      <c r="B20" s="28">
        <f t="shared" si="0"/>
        <v>2</v>
      </c>
      <c r="C20" s="51">
        <f t="shared" si="1"/>
        <v>6</v>
      </c>
      <c r="D20" s="52">
        <f t="shared" si="2"/>
        <v>23</v>
      </c>
    </row>
    <row r="21" ht="16.5" spans="1:4">
      <c r="A21" s="50">
        <v>45390.75</v>
      </c>
      <c r="B21" s="28">
        <f t="shared" si="0"/>
        <v>4</v>
      </c>
      <c r="C21" s="51">
        <f t="shared" si="1"/>
        <v>2</v>
      </c>
      <c r="D21" s="52">
        <f t="shared" si="2"/>
        <v>18</v>
      </c>
    </row>
    <row r="22" ht="16.5" spans="1:4">
      <c r="A22" s="50">
        <v>45305.9166666667</v>
      </c>
      <c r="B22" s="28">
        <f t="shared" si="0"/>
        <v>1</v>
      </c>
      <c r="C22" s="51">
        <f t="shared" si="1"/>
        <v>1</v>
      </c>
      <c r="D22" s="52">
        <f t="shared" si="2"/>
        <v>22</v>
      </c>
    </row>
    <row r="23" ht="16.5" spans="1:4">
      <c r="A23" s="50">
        <v>45398.5416666667</v>
      </c>
      <c r="B23" s="28">
        <f t="shared" si="0"/>
        <v>4</v>
      </c>
      <c r="C23" s="51">
        <f t="shared" si="1"/>
        <v>3</v>
      </c>
      <c r="D23" s="52">
        <f t="shared" si="2"/>
        <v>13</v>
      </c>
    </row>
    <row r="24" ht="16.5" spans="1:4">
      <c r="A24" s="50">
        <v>45348.9166666667</v>
      </c>
      <c r="B24" s="28">
        <f t="shared" si="0"/>
        <v>2</v>
      </c>
      <c r="C24" s="51">
        <f t="shared" si="1"/>
        <v>2</v>
      </c>
      <c r="D24" s="52">
        <f t="shared" si="2"/>
        <v>22</v>
      </c>
    </row>
    <row r="25" ht="16.5" spans="1:4">
      <c r="A25" s="50">
        <v>45303.5416666667</v>
      </c>
      <c r="B25" s="28">
        <f t="shared" si="0"/>
        <v>1</v>
      </c>
      <c r="C25" s="51">
        <f t="shared" si="1"/>
        <v>6</v>
      </c>
      <c r="D25" s="52">
        <f t="shared" si="2"/>
        <v>13</v>
      </c>
    </row>
    <row r="26" ht="16.5" spans="1:4">
      <c r="A26" s="50">
        <v>45367.9583333333</v>
      </c>
      <c r="B26" s="28">
        <f t="shared" si="0"/>
        <v>3</v>
      </c>
      <c r="C26" s="51">
        <f t="shared" si="1"/>
        <v>7</v>
      </c>
      <c r="D26" s="52">
        <f t="shared" si="2"/>
        <v>23</v>
      </c>
    </row>
    <row r="27" ht="16.5" spans="1:4">
      <c r="A27" s="50">
        <v>45415.3333333333</v>
      </c>
      <c r="B27" s="28">
        <f t="shared" si="0"/>
        <v>5</v>
      </c>
      <c r="C27" s="51">
        <f t="shared" si="1"/>
        <v>6</v>
      </c>
      <c r="D27" s="52">
        <f t="shared" si="2"/>
        <v>8</v>
      </c>
    </row>
    <row r="28" ht="16.5" spans="1:4">
      <c r="A28" s="50">
        <v>45359.5</v>
      </c>
      <c r="B28" s="28">
        <f t="shared" si="0"/>
        <v>3</v>
      </c>
      <c r="C28" s="51">
        <f t="shared" si="1"/>
        <v>6</v>
      </c>
      <c r="D28" s="52">
        <f t="shared" si="2"/>
        <v>12</v>
      </c>
    </row>
    <row r="29" ht="16.5" spans="1:4">
      <c r="A29" s="50">
        <v>45450.875</v>
      </c>
      <c r="B29" s="28">
        <f t="shared" si="0"/>
        <v>6</v>
      </c>
      <c r="C29" s="51">
        <f t="shared" si="1"/>
        <v>6</v>
      </c>
      <c r="D29" s="52">
        <f t="shared" si="2"/>
        <v>21</v>
      </c>
    </row>
    <row r="30" ht="16.5" spans="1:4">
      <c r="A30" s="50">
        <v>45459.2916666667</v>
      </c>
      <c r="B30" s="28">
        <f t="shared" si="0"/>
        <v>6</v>
      </c>
      <c r="C30" s="51">
        <f t="shared" si="1"/>
        <v>1</v>
      </c>
      <c r="D30" s="52">
        <f t="shared" si="2"/>
        <v>7</v>
      </c>
    </row>
    <row r="31" ht="16.5" spans="1:4">
      <c r="A31" s="50">
        <v>45325.9166666667</v>
      </c>
      <c r="B31" s="28">
        <f t="shared" si="0"/>
        <v>2</v>
      </c>
      <c r="C31" s="51">
        <f t="shared" si="1"/>
        <v>7</v>
      </c>
      <c r="D31" s="52">
        <f t="shared" si="2"/>
        <v>22</v>
      </c>
    </row>
    <row r="32" ht="16.5" spans="1:4">
      <c r="A32" s="50">
        <v>45473.75</v>
      </c>
      <c r="B32" s="28">
        <f t="shared" si="0"/>
        <v>6</v>
      </c>
      <c r="C32" s="51">
        <f t="shared" si="1"/>
        <v>1</v>
      </c>
      <c r="D32" s="52">
        <f t="shared" si="2"/>
        <v>18</v>
      </c>
    </row>
    <row r="33" ht="16.5" spans="1:4">
      <c r="A33" s="50">
        <v>45343.875</v>
      </c>
      <c r="B33" s="28">
        <f t="shared" si="0"/>
        <v>2</v>
      </c>
      <c r="C33" s="51">
        <f t="shared" si="1"/>
        <v>4</v>
      </c>
      <c r="D33" s="52">
        <f t="shared" si="2"/>
        <v>21</v>
      </c>
    </row>
    <row r="34" ht="16.5" spans="1:4">
      <c r="A34" s="50">
        <v>45363.9166666667</v>
      </c>
      <c r="B34" s="28">
        <f t="shared" si="0"/>
        <v>3</v>
      </c>
      <c r="C34" s="51">
        <f t="shared" si="1"/>
        <v>3</v>
      </c>
      <c r="D34" s="52">
        <f t="shared" si="2"/>
        <v>22</v>
      </c>
    </row>
    <row r="35" ht="16.5" spans="1:4">
      <c r="A35" s="50">
        <v>45360.7083333333</v>
      </c>
      <c r="B35" s="28">
        <f t="shared" ref="B35:B66" si="3">MONTH(A35)</f>
        <v>3</v>
      </c>
      <c r="C35" s="51">
        <f t="shared" ref="C35:C66" si="4">WEEKDAY(A35)</f>
        <v>7</v>
      </c>
      <c r="D35" s="52">
        <f t="shared" ref="D35:D66" si="5">HOUR(A35)</f>
        <v>17</v>
      </c>
    </row>
    <row r="36" ht="16.5" spans="1:4">
      <c r="A36" s="50">
        <v>45375.9583333333</v>
      </c>
      <c r="B36" s="28">
        <f t="shared" si="3"/>
        <v>3</v>
      </c>
      <c r="C36" s="51">
        <f t="shared" si="4"/>
        <v>1</v>
      </c>
      <c r="D36" s="52">
        <f t="shared" si="5"/>
        <v>23</v>
      </c>
    </row>
    <row r="37" ht="16.5" spans="1:4">
      <c r="A37" s="50">
        <v>45452.5</v>
      </c>
      <c r="B37" s="28">
        <f t="shared" si="3"/>
        <v>6</v>
      </c>
      <c r="C37" s="51">
        <f t="shared" si="4"/>
        <v>1</v>
      </c>
      <c r="D37" s="52">
        <f t="shared" si="5"/>
        <v>12</v>
      </c>
    </row>
    <row r="38" ht="16.5" spans="1:4">
      <c r="A38" s="50">
        <v>45470.8333333333</v>
      </c>
      <c r="B38" s="28">
        <f t="shared" si="3"/>
        <v>6</v>
      </c>
      <c r="C38" s="51">
        <f t="shared" si="4"/>
        <v>5</v>
      </c>
      <c r="D38" s="52">
        <f t="shared" si="5"/>
        <v>20</v>
      </c>
    </row>
    <row r="39" ht="16.5" spans="1:4">
      <c r="A39" s="50">
        <v>45410.625</v>
      </c>
      <c r="B39" s="28">
        <f t="shared" si="3"/>
        <v>4</v>
      </c>
      <c r="C39" s="51">
        <f t="shared" si="4"/>
        <v>1</v>
      </c>
      <c r="D39" s="52">
        <f t="shared" si="5"/>
        <v>15</v>
      </c>
    </row>
    <row r="40" ht="16.5" spans="1:4">
      <c r="A40" s="50">
        <v>45449.2916666667</v>
      </c>
      <c r="B40" s="28">
        <f t="shared" si="3"/>
        <v>6</v>
      </c>
      <c r="C40" s="51">
        <f t="shared" si="4"/>
        <v>5</v>
      </c>
      <c r="D40" s="52">
        <f t="shared" si="5"/>
        <v>7</v>
      </c>
    </row>
    <row r="41" ht="16.5" spans="1:4">
      <c r="A41" s="50">
        <v>45463.625</v>
      </c>
      <c r="B41" s="28">
        <f t="shared" si="3"/>
        <v>6</v>
      </c>
      <c r="C41" s="51">
        <f t="shared" si="4"/>
        <v>5</v>
      </c>
      <c r="D41" s="52">
        <f t="shared" si="5"/>
        <v>15</v>
      </c>
    </row>
    <row r="42" ht="16.5" spans="1:4">
      <c r="A42" s="50">
        <v>45372.3333333333</v>
      </c>
      <c r="B42" s="28">
        <f t="shared" si="3"/>
        <v>3</v>
      </c>
      <c r="C42" s="51">
        <f t="shared" si="4"/>
        <v>5</v>
      </c>
      <c r="D42" s="52">
        <f t="shared" si="5"/>
        <v>8</v>
      </c>
    </row>
    <row r="43" ht="16.5" spans="1:4">
      <c r="A43" s="50">
        <v>45383.875</v>
      </c>
      <c r="B43" s="28">
        <f t="shared" si="3"/>
        <v>4</v>
      </c>
      <c r="C43" s="51">
        <f t="shared" si="4"/>
        <v>2</v>
      </c>
      <c r="D43" s="52">
        <f t="shared" si="5"/>
        <v>21</v>
      </c>
    </row>
    <row r="44" ht="16.5" spans="1:4">
      <c r="A44" s="50">
        <v>45347.75</v>
      </c>
      <c r="B44" s="28">
        <f t="shared" si="3"/>
        <v>2</v>
      </c>
      <c r="C44" s="51">
        <f t="shared" si="4"/>
        <v>1</v>
      </c>
      <c r="D44" s="52">
        <f t="shared" si="5"/>
        <v>18</v>
      </c>
    </row>
    <row r="45" ht="16.5" spans="1:4">
      <c r="A45" s="50">
        <v>45405.8333333333</v>
      </c>
      <c r="B45" s="28">
        <f t="shared" si="3"/>
        <v>4</v>
      </c>
      <c r="C45" s="51">
        <f t="shared" si="4"/>
        <v>3</v>
      </c>
      <c r="D45" s="52">
        <f t="shared" si="5"/>
        <v>20</v>
      </c>
    </row>
    <row r="46" ht="16.5" spans="1:4">
      <c r="A46" s="50">
        <v>45378.7916666667</v>
      </c>
      <c r="B46" s="28">
        <f t="shared" si="3"/>
        <v>3</v>
      </c>
      <c r="C46" s="51">
        <f t="shared" si="4"/>
        <v>4</v>
      </c>
      <c r="D46" s="52">
        <f t="shared" si="5"/>
        <v>19</v>
      </c>
    </row>
    <row r="47" ht="16.5" spans="1:4">
      <c r="A47" s="50">
        <v>45438.9166666667</v>
      </c>
      <c r="B47" s="28">
        <f t="shared" si="3"/>
        <v>5</v>
      </c>
      <c r="C47" s="51">
        <f t="shared" si="4"/>
        <v>1</v>
      </c>
      <c r="D47" s="52">
        <f t="shared" si="5"/>
        <v>22</v>
      </c>
    </row>
    <row r="48" ht="16.5" spans="1:4">
      <c r="A48" s="50">
        <v>45394.6666666667</v>
      </c>
      <c r="B48" s="28">
        <f t="shared" si="3"/>
        <v>4</v>
      </c>
      <c r="C48" s="51">
        <f t="shared" si="4"/>
        <v>6</v>
      </c>
      <c r="D48" s="52">
        <f t="shared" si="5"/>
        <v>16</v>
      </c>
    </row>
    <row r="49" ht="16.5" spans="1:4">
      <c r="A49" s="50">
        <v>45435.7916666667</v>
      </c>
      <c r="B49" s="28">
        <f t="shared" si="3"/>
        <v>5</v>
      </c>
      <c r="C49" s="51">
        <f t="shared" si="4"/>
        <v>5</v>
      </c>
      <c r="D49" s="52">
        <f t="shared" si="5"/>
        <v>19</v>
      </c>
    </row>
    <row r="50" ht="16.5" spans="1:4">
      <c r="A50" s="50">
        <v>45354.375</v>
      </c>
      <c r="B50" s="28">
        <f t="shared" si="3"/>
        <v>3</v>
      </c>
      <c r="C50" s="51">
        <f t="shared" si="4"/>
        <v>1</v>
      </c>
      <c r="D50" s="52">
        <f t="shared" si="5"/>
        <v>9</v>
      </c>
    </row>
    <row r="51" ht="16.5" spans="1:4">
      <c r="A51" s="50">
        <v>45298.6666666667</v>
      </c>
      <c r="B51" s="28">
        <f t="shared" si="3"/>
        <v>1</v>
      </c>
      <c r="C51" s="51">
        <f t="shared" si="4"/>
        <v>1</v>
      </c>
      <c r="D51" s="52">
        <f t="shared" si="5"/>
        <v>16</v>
      </c>
    </row>
    <row r="52" ht="16.5" spans="1:4">
      <c r="A52" s="50">
        <v>45381.7916666667</v>
      </c>
      <c r="B52" s="28">
        <f t="shared" si="3"/>
        <v>3</v>
      </c>
      <c r="C52" s="51">
        <f t="shared" si="4"/>
        <v>7</v>
      </c>
      <c r="D52" s="52">
        <f t="shared" si="5"/>
        <v>19</v>
      </c>
    </row>
    <row r="53" ht="16.5" spans="1:4">
      <c r="A53" s="50">
        <v>45421.7083333333</v>
      </c>
      <c r="B53" s="28">
        <f t="shared" si="3"/>
        <v>5</v>
      </c>
      <c r="C53" s="51">
        <f t="shared" si="4"/>
        <v>5</v>
      </c>
      <c r="D53" s="52">
        <f t="shared" si="5"/>
        <v>17</v>
      </c>
    </row>
    <row r="54" ht="16.5" spans="1:4">
      <c r="A54" s="50">
        <v>45472.8333333333</v>
      </c>
      <c r="B54" s="28">
        <f t="shared" si="3"/>
        <v>6</v>
      </c>
      <c r="C54" s="51">
        <f t="shared" si="4"/>
        <v>7</v>
      </c>
      <c r="D54" s="52">
        <f t="shared" si="5"/>
        <v>20</v>
      </c>
    </row>
    <row r="55" ht="16.5" spans="1:4">
      <c r="A55" s="50">
        <v>45378.625</v>
      </c>
      <c r="B55" s="28">
        <f t="shared" si="3"/>
        <v>3</v>
      </c>
      <c r="C55" s="51">
        <f t="shared" si="4"/>
        <v>4</v>
      </c>
      <c r="D55" s="52">
        <f t="shared" si="5"/>
        <v>15</v>
      </c>
    </row>
    <row r="56" ht="16.5" spans="1:4">
      <c r="A56" s="50">
        <v>45426.875</v>
      </c>
      <c r="B56" s="28">
        <f t="shared" si="3"/>
        <v>5</v>
      </c>
      <c r="C56" s="51">
        <f t="shared" si="4"/>
        <v>3</v>
      </c>
      <c r="D56" s="52">
        <f t="shared" si="5"/>
        <v>21</v>
      </c>
    </row>
    <row r="57" ht="16.5" spans="1:4">
      <c r="A57" s="50">
        <v>45448.375</v>
      </c>
      <c r="B57" s="28">
        <f t="shared" si="3"/>
        <v>6</v>
      </c>
      <c r="C57" s="51">
        <f t="shared" si="4"/>
        <v>4</v>
      </c>
      <c r="D57" s="52">
        <f t="shared" si="5"/>
        <v>9</v>
      </c>
    </row>
    <row r="58" ht="16.5" spans="1:4">
      <c r="A58" s="50">
        <v>45313.375</v>
      </c>
      <c r="B58" s="28">
        <f t="shared" si="3"/>
        <v>1</v>
      </c>
      <c r="C58" s="51">
        <f t="shared" si="4"/>
        <v>2</v>
      </c>
      <c r="D58" s="52">
        <f t="shared" si="5"/>
        <v>9</v>
      </c>
    </row>
    <row r="59" ht="16.5" spans="1:4">
      <c r="A59" s="50">
        <v>45295.3333333333</v>
      </c>
      <c r="B59" s="28">
        <f t="shared" si="3"/>
        <v>1</v>
      </c>
      <c r="C59" s="51">
        <f t="shared" si="4"/>
        <v>5</v>
      </c>
      <c r="D59" s="52">
        <f t="shared" si="5"/>
        <v>8</v>
      </c>
    </row>
    <row r="60" ht="16.5" spans="1:4">
      <c r="A60" s="50">
        <v>45294.4583333333</v>
      </c>
      <c r="B60" s="28">
        <f t="shared" si="3"/>
        <v>1</v>
      </c>
      <c r="C60" s="51">
        <f t="shared" si="4"/>
        <v>4</v>
      </c>
      <c r="D60" s="52">
        <f t="shared" si="5"/>
        <v>11</v>
      </c>
    </row>
    <row r="61" ht="16.5" spans="1:4">
      <c r="A61" s="50">
        <v>45312.6666666667</v>
      </c>
      <c r="B61" s="28">
        <f t="shared" si="3"/>
        <v>1</v>
      </c>
      <c r="C61" s="51">
        <f t="shared" si="4"/>
        <v>1</v>
      </c>
      <c r="D61" s="52">
        <f t="shared" si="5"/>
        <v>16</v>
      </c>
    </row>
    <row r="62" ht="16.5" spans="1:4">
      <c r="A62" s="50">
        <v>45453.6666666667</v>
      </c>
      <c r="B62" s="28">
        <f t="shared" si="3"/>
        <v>6</v>
      </c>
      <c r="C62" s="51">
        <f t="shared" si="4"/>
        <v>2</v>
      </c>
      <c r="D62" s="52">
        <f t="shared" si="5"/>
        <v>16</v>
      </c>
    </row>
    <row r="63" ht="16.5" spans="1:4">
      <c r="A63" s="50">
        <v>45423.4166666667</v>
      </c>
      <c r="B63" s="28">
        <f t="shared" si="3"/>
        <v>5</v>
      </c>
      <c r="C63" s="51">
        <f t="shared" si="4"/>
        <v>7</v>
      </c>
      <c r="D63" s="52">
        <f t="shared" si="5"/>
        <v>10</v>
      </c>
    </row>
    <row r="64" ht="16.5" spans="1:4">
      <c r="A64" s="50">
        <v>45329.875</v>
      </c>
      <c r="B64" s="28">
        <f t="shared" si="3"/>
        <v>2</v>
      </c>
      <c r="C64" s="51">
        <f t="shared" si="4"/>
        <v>4</v>
      </c>
      <c r="D64" s="52">
        <f t="shared" si="5"/>
        <v>21</v>
      </c>
    </row>
    <row r="65" ht="16.5" spans="1:4">
      <c r="A65" s="50">
        <v>45429.375</v>
      </c>
      <c r="B65" s="28">
        <f t="shared" si="3"/>
        <v>5</v>
      </c>
      <c r="C65" s="51">
        <f t="shared" si="4"/>
        <v>6</v>
      </c>
      <c r="D65" s="52">
        <f t="shared" si="5"/>
        <v>9</v>
      </c>
    </row>
    <row r="66" ht="16.5" spans="1:4">
      <c r="A66" s="50">
        <v>45426.5416666667</v>
      </c>
      <c r="B66" s="28">
        <f t="shared" si="3"/>
        <v>5</v>
      </c>
      <c r="C66" s="51">
        <f t="shared" si="4"/>
        <v>3</v>
      </c>
      <c r="D66" s="52">
        <f t="shared" si="5"/>
        <v>13</v>
      </c>
    </row>
    <row r="67" ht="16.5" spans="1:4">
      <c r="A67" s="50">
        <v>45309.375</v>
      </c>
      <c r="B67" s="28">
        <f t="shared" ref="B67:B98" si="6">MONTH(A67)</f>
        <v>1</v>
      </c>
      <c r="C67" s="51">
        <f t="shared" ref="C67:C98" si="7">WEEKDAY(A67)</f>
        <v>5</v>
      </c>
      <c r="D67" s="52">
        <f t="shared" ref="D67:D98" si="8">HOUR(A67)</f>
        <v>9</v>
      </c>
    </row>
    <row r="68" ht="16.5" spans="1:4">
      <c r="A68" s="50">
        <v>45368.5416666667</v>
      </c>
      <c r="B68" s="28">
        <f t="shared" si="6"/>
        <v>3</v>
      </c>
      <c r="C68" s="51">
        <f t="shared" si="7"/>
        <v>1</v>
      </c>
      <c r="D68" s="52">
        <f t="shared" si="8"/>
        <v>13</v>
      </c>
    </row>
    <row r="69" ht="16.5" spans="1:4">
      <c r="A69" s="50">
        <v>45325.3333333333</v>
      </c>
      <c r="B69" s="28">
        <f t="shared" si="6"/>
        <v>2</v>
      </c>
      <c r="C69" s="51">
        <f t="shared" si="7"/>
        <v>7</v>
      </c>
      <c r="D69" s="52">
        <f t="shared" si="8"/>
        <v>8</v>
      </c>
    </row>
    <row r="70" ht="16.5" spans="1:4">
      <c r="A70" s="50">
        <v>45335.5416666667</v>
      </c>
      <c r="B70" s="28">
        <f t="shared" si="6"/>
        <v>2</v>
      </c>
      <c r="C70" s="51">
        <f t="shared" si="7"/>
        <v>3</v>
      </c>
      <c r="D70" s="52">
        <f t="shared" si="8"/>
        <v>13</v>
      </c>
    </row>
    <row r="71" ht="16.5" spans="1:4">
      <c r="A71" s="50">
        <v>45422.625</v>
      </c>
      <c r="B71" s="28">
        <f t="shared" si="6"/>
        <v>5</v>
      </c>
      <c r="C71" s="51">
        <f t="shared" si="7"/>
        <v>6</v>
      </c>
      <c r="D71" s="52">
        <f t="shared" si="8"/>
        <v>15</v>
      </c>
    </row>
    <row r="72" ht="16.5" spans="1:4">
      <c r="A72" s="50">
        <v>45306.375</v>
      </c>
      <c r="B72" s="28">
        <f t="shared" si="6"/>
        <v>1</v>
      </c>
      <c r="C72" s="51">
        <f t="shared" si="7"/>
        <v>2</v>
      </c>
      <c r="D72" s="52">
        <f t="shared" si="8"/>
        <v>9</v>
      </c>
    </row>
    <row r="73" ht="16.5" spans="1:4">
      <c r="A73" s="50">
        <v>45324.625</v>
      </c>
      <c r="B73" s="28">
        <f t="shared" si="6"/>
        <v>2</v>
      </c>
      <c r="C73" s="51">
        <f t="shared" si="7"/>
        <v>6</v>
      </c>
      <c r="D73" s="52">
        <f t="shared" si="8"/>
        <v>15</v>
      </c>
    </row>
    <row r="74" ht="16.5" spans="1:4">
      <c r="A74" s="50">
        <v>45310.75</v>
      </c>
      <c r="B74" s="28">
        <f t="shared" si="6"/>
        <v>1</v>
      </c>
      <c r="C74" s="51">
        <f t="shared" si="7"/>
        <v>6</v>
      </c>
      <c r="D74" s="52">
        <f t="shared" si="8"/>
        <v>18</v>
      </c>
    </row>
    <row r="75" ht="16.5" spans="1:4">
      <c r="A75" s="50">
        <v>45295.4166666667</v>
      </c>
      <c r="B75" s="28">
        <f t="shared" si="6"/>
        <v>1</v>
      </c>
      <c r="C75" s="51">
        <f t="shared" si="7"/>
        <v>5</v>
      </c>
      <c r="D75" s="52">
        <f t="shared" si="8"/>
        <v>10</v>
      </c>
    </row>
    <row r="76" ht="16.5" spans="1:4">
      <c r="A76" s="50">
        <v>45378.625</v>
      </c>
      <c r="B76" s="28">
        <f t="shared" si="6"/>
        <v>3</v>
      </c>
      <c r="C76" s="51">
        <f t="shared" si="7"/>
        <v>4</v>
      </c>
      <c r="D76" s="52">
        <f t="shared" si="8"/>
        <v>15</v>
      </c>
    </row>
    <row r="77" ht="16.5" spans="1:4">
      <c r="A77" s="50">
        <v>45341.5</v>
      </c>
      <c r="B77" s="28">
        <f t="shared" si="6"/>
        <v>2</v>
      </c>
      <c r="C77" s="51">
        <f t="shared" si="7"/>
        <v>2</v>
      </c>
      <c r="D77" s="52">
        <f t="shared" si="8"/>
        <v>12</v>
      </c>
    </row>
    <row r="78" ht="16.5" spans="1:4">
      <c r="A78" s="50">
        <v>45301.5</v>
      </c>
      <c r="B78" s="28">
        <f t="shared" si="6"/>
        <v>1</v>
      </c>
      <c r="C78" s="51">
        <f t="shared" si="7"/>
        <v>4</v>
      </c>
      <c r="D78" s="52">
        <f t="shared" si="8"/>
        <v>12</v>
      </c>
    </row>
    <row r="79" ht="16.5" spans="1:4">
      <c r="A79" s="50">
        <v>45329.375</v>
      </c>
      <c r="B79" s="28">
        <f t="shared" si="6"/>
        <v>2</v>
      </c>
      <c r="C79" s="51">
        <f t="shared" si="7"/>
        <v>4</v>
      </c>
      <c r="D79" s="52">
        <f t="shared" si="8"/>
        <v>9</v>
      </c>
    </row>
    <row r="80" ht="16.5" spans="1:4">
      <c r="A80" s="50">
        <v>45292.3333333333</v>
      </c>
      <c r="B80" s="28">
        <f t="shared" si="6"/>
        <v>1</v>
      </c>
      <c r="C80" s="51">
        <f t="shared" si="7"/>
        <v>2</v>
      </c>
      <c r="D80" s="52">
        <f t="shared" si="8"/>
        <v>8</v>
      </c>
    </row>
    <row r="81" ht="16.5" spans="1:4">
      <c r="A81" s="50">
        <v>45400.5416666667</v>
      </c>
      <c r="B81" s="28">
        <f t="shared" si="6"/>
        <v>4</v>
      </c>
      <c r="C81" s="51">
        <f t="shared" si="7"/>
        <v>5</v>
      </c>
      <c r="D81" s="52">
        <f t="shared" si="8"/>
        <v>13</v>
      </c>
    </row>
    <row r="82" ht="16.5" spans="1:4">
      <c r="A82" s="50">
        <v>45306.2916666667</v>
      </c>
      <c r="B82" s="28">
        <f t="shared" si="6"/>
        <v>1</v>
      </c>
      <c r="C82" s="51">
        <f t="shared" si="7"/>
        <v>2</v>
      </c>
      <c r="D82" s="52">
        <f t="shared" si="8"/>
        <v>7</v>
      </c>
    </row>
    <row r="83" ht="16.5" spans="1:4">
      <c r="A83" s="50">
        <v>45413.5416666667</v>
      </c>
      <c r="B83" s="28">
        <f t="shared" si="6"/>
        <v>5</v>
      </c>
      <c r="C83" s="51">
        <f t="shared" si="7"/>
        <v>4</v>
      </c>
      <c r="D83" s="52">
        <f t="shared" si="8"/>
        <v>13</v>
      </c>
    </row>
    <row r="84" ht="16.5" spans="1:4">
      <c r="A84" s="50">
        <v>45305.75</v>
      </c>
      <c r="B84" s="28">
        <f t="shared" si="6"/>
        <v>1</v>
      </c>
      <c r="C84" s="51">
        <f t="shared" si="7"/>
        <v>1</v>
      </c>
      <c r="D84" s="52">
        <f t="shared" si="8"/>
        <v>18</v>
      </c>
    </row>
    <row r="85" ht="16.5" spans="1:4">
      <c r="A85" s="50">
        <v>45297.3333333333</v>
      </c>
      <c r="B85" s="28">
        <f t="shared" si="6"/>
        <v>1</v>
      </c>
      <c r="C85" s="51">
        <f t="shared" si="7"/>
        <v>7</v>
      </c>
      <c r="D85" s="52">
        <f t="shared" si="8"/>
        <v>8</v>
      </c>
    </row>
    <row r="86" ht="16.5" spans="1:4">
      <c r="A86" s="50">
        <v>45335.6666666667</v>
      </c>
      <c r="B86" s="28">
        <f t="shared" si="6"/>
        <v>2</v>
      </c>
      <c r="C86" s="51">
        <f t="shared" si="7"/>
        <v>3</v>
      </c>
      <c r="D86" s="52">
        <f t="shared" si="8"/>
        <v>16</v>
      </c>
    </row>
    <row r="87" ht="16.5" spans="1:4">
      <c r="A87" s="50">
        <v>45370.75</v>
      </c>
      <c r="B87" s="28">
        <f t="shared" si="6"/>
        <v>3</v>
      </c>
      <c r="C87" s="51">
        <f t="shared" si="7"/>
        <v>3</v>
      </c>
      <c r="D87" s="52">
        <f t="shared" si="8"/>
        <v>18</v>
      </c>
    </row>
    <row r="88" ht="16.5" spans="1:4">
      <c r="A88" s="50">
        <v>45342.2916666667</v>
      </c>
      <c r="B88" s="28">
        <f t="shared" si="6"/>
        <v>2</v>
      </c>
      <c r="C88" s="51">
        <f t="shared" si="7"/>
        <v>3</v>
      </c>
      <c r="D88" s="52">
        <f t="shared" si="8"/>
        <v>7</v>
      </c>
    </row>
    <row r="89" ht="16.5" spans="1:4">
      <c r="A89" s="50">
        <v>45429.75</v>
      </c>
      <c r="B89" s="28">
        <f t="shared" si="6"/>
        <v>5</v>
      </c>
      <c r="C89" s="51">
        <f t="shared" si="7"/>
        <v>6</v>
      </c>
      <c r="D89" s="52">
        <f t="shared" si="8"/>
        <v>18</v>
      </c>
    </row>
    <row r="90" ht="16.5" spans="1:4">
      <c r="A90" s="50">
        <v>45403.9583333333</v>
      </c>
      <c r="B90" s="28">
        <f t="shared" si="6"/>
        <v>4</v>
      </c>
      <c r="C90" s="51">
        <f t="shared" si="7"/>
        <v>1</v>
      </c>
      <c r="D90" s="52">
        <f t="shared" si="8"/>
        <v>23</v>
      </c>
    </row>
    <row r="91" ht="16.5" spans="1:4">
      <c r="A91" s="50">
        <v>45309.75</v>
      </c>
      <c r="B91" s="28">
        <f t="shared" si="6"/>
        <v>1</v>
      </c>
      <c r="C91" s="51">
        <f t="shared" si="7"/>
        <v>5</v>
      </c>
      <c r="D91" s="52">
        <f t="shared" si="8"/>
        <v>18</v>
      </c>
    </row>
    <row r="92" ht="16.5" spans="1:4">
      <c r="A92" s="50">
        <v>45437.7916666667</v>
      </c>
      <c r="B92" s="28">
        <f t="shared" si="6"/>
        <v>5</v>
      </c>
      <c r="C92" s="51">
        <f t="shared" si="7"/>
        <v>7</v>
      </c>
      <c r="D92" s="52">
        <f t="shared" si="8"/>
        <v>19</v>
      </c>
    </row>
    <row r="93" ht="16.5" spans="1:4">
      <c r="A93" s="50">
        <v>45335.875</v>
      </c>
      <c r="B93" s="28">
        <f t="shared" si="6"/>
        <v>2</v>
      </c>
      <c r="C93" s="51">
        <f t="shared" si="7"/>
        <v>3</v>
      </c>
      <c r="D93" s="52">
        <f t="shared" si="8"/>
        <v>21</v>
      </c>
    </row>
    <row r="94" ht="16.5" spans="1:4">
      <c r="A94" s="50">
        <v>45418.375</v>
      </c>
      <c r="B94" s="28">
        <f t="shared" si="6"/>
        <v>5</v>
      </c>
      <c r="C94" s="51">
        <f t="shared" si="7"/>
        <v>2</v>
      </c>
      <c r="D94" s="52">
        <f t="shared" si="8"/>
        <v>9</v>
      </c>
    </row>
    <row r="95" ht="16.5" spans="1:4">
      <c r="A95" s="50">
        <v>45325.3333333333</v>
      </c>
      <c r="B95" s="28">
        <f t="shared" si="6"/>
        <v>2</v>
      </c>
      <c r="C95" s="51">
        <f t="shared" si="7"/>
        <v>7</v>
      </c>
      <c r="D95" s="52">
        <f t="shared" si="8"/>
        <v>8</v>
      </c>
    </row>
    <row r="96" ht="16.5" spans="1:4">
      <c r="A96" s="50">
        <v>45355.7083333333</v>
      </c>
      <c r="B96" s="28">
        <f t="shared" si="6"/>
        <v>3</v>
      </c>
      <c r="C96" s="51">
        <f t="shared" si="7"/>
        <v>2</v>
      </c>
      <c r="D96" s="52">
        <f t="shared" si="8"/>
        <v>17</v>
      </c>
    </row>
    <row r="97" ht="16.5" spans="1:4">
      <c r="A97" s="50">
        <v>45408.9166666667</v>
      </c>
      <c r="B97" s="28">
        <f t="shared" si="6"/>
        <v>4</v>
      </c>
      <c r="C97" s="51">
        <f t="shared" si="7"/>
        <v>6</v>
      </c>
      <c r="D97" s="52">
        <f t="shared" si="8"/>
        <v>22</v>
      </c>
    </row>
    <row r="98" ht="16.5" spans="1:4">
      <c r="A98" s="50">
        <v>45445.4583333333</v>
      </c>
      <c r="B98" s="28">
        <f t="shared" si="6"/>
        <v>6</v>
      </c>
      <c r="C98" s="51">
        <f t="shared" si="7"/>
        <v>1</v>
      </c>
      <c r="D98" s="52">
        <f t="shared" si="8"/>
        <v>11</v>
      </c>
    </row>
    <row r="99" ht="16.5" spans="1:4">
      <c r="A99" s="50">
        <v>45329.5416666667</v>
      </c>
      <c r="B99" s="28">
        <f t="shared" ref="B99:B130" si="9">MONTH(A99)</f>
        <v>2</v>
      </c>
      <c r="C99" s="51">
        <f t="shared" ref="C99:C130" si="10">WEEKDAY(A99)</f>
        <v>4</v>
      </c>
      <c r="D99" s="52">
        <f t="shared" ref="D99:D130" si="11">HOUR(A99)</f>
        <v>13</v>
      </c>
    </row>
    <row r="100" ht="16.5" spans="1:4">
      <c r="A100" s="50">
        <v>45292.9583333333</v>
      </c>
      <c r="B100" s="28">
        <f t="shared" si="9"/>
        <v>1</v>
      </c>
      <c r="C100" s="51">
        <f t="shared" si="10"/>
        <v>2</v>
      </c>
      <c r="D100" s="52">
        <f t="shared" si="11"/>
        <v>23</v>
      </c>
    </row>
    <row r="101" ht="16.5" spans="1:4">
      <c r="A101" s="50">
        <v>45448.5833333333</v>
      </c>
      <c r="B101" s="28">
        <f t="shared" si="9"/>
        <v>6</v>
      </c>
      <c r="C101" s="51">
        <f t="shared" si="10"/>
        <v>4</v>
      </c>
      <c r="D101" s="52">
        <f t="shared" si="11"/>
        <v>14</v>
      </c>
    </row>
    <row r="102" ht="16.5" spans="1:4">
      <c r="A102" s="50">
        <v>45429.2916666667</v>
      </c>
      <c r="B102" s="28">
        <f t="shared" si="9"/>
        <v>5</v>
      </c>
      <c r="C102" s="51">
        <f t="shared" si="10"/>
        <v>6</v>
      </c>
      <c r="D102" s="52">
        <f t="shared" si="11"/>
        <v>7</v>
      </c>
    </row>
    <row r="103" ht="16.5" spans="1:4">
      <c r="A103" s="50">
        <v>45353.6666666667</v>
      </c>
      <c r="B103" s="28">
        <f t="shared" si="9"/>
        <v>3</v>
      </c>
      <c r="C103" s="51">
        <f t="shared" si="10"/>
        <v>7</v>
      </c>
      <c r="D103" s="52">
        <f t="shared" si="11"/>
        <v>16</v>
      </c>
    </row>
    <row r="104" ht="16.5" spans="1:4">
      <c r="A104" s="50">
        <v>45357.875</v>
      </c>
      <c r="B104" s="28">
        <f t="shared" si="9"/>
        <v>3</v>
      </c>
      <c r="C104" s="51">
        <f t="shared" si="10"/>
        <v>4</v>
      </c>
      <c r="D104" s="52">
        <f t="shared" si="11"/>
        <v>21</v>
      </c>
    </row>
    <row r="105" ht="16.5" spans="1:4">
      <c r="A105" s="50">
        <v>45467.5416666667</v>
      </c>
      <c r="B105" s="28">
        <f t="shared" si="9"/>
        <v>6</v>
      </c>
      <c r="C105" s="51">
        <f t="shared" si="10"/>
        <v>2</v>
      </c>
      <c r="D105" s="52">
        <f t="shared" si="11"/>
        <v>13</v>
      </c>
    </row>
    <row r="106" ht="16.5" spans="1:4">
      <c r="A106" s="50">
        <v>45309.625</v>
      </c>
      <c r="B106" s="28">
        <f t="shared" si="9"/>
        <v>1</v>
      </c>
      <c r="C106" s="51">
        <f t="shared" si="10"/>
        <v>5</v>
      </c>
      <c r="D106" s="52">
        <f t="shared" si="11"/>
        <v>15</v>
      </c>
    </row>
    <row r="107" ht="16.5" spans="1:4">
      <c r="A107" s="50">
        <v>45434.8333333333</v>
      </c>
      <c r="B107" s="28">
        <f t="shared" si="9"/>
        <v>5</v>
      </c>
      <c r="C107" s="51">
        <f t="shared" si="10"/>
        <v>4</v>
      </c>
      <c r="D107" s="52">
        <f t="shared" si="11"/>
        <v>20</v>
      </c>
    </row>
    <row r="108" ht="16.5" spans="1:4">
      <c r="A108" s="50">
        <v>45336.2916666667</v>
      </c>
      <c r="B108" s="28">
        <f t="shared" si="9"/>
        <v>2</v>
      </c>
      <c r="C108" s="51">
        <f t="shared" si="10"/>
        <v>4</v>
      </c>
      <c r="D108" s="52">
        <f t="shared" si="11"/>
        <v>7</v>
      </c>
    </row>
    <row r="109" ht="16.5" spans="1:4">
      <c r="A109" s="50">
        <v>45404.2916666667</v>
      </c>
      <c r="B109" s="28">
        <f t="shared" si="9"/>
        <v>4</v>
      </c>
      <c r="C109" s="51">
        <f t="shared" si="10"/>
        <v>2</v>
      </c>
      <c r="D109" s="52">
        <f t="shared" si="11"/>
        <v>7</v>
      </c>
    </row>
    <row r="110" ht="16.5" spans="1:4">
      <c r="A110" s="50">
        <v>45460.2916666667</v>
      </c>
      <c r="B110" s="28">
        <f t="shared" si="9"/>
        <v>6</v>
      </c>
      <c r="C110" s="51">
        <f t="shared" si="10"/>
        <v>2</v>
      </c>
      <c r="D110" s="52">
        <f t="shared" si="11"/>
        <v>7</v>
      </c>
    </row>
    <row r="111" ht="16.5" spans="1:4">
      <c r="A111" s="50">
        <v>45407.3333333333</v>
      </c>
      <c r="B111" s="28">
        <f t="shared" si="9"/>
        <v>4</v>
      </c>
      <c r="C111" s="51">
        <f t="shared" si="10"/>
        <v>5</v>
      </c>
      <c r="D111" s="52">
        <f t="shared" si="11"/>
        <v>8</v>
      </c>
    </row>
    <row r="112" ht="16.5" spans="1:4">
      <c r="A112" s="50">
        <v>45324.4166666667</v>
      </c>
      <c r="B112" s="28">
        <f t="shared" si="9"/>
        <v>2</v>
      </c>
      <c r="C112" s="51">
        <f t="shared" si="10"/>
        <v>6</v>
      </c>
      <c r="D112" s="52">
        <f t="shared" si="11"/>
        <v>10</v>
      </c>
    </row>
    <row r="113" ht="16.5" spans="1:4">
      <c r="A113" s="50">
        <v>45326.2916666667</v>
      </c>
      <c r="B113" s="28">
        <f t="shared" si="9"/>
        <v>2</v>
      </c>
      <c r="C113" s="51">
        <f t="shared" si="10"/>
        <v>1</v>
      </c>
      <c r="D113" s="52">
        <f t="shared" si="11"/>
        <v>7</v>
      </c>
    </row>
    <row r="114" ht="16.5" spans="1:4">
      <c r="A114" s="50">
        <v>45339.5</v>
      </c>
      <c r="B114" s="28">
        <f t="shared" si="9"/>
        <v>2</v>
      </c>
      <c r="C114" s="51">
        <f t="shared" si="10"/>
        <v>7</v>
      </c>
      <c r="D114" s="52">
        <f t="shared" si="11"/>
        <v>12</v>
      </c>
    </row>
    <row r="115" ht="16.5" spans="1:4">
      <c r="A115" s="50">
        <v>45308.375</v>
      </c>
      <c r="B115" s="28">
        <f t="shared" si="9"/>
        <v>1</v>
      </c>
      <c r="C115" s="51">
        <f t="shared" si="10"/>
        <v>4</v>
      </c>
      <c r="D115" s="52">
        <f t="shared" si="11"/>
        <v>9</v>
      </c>
    </row>
    <row r="116" ht="16.5" spans="1:4">
      <c r="A116" s="50">
        <v>45377.4583333333</v>
      </c>
      <c r="B116" s="28">
        <f t="shared" si="9"/>
        <v>3</v>
      </c>
      <c r="C116" s="51">
        <f t="shared" si="10"/>
        <v>3</v>
      </c>
      <c r="D116" s="52">
        <f t="shared" si="11"/>
        <v>11</v>
      </c>
    </row>
    <row r="117" ht="16.5" spans="1:4">
      <c r="A117" s="50">
        <v>45368.4166666667</v>
      </c>
      <c r="B117" s="28">
        <f t="shared" si="9"/>
        <v>3</v>
      </c>
      <c r="C117" s="51">
        <f t="shared" si="10"/>
        <v>1</v>
      </c>
      <c r="D117" s="52">
        <f t="shared" si="11"/>
        <v>10</v>
      </c>
    </row>
    <row r="118" ht="16.5" spans="1:4">
      <c r="A118" s="50">
        <v>45445.9166666667</v>
      </c>
      <c r="B118" s="28">
        <f t="shared" si="9"/>
        <v>6</v>
      </c>
      <c r="C118" s="51">
        <f t="shared" si="10"/>
        <v>1</v>
      </c>
      <c r="D118" s="52">
        <f t="shared" si="11"/>
        <v>22</v>
      </c>
    </row>
    <row r="119" ht="16.5" spans="1:4">
      <c r="A119" s="50">
        <v>45367.7916666667</v>
      </c>
      <c r="B119" s="28">
        <f t="shared" si="9"/>
        <v>3</v>
      </c>
      <c r="C119" s="51">
        <f t="shared" si="10"/>
        <v>7</v>
      </c>
      <c r="D119" s="52">
        <f t="shared" si="11"/>
        <v>19</v>
      </c>
    </row>
    <row r="120" ht="16.5" spans="1:4">
      <c r="A120" s="50">
        <v>45410.7083333333</v>
      </c>
      <c r="B120" s="28">
        <f t="shared" si="9"/>
        <v>4</v>
      </c>
      <c r="C120" s="51">
        <f t="shared" si="10"/>
        <v>1</v>
      </c>
      <c r="D120" s="52">
        <f t="shared" si="11"/>
        <v>17</v>
      </c>
    </row>
    <row r="121" ht="16.5" spans="1:4">
      <c r="A121" s="50">
        <v>45468.6666666667</v>
      </c>
      <c r="B121" s="28">
        <f t="shared" si="9"/>
        <v>6</v>
      </c>
      <c r="C121" s="51">
        <f t="shared" si="10"/>
        <v>3</v>
      </c>
      <c r="D121" s="52">
        <f t="shared" si="11"/>
        <v>16</v>
      </c>
    </row>
    <row r="122" ht="16.5" spans="1:4">
      <c r="A122" s="50">
        <v>45373.6666666667</v>
      </c>
      <c r="B122" s="28">
        <f t="shared" si="9"/>
        <v>3</v>
      </c>
      <c r="C122" s="51">
        <f t="shared" si="10"/>
        <v>6</v>
      </c>
      <c r="D122" s="52">
        <f t="shared" si="11"/>
        <v>16</v>
      </c>
    </row>
    <row r="123" ht="16.5" spans="1:4">
      <c r="A123" s="50">
        <v>45383.4583333333</v>
      </c>
      <c r="B123" s="28">
        <f t="shared" si="9"/>
        <v>4</v>
      </c>
      <c r="C123" s="51">
        <f t="shared" si="10"/>
        <v>2</v>
      </c>
      <c r="D123" s="52">
        <f t="shared" si="11"/>
        <v>11</v>
      </c>
    </row>
    <row r="124" ht="16.5" spans="1:4">
      <c r="A124" s="50">
        <v>45352.4166666667</v>
      </c>
      <c r="B124" s="28">
        <f t="shared" si="9"/>
        <v>3</v>
      </c>
      <c r="C124" s="51">
        <f t="shared" si="10"/>
        <v>6</v>
      </c>
      <c r="D124" s="52">
        <f t="shared" si="11"/>
        <v>10</v>
      </c>
    </row>
    <row r="125" ht="16.5" spans="1:4">
      <c r="A125" s="50">
        <v>45385.6666666667</v>
      </c>
      <c r="B125" s="28">
        <f t="shared" si="9"/>
        <v>4</v>
      </c>
      <c r="C125" s="51">
        <f t="shared" si="10"/>
        <v>4</v>
      </c>
      <c r="D125" s="52">
        <f t="shared" si="11"/>
        <v>16</v>
      </c>
    </row>
    <row r="126" ht="16.5" spans="1:4">
      <c r="A126" s="50">
        <v>45435.4166666667</v>
      </c>
      <c r="B126" s="28">
        <f t="shared" si="9"/>
        <v>5</v>
      </c>
      <c r="C126" s="51">
        <f t="shared" si="10"/>
        <v>5</v>
      </c>
      <c r="D126" s="52">
        <f t="shared" si="11"/>
        <v>10</v>
      </c>
    </row>
    <row r="127" ht="16.5" spans="1:4">
      <c r="A127" s="50">
        <v>45299.3333333333</v>
      </c>
      <c r="B127" s="28">
        <f t="shared" si="9"/>
        <v>1</v>
      </c>
      <c r="C127" s="51">
        <f t="shared" si="10"/>
        <v>2</v>
      </c>
      <c r="D127" s="52">
        <f t="shared" si="11"/>
        <v>8</v>
      </c>
    </row>
    <row r="128" ht="16.5" spans="1:4">
      <c r="A128" s="50">
        <v>45337.9583333333</v>
      </c>
      <c r="B128" s="28">
        <f t="shared" si="9"/>
        <v>2</v>
      </c>
      <c r="C128" s="51">
        <f t="shared" si="10"/>
        <v>5</v>
      </c>
      <c r="D128" s="52">
        <f t="shared" si="11"/>
        <v>23</v>
      </c>
    </row>
    <row r="129" ht="16.5" spans="1:4">
      <c r="A129" s="50">
        <v>45418.75</v>
      </c>
      <c r="B129" s="28">
        <f t="shared" si="9"/>
        <v>5</v>
      </c>
      <c r="C129" s="51">
        <f t="shared" si="10"/>
        <v>2</v>
      </c>
      <c r="D129" s="52">
        <f t="shared" si="11"/>
        <v>18</v>
      </c>
    </row>
    <row r="130" ht="16.5" spans="1:4">
      <c r="A130" s="50">
        <v>45351.2916666667</v>
      </c>
      <c r="B130" s="28">
        <f t="shared" si="9"/>
        <v>2</v>
      </c>
      <c r="C130" s="51">
        <f t="shared" si="10"/>
        <v>5</v>
      </c>
      <c r="D130" s="52">
        <f t="shared" si="11"/>
        <v>7</v>
      </c>
    </row>
    <row r="131" ht="16.5" spans="1:4">
      <c r="A131" s="50">
        <v>45374.7916666667</v>
      </c>
      <c r="B131" s="28">
        <f t="shared" ref="B131:B162" si="12">MONTH(A131)</f>
        <v>3</v>
      </c>
      <c r="C131" s="51">
        <f t="shared" ref="C131:C162" si="13">WEEKDAY(A131)</f>
        <v>7</v>
      </c>
      <c r="D131" s="52">
        <f t="shared" ref="D131:D162" si="14">HOUR(A131)</f>
        <v>19</v>
      </c>
    </row>
    <row r="132" ht="16.5" spans="1:4">
      <c r="A132" s="50">
        <v>45415.875</v>
      </c>
      <c r="B132" s="28">
        <f t="shared" si="12"/>
        <v>5</v>
      </c>
      <c r="C132" s="51">
        <f t="shared" si="13"/>
        <v>6</v>
      </c>
      <c r="D132" s="52">
        <f t="shared" si="14"/>
        <v>21</v>
      </c>
    </row>
    <row r="133" ht="16.5" spans="1:4">
      <c r="A133" s="50">
        <v>45460.8333333333</v>
      </c>
      <c r="B133" s="28">
        <f t="shared" si="12"/>
        <v>6</v>
      </c>
      <c r="C133" s="51">
        <f t="shared" si="13"/>
        <v>2</v>
      </c>
      <c r="D133" s="52">
        <f t="shared" si="14"/>
        <v>20</v>
      </c>
    </row>
    <row r="134" ht="16.5" spans="1:4">
      <c r="A134" s="50">
        <v>45466.2916666667</v>
      </c>
      <c r="B134" s="28">
        <f t="shared" si="12"/>
        <v>6</v>
      </c>
      <c r="C134" s="51">
        <f t="shared" si="13"/>
        <v>1</v>
      </c>
      <c r="D134" s="52">
        <f t="shared" si="14"/>
        <v>7</v>
      </c>
    </row>
    <row r="135" ht="16.5" spans="1:4">
      <c r="A135" s="50">
        <v>45467.5416666667</v>
      </c>
      <c r="B135" s="28">
        <f t="shared" si="12"/>
        <v>6</v>
      </c>
      <c r="C135" s="51">
        <f t="shared" si="13"/>
        <v>2</v>
      </c>
      <c r="D135" s="52">
        <f t="shared" si="14"/>
        <v>13</v>
      </c>
    </row>
    <row r="136" ht="16.5" spans="1:4">
      <c r="A136" s="50">
        <v>45391.625</v>
      </c>
      <c r="B136" s="28">
        <f t="shared" si="12"/>
        <v>4</v>
      </c>
      <c r="C136" s="51">
        <f t="shared" si="13"/>
        <v>3</v>
      </c>
      <c r="D136" s="52">
        <f t="shared" si="14"/>
        <v>15</v>
      </c>
    </row>
    <row r="137" ht="16.5" spans="1:4">
      <c r="A137" s="50">
        <v>45415.7083333333</v>
      </c>
      <c r="B137" s="28">
        <f t="shared" si="12"/>
        <v>5</v>
      </c>
      <c r="C137" s="51">
        <f t="shared" si="13"/>
        <v>6</v>
      </c>
      <c r="D137" s="52">
        <f t="shared" si="14"/>
        <v>17</v>
      </c>
    </row>
    <row r="138" ht="16.5" spans="1:4">
      <c r="A138" s="50">
        <v>45413.7916666667</v>
      </c>
      <c r="B138" s="28">
        <f t="shared" si="12"/>
        <v>5</v>
      </c>
      <c r="C138" s="51">
        <f t="shared" si="13"/>
        <v>4</v>
      </c>
      <c r="D138" s="52">
        <f t="shared" si="14"/>
        <v>19</v>
      </c>
    </row>
    <row r="139" ht="16.5" spans="1:4">
      <c r="A139" s="50">
        <v>45416.75</v>
      </c>
      <c r="B139" s="28">
        <f t="shared" si="12"/>
        <v>5</v>
      </c>
      <c r="C139" s="51">
        <f t="shared" si="13"/>
        <v>7</v>
      </c>
      <c r="D139" s="52">
        <f t="shared" si="14"/>
        <v>18</v>
      </c>
    </row>
    <row r="140" ht="16.5" spans="1:4">
      <c r="A140" s="50">
        <v>45308.6666666667</v>
      </c>
      <c r="B140" s="28">
        <f t="shared" si="12"/>
        <v>1</v>
      </c>
      <c r="C140" s="51">
        <f t="shared" si="13"/>
        <v>4</v>
      </c>
      <c r="D140" s="52">
        <f t="shared" si="14"/>
        <v>16</v>
      </c>
    </row>
    <row r="141" ht="16.5" spans="1:4">
      <c r="A141" s="50">
        <v>45336.7916666667</v>
      </c>
      <c r="B141" s="28">
        <f t="shared" si="12"/>
        <v>2</v>
      </c>
      <c r="C141" s="51">
        <f t="shared" si="13"/>
        <v>4</v>
      </c>
      <c r="D141" s="52">
        <f t="shared" si="14"/>
        <v>19</v>
      </c>
    </row>
    <row r="142" ht="16.5" spans="1:4">
      <c r="A142" s="50">
        <v>45469.7916666667</v>
      </c>
      <c r="B142" s="28">
        <f t="shared" si="12"/>
        <v>6</v>
      </c>
      <c r="C142" s="51">
        <f t="shared" si="13"/>
        <v>4</v>
      </c>
      <c r="D142" s="52">
        <f t="shared" si="14"/>
        <v>19</v>
      </c>
    </row>
    <row r="143" ht="16.5" spans="1:4">
      <c r="A143" s="50">
        <v>45439.9583333333</v>
      </c>
      <c r="B143" s="28">
        <f t="shared" si="12"/>
        <v>5</v>
      </c>
      <c r="C143" s="51">
        <f t="shared" si="13"/>
        <v>2</v>
      </c>
      <c r="D143" s="52">
        <f t="shared" si="14"/>
        <v>23</v>
      </c>
    </row>
    <row r="144" ht="16.5" spans="1:4">
      <c r="A144" s="50">
        <v>45392.5</v>
      </c>
      <c r="B144" s="28">
        <f t="shared" si="12"/>
        <v>4</v>
      </c>
      <c r="C144" s="51">
        <f t="shared" si="13"/>
        <v>4</v>
      </c>
      <c r="D144" s="52">
        <f t="shared" si="14"/>
        <v>12</v>
      </c>
    </row>
    <row r="145" ht="16.5" spans="1:4">
      <c r="A145" s="50">
        <v>45396.4583333333</v>
      </c>
      <c r="B145" s="28">
        <f t="shared" si="12"/>
        <v>4</v>
      </c>
      <c r="C145" s="51">
        <f t="shared" si="13"/>
        <v>1</v>
      </c>
      <c r="D145" s="52">
        <f t="shared" si="14"/>
        <v>11</v>
      </c>
    </row>
    <row r="146" ht="16.5" spans="1:4">
      <c r="A146" s="50">
        <v>45432.9583333333</v>
      </c>
      <c r="B146" s="28">
        <f t="shared" si="12"/>
        <v>5</v>
      </c>
      <c r="C146" s="51">
        <f t="shared" si="13"/>
        <v>2</v>
      </c>
      <c r="D146" s="52">
        <f t="shared" si="14"/>
        <v>23</v>
      </c>
    </row>
    <row r="147" ht="16.5" spans="1:4">
      <c r="A147" s="50">
        <v>45450.7916666667</v>
      </c>
      <c r="B147" s="28">
        <f t="shared" si="12"/>
        <v>6</v>
      </c>
      <c r="C147" s="51">
        <f t="shared" si="13"/>
        <v>6</v>
      </c>
      <c r="D147" s="52">
        <f t="shared" si="14"/>
        <v>19</v>
      </c>
    </row>
    <row r="148" ht="16.5" spans="1:4">
      <c r="A148" s="50">
        <v>45445.4583333333</v>
      </c>
      <c r="B148" s="28">
        <f t="shared" si="12"/>
        <v>6</v>
      </c>
      <c r="C148" s="51">
        <f t="shared" si="13"/>
        <v>1</v>
      </c>
      <c r="D148" s="52">
        <f t="shared" si="14"/>
        <v>11</v>
      </c>
    </row>
    <row r="149" ht="16.5" spans="1:4">
      <c r="A149" s="50">
        <v>45331.75</v>
      </c>
      <c r="B149" s="28">
        <f t="shared" si="12"/>
        <v>2</v>
      </c>
      <c r="C149" s="51">
        <f t="shared" si="13"/>
        <v>6</v>
      </c>
      <c r="D149" s="52">
        <f t="shared" si="14"/>
        <v>18</v>
      </c>
    </row>
    <row r="150" ht="16.5" spans="1:4">
      <c r="A150" s="50">
        <v>45410.75</v>
      </c>
      <c r="B150" s="28">
        <f t="shared" si="12"/>
        <v>4</v>
      </c>
      <c r="C150" s="51">
        <f t="shared" si="13"/>
        <v>1</v>
      </c>
      <c r="D150" s="52">
        <f t="shared" si="14"/>
        <v>18</v>
      </c>
    </row>
    <row r="151" ht="16.5" spans="1:4">
      <c r="A151" s="50">
        <v>45342.75</v>
      </c>
      <c r="B151" s="28">
        <f t="shared" si="12"/>
        <v>2</v>
      </c>
      <c r="C151" s="51">
        <f t="shared" si="13"/>
        <v>3</v>
      </c>
      <c r="D151" s="52">
        <f t="shared" si="14"/>
        <v>18</v>
      </c>
    </row>
    <row r="152" ht="16.5" spans="1:4">
      <c r="A152" s="50">
        <v>45347.7916666667</v>
      </c>
      <c r="B152" s="28">
        <f t="shared" si="12"/>
        <v>2</v>
      </c>
      <c r="C152" s="51">
        <f t="shared" si="13"/>
        <v>1</v>
      </c>
      <c r="D152" s="52">
        <f t="shared" si="14"/>
        <v>19</v>
      </c>
    </row>
    <row r="153" ht="16.5" spans="1:4">
      <c r="A153" s="50">
        <v>45398.5833333333</v>
      </c>
      <c r="B153" s="28">
        <f t="shared" si="12"/>
        <v>4</v>
      </c>
      <c r="C153" s="51">
        <f t="shared" si="13"/>
        <v>3</v>
      </c>
      <c r="D153" s="52">
        <f t="shared" si="14"/>
        <v>14</v>
      </c>
    </row>
    <row r="154" ht="16.5" spans="1:4">
      <c r="A154" s="50">
        <v>45433.7083333333</v>
      </c>
      <c r="B154" s="28">
        <f t="shared" si="12"/>
        <v>5</v>
      </c>
      <c r="C154" s="51">
        <f t="shared" si="13"/>
        <v>3</v>
      </c>
      <c r="D154" s="52">
        <f t="shared" si="14"/>
        <v>17</v>
      </c>
    </row>
    <row r="155" ht="16.5" spans="1:4">
      <c r="A155" s="50">
        <v>45374.5416666667</v>
      </c>
      <c r="B155" s="28">
        <f t="shared" si="12"/>
        <v>3</v>
      </c>
      <c r="C155" s="51">
        <f t="shared" si="13"/>
        <v>7</v>
      </c>
      <c r="D155" s="52">
        <f t="shared" si="14"/>
        <v>13</v>
      </c>
    </row>
    <row r="156" ht="16.5" spans="1:4">
      <c r="A156" s="50">
        <v>45461.6666666667</v>
      </c>
      <c r="B156" s="28">
        <f t="shared" si="12"/>
        <v>6</v>
      </c>
      <c r="C156" s="51">
        <f t="shared" si="13"/>
        <v>3</v>
      </c>
      <c r="D156" s="52">
        <f t="shared" si="14"/>
        <v>16</v>
      </c>
    </row>
    <row r="157" ht="16.5" spans="1:4">
      <c r="A157" s="50">
        <v>45367.4166666667</v>
      </c>
      <c r="B157" s="28">
        <f t="shared" si="12"/>
        <v>3</v>
      </c>
      <c r="C157" s="51">
        <f t="shared" si="13"/>
        <v>7</v>
      </c>
      <c r="D157" s="52">
        <f t="shared" si="14"/>
        <v>10</v>
      </c>
    </row>
    <row r="158" ht="16.5" spans="1:4">
      <c r="A158" s="50">
        <v>45373.6666666667</v>
      </c>
      <c r="B158" s="28">
        <f t="shared" si="12"/>
        <v>3</v>
      </c>
      <c r="C158" s="51">
        <f t="shared" si="13"/>
        <v>6</v>
      </c>
      <c r="D158" s="52">
        <f t="shared" si="14"/>
        <v>16</v>
      </c>
    </row>
    <row r="159" ht="16.5" spans="1:4">
      <c r="A159" s="50">
        <v>45360.5</v>
      </c>
      <c r="B159" s="28">
        <f t="shared" si="12"/>
        <v>3</v>
      </c>
      <c r="C159" s="51">
        <f t="shared" si="13"/>
        <v>7</v>
      </c>
      <c r="D159" s="52">
        <f t="shared" si="14"/>
        <v>12</v>
      </c>
    </row>
    <row r="160" ht="16.5" spans="1:4">
      <c r="A160" s="50">
        <v>45440.7916666667</v>
      </c>
      <c r="B160" s="28">
        <f t="shared" si="12"/>
        <v>5</v>
      </c>
      <c r="C160" s="51">
        <f t="shared" si="13"/>
        <v>3</v>
      </c>
      <c r="D160" s="52">
        <f t="shared" si="14"/>
        <v>19</v>
      </c>
    </row>
    <row r="161" ht="16.5" spans="1:4">
      <c r="A161" s="50">
        <v>45347.6666666667</v>
      </c>
      <c r="B161" s="28">
        <f t="shared" si="12"/>
        <v>2</v>
      </c>
      <c r="C161" s="51">
        <f t="shared" si="13"/>
        <v>1</v>
      </c>
      <c r="D161" s="52">
        <f t="shared" si="14"/>
        <v>16</v>
      </c>
    </row>
    <row r="162" ht="16.5" spans="1:4">
      <c r="A162" s="50">
        <v>45301.7083333333</v>
      </c>
      <c r="B162" s="28">
        <f t="shared" si="12"/>
        <v>1</v>
      </c>
      <c r="C162" s="51">
        <f t="shared" si="13"/>
        <v>4</v>
      </c>
      <c r="D162" s="52">
        <f t="shared" si="14"/>
        <v>17</v>
      </c>
    </row>
    <row r="163" ht="16.5" spans="1:4">
      <c r="A163" s="50">
        <v>45464.625</v>
      </c>
      <c r="B163" s="28">
        <f t="shared" ref="B163:B201" si="15">MONTH(A163)</f>
        <v>6</v>
      </c>
      <c r="C163" s="51">
        <f t="shared" ref="C163:C201" si="16">WEEKDAY(A163)</f>
        <v>6</v>
      </c>
      <c r="D163" s="52">
        <f t="shared" ref="D163:D201" si="17">HOUR(A163)</f>
        <v>15</v>
      </c>
    </row>
    <row r="164" ht="16.5" spans="1:4">
      <c r="A164" s="50">
        <v>45472.3333333333</v>
      </c>
      <c r="B164" s="28">
        <f t="shared" si="15"/>
        <v>6</v>
      </c>
      <c r="C164" s="51">
        <f t="shared" si="16"/>
        <v>7</v>
      </c>
      <c r="D164" s="52">
        <f t="shared" si="17"/>
        <v>8</v>
      </c>
    </row>
    <row r="165" ht="16.5" spans="1:4">
      <c r="A165" s="50">
        <v>45443.7916666667</v>
      </c>
      <c r="B165" s="28">
        <f t="shared" si="15"/>
        <v>5</v>
      </c>
      <c r="C165" s="51">
        <f t="shared" si="16"/>
        <v>6</v>
      </c>
      <c r="D165" s="52">
        <f t="shared" si="17"/>
        <v>19</v>
      </c>
    </row>
    <row r="166" ht="16.5" spans="1:4">
      <c r="A166" s="50">
        <v>45315.75</v>
      </c>
      <c r="B166" s="28">
        <f t="shared" si="15"/>
        <v>1</v>
      </c>
      <c r="C166" s="51">
        <f t="shared" si="16"/>
        <v>4</v>
      </c>
      <c r="D166" s="52">
        <f t="shared" si="17"/>
        <v>18</v>
      </c>
    </row>
    <row r="167" ht="16.5" spans="1:4">
      <c r="A167" s="50">
        <v>45359.9166666667</v>
      </c>
      <c r="B167" s="28">
        <f t="shared" si="15"/>
        <v>3</v>
      </c>
      <c r="C167" s="51">
        <f t="shared" si="16"/>
        <v>6</v>
      </c>
      <c r="D167" s="52">
        <f t="shared" si="17"/>
        <v>22</v>
      </c>
    </row>
    <row r="168" ht="16.5" spans="1:4">
      <c r="A168" s="50">
        <v>45410.875</v>
      </c>
      <c r="B168" s="28">
        <f t="shared" si="15"/>
        <v>4</v>
      </c>
      <c r="C168" s="51">
        <f t="shared" si="16"/>
        <v>1</v>
      </c>
      <c r="D168" s="52">
        <f t="shared" si="17"/>
        <v>21</v>
      </c>
    </row>
    <row r="169" ht="16.5" spans="1:4">
      <c r="A169" s="50">
        <v>45348.4166666667</v>
      </c>
      <c r="B169" s="28">
        <f t="shared" si="15"/>
        <v>2</v>
      </c>
      <c r="C169" s="51">
        <f t="shared" si="16"/>
        <v>2</v>
      </c>
      <c r="D169" s="52">
        <f t="shared" si="17"/>
        <v>10</v>
      </c>
    </row>
    <row r="170" ht="16.5" spans="1:4">
      <c r="A170" s="50">
        <v>45305.8333333333</v>
      </c>
      <c r="B170" s="28">
        <f t="shared" si="15"/>
        <v>1</v>
      </c>
      <c r="C170" s="51">
        <f t="shared" si="16"/>
        <v>1</v>
      </c>
      <c r="D170" s="52">
        <f t="shared" si="17"/>
        <v>20</v>
      </c>
    </row>
    <row r="171" ht="16.5" spans="1:4">
      <c r="A171" s="50">
        <v>45374.9166666667</v>
      </c>
      <c r="B171" s="28">
        <f t="shared" si="15"/>
        <v>3</v>
      </c>
      <c r="C171" s="51">
        <f t="shared" si="16"/>
        <v>7</v>
      </c>
      <c r="D171" s="52">
        <f t="shared" si="17"/>
        <v>22</v>
      </c>
    </row>
    <row r="172" ht="16.5" spans="1:4">
      <c r="A172" s="50">
        <v>45331.375</v>
      </c>
      <c r="B172" s="28">
        <f t="shared" si="15"/>
        <v>2</v>
      </c>
      <c r="C172" s="51">
        <f t="shared" si="16"/>
        <v>6</v>
      </c>
      <c r="D172" s="52">
        <f t="shared" si="17"/>
        <v>9</v>
      </c>
    </row>
    <row r="173" ht="16.5" spans="1:4">
      <c r="A173" s="50">
        <v>45426.6666666667</v>
      </c>
      <c r="B173" s="28">
        <f t="shared" si="15"/>
        <v>5</v>
      </c>
      <c r="C173" s="51">
        <f t="shared" si="16"/>
        <v>3</v>
      </c>
      <c r="D173" s="52">
        <f t="shared" si="17"/>
        <v>16</v>
      </c>
    </row>
    <row r="174" ht="16.5" spans="1:4">
      <c r="A174" s="50">
        <v>45328.5</v>
      </c>
      <c r="B174" s="28">
        <f t="shared" si="15"/>
        <v>2</v>
      </c>
      <c r="C174" s="51">
        <f t="shared" si="16"/>
        <v>3</v>
      </c>
      <c r="D174" s="52">
        <f t="shared" si="17"/>
        <v>12</v>
      </c>
    </row>
    <row r="175" ht="16.5" spans="1:4">
      <c r="A175" s="50">
        <v>45322.5</v>
      </c>
      <c r="B175" s="28">
        <f t="shared" si="15"/>
        <v>1</v>
      </c>
      <c r="C175" s="51">
        <f t="shared" si="16"/>
        <v>4</v>
      </c>
      <c r="D175" s="52">
        <f t="shared" si="17"/>
        <v>12</v>
      </c>
    </row>
    <row r="176" ht="16.5" spans="1:4">
      <c r="A176" s="50">
        <v>45418.8333333333</v>
      </c>
      <c r="B176" s="28">
        <f t="shared" si="15"/>
        <v>5</v>
      </c>
      <c r="C176" s="51">
        <f t="shared" si="16"/>
        <v>2</v>
      </c>
      <c r="D176" s="52">
        <f t="shared" si="17"/>
        <v>20</v>
      </c>
    </row>
    <row r="177" ht="16.5" spans="1:4">
      <c r="A177" s="50">
        <v>45331.875</v>
      </c>
      <c r="B177" s="28">
        <f t="shared" si="15"/>
        <v>2</v>
      </c>
      <c r="C177" s="51">
        <f t="shared" si="16"/>
        <v>6</v>
      </c>
      <c r="D177" s="52">
        <f t="shared" si="17"/>
        <v>21</v>
      </c>
    </row>
    <row r="178" ht="16.5" spans="1:4">
      <c r="A178" s="50">
        <v>45326.6666666667</v>
      </c>
      <c r="B178" s="28">
        <f t="shared" si="15"/>
        <v>2</v>
      </c>
      <c r="C178" s="51">
        <f t="shared" si="16"/>
        <v>1</v>
      </c>
      <c r="D178" s="52">
        <f t="shared" si="17"/>
        <v>16</v>
      </c>
    </row>
    <row r="179" ht="16.5" spans="1:4">
      <c r="A179" s="50">
        <v>45340.75</v>
      </c>
      <c r="B179" s="28">
        <f t="shared" si="15"/>
        <v>2</v>
      </c>
      <c r="C179" s="51">
        <f t="shared" si="16"/>
        <v>1</v>
      </c>
      <c r="D179" s="52">
        <f t="shared" si="17"/>
        <v>18</v>
      </c>
    </row>
    <row r="180" ht="16.5" spans="1:4">
      <c r="A180" s="50">
        <v>45300.5416666667</v>
      </c>
      <c r="B180" s="28">
        <f t="shared" si="15"/>
        <v>1</v>
      </c>
      <c r="C180" s="51">
        <f t="shared" si="16"/>
        <v>3</v>
      </c>
      <c r="D180" s="52">
        <f t="shared" si="17"/>
        <v>13</v>
      </c>
    </row>
    <row r="181" ht="16.5" spans="1:4">
      <c r="A181" s="50">
        <v>45347.5833333333</v>
      </c>
      <c r="B181" s="28">
        <f t="shared" si="15"/>
        <v>2</v>
      </c>
      <c r="C181" s="51">
        <f t="shared" si="16"/>
        <v>1</v>
      </c>
      <c r="D181" s="52">
        <f t="shared" si="17"/>
        <v>14</v>
      </c>
    </row>
    <row r="182" ht="16.5" spans="1:4">
      <c r="A182" s="50">
        <v>45301.75</v>
      </c>
      <c r="B182" s="28">
        <f t="shared" si="15"/>
        <v>1</v>
      </c>
      <c r="C182" s="51">
        <f t="shared" si="16"/>
        <v>4</v>
      </c>
      <c r="D182" s="52">
        <f t="shared" si="17"/>
        <v>18</v>
      </c>
    </row>
    <row r="183" ht="16.5" spans="1:4">
      <c r="A183" s="50">
        <v>45389.75</v>
      </c>
      <c r="B183" s="28">
        <f t="shared" si="15"/>
        <v>4</v>
      </c>
      <c r="C183" s="51">
        <f t="shared" si="16"/>
        <v>1</v>
      </c>
      <c r="D183" s="52">
        <f t="shared" si="17"/>
        <v>18</v>
      </c>
    </row>
    <row r="184" ht="16.5" spans="1:4">
      <c r="A184" s="50">
        <v>45418.6666666667</v>
      </c>
      <c r="B184" s="28">
        <f t="shared" si="15"/>
        <v>5</v>
      </c>
      <c r="C184" s="51">
        <f t="shared" si="16"/>
        <v>2</v>
      </c>
      <c r="D184" s="52">
        <f t="shared" si="17"/>
        <v>16</v>
      </c>
    </row>
    <row r="185" ht="16.5" spans="1:4">
      <c r="A185" s="50">
        <v>45329.8333333333</v>
      </c>
      <c r="B185" s="28">
        <f t="shared" si="15"/>
        <v>2</v>
      </c>
      <c r="C185" s="51">
        <f t="shared" si="16"/>
        <v>4</v>
      </c>
      <c r="D185" s="52">
        <f t="shared" si="17"/>
        <v>20</v>
      </c>
    </row>
    <row r="186" ht="16.5" spans="1:4">
      <c r="A186" s="50">
        <v>45312.2916666667</v>
      </c>
      <c r="B186" s="28">
        <f t="shared" si="15"/>
        <v>1</v>
      </c>
      <c r="C186" s="51">
        <f t="shared" si="16"/>
        <v>1</v>
      </c>
      <c r="D186" s="52">
        <f t="shared" si="17"/>
        <v>7</v>
      </c>
    </row>
    <row r="187" ht="16.5" spans="1:4">
      <c r="A187" s="50">
        <v>45311.375</v>
      </c>
      <c r="B187" s="28">
        <f t="shared" si="15"/>
        <v>1</v>
      </c>
      <c r="C187" s="51">
        <f t="shared" si="16"/>
        <v>7</v>
      </c>
      <c r="D187" s="52">
        <f t="shared" si="17"/>
        <v>9</v>
      </c>
    </row>
    <row r="188" ht="16.5" spans="1:4">
      <c r="A188" s="50">
        <v>45436.5</v>
      </c>
      <c r="B188" s="28">
        <f t="shared" si="15"/>
        <v>5</v>
      </c>
      <c r="C188" s="51">
        <f t="shared" si="16"/>
        <v>6</v>
      </c>
      <c r="D188" s="52">
        <f t="shared" si="17"/>
        <v>12</v>
      </c>
    </row>
    <row r="189" ht="16.5" spans="1:4">
      <c r="A189" s="50">
        <v>45304.7083333333</v>
      </c>
      <c r="B189" s="28">
        <f t="shared" si="15"/>
        <v>1</v>
      </c>
      <c r="C189" s="51">
        <f t="shared" si="16"/>
        <v>7</v>
      </c>
      <c r="D189" s="52">
        <f t="shared" si="17"/>
        <v>17</v>
      </c>
    </row>
    <row r="190" ht="16.5" spans="1:4">
      <c r="A190" s="50">
        <v>45422.4583333333</v>
      </c>
      <c r="B190" s="28">
        <f t="shared" si="15"/>
        <v>5</v>
      </c>
      <c r="C190" s="51">
        <f t="shared" si="16"/>
        <v>6</v>
      </c>
      <c r="D190" s="52">
        <f t="shared" si="17"/>
        <v>11</v>
      </c>
    </row>
    <row r="191" ht="16.5" spans="1:4">
      <c r="A191" s="50">
        <v>45441.625</v>
      </c>
      <c r="B191" s="28">
        <f t="shared" si="15"/>
        <v>5</v>
      </c>
      <c r="C191" s="51">
        <f t="shared" si="16"/>
        <v>4</v>
      </c>
      <c r="D191" s="52">
        <f t="shared" si="17"/>
        <v>15</v>
      </c>
    </row>
    <row r="192" ht="16.5" spans="1:4">
      <c r="A192" s="50">
        <v>45329.375</v>
      </c>
      <c r="B192" s="28">
        <f t="shared" si="15"/>
        <v>2</v>
      </c>
      <c r="C192" s="51">
        <f t="shared" si="16"/>
        <v>4</v>
      </c>
      <c r="D192" s="52">
        <f t="shared" si="17"/>
        <v>9</v>
      </c>
    </row>
    <row r="193" ht="16.5" spans="1:4">
      <c r="A193" s="50">
        <v>45373.5416666667</v>
      </c>
      <c r="B193" s="28">
        <f t="shared" si="15"/>
        <v>3</v>
      </c>
      <c r="C193" s="51">
        <f t="shared" si="16"/>
        <v>6</v>
      </c>
      <c r="D193" s="52">
        <f t="shared" si="17"/>
        <v>13</v>
      </c>
    </row>
    <row r="194" ht="16.5" spans="1:4">
      <c r="A194" s="50">
        <v>45350.5416666667</v>
      </c>
      <c r="B194" s="28">
        <f t="shared" si="15"/>
        <v>2</v>
      </c>
      <c r="C194" s="51">
        <f t="shared" si="16"/>
        <v>4</v>
      </c>
      <c r="D194" s="52">
        <f t="shared" si="17"/>
        <v>13</v>
      </c>
    </row>
    <row r="195" ht="16.5" spans="1:4">
      <c r="A195" s="50">
        <v>45435.7083333333</v>
      </c>
      <c r="B195" s="28">
        <f t="shared" si="15"/>
        <v>5</v>
      </c>
      <c r="C195" s="51">
        <f t="shared" si="16"/>
        <v>5</v>
      </c>
      <c r="D195" s="52">
        <f t="shared" si="17"/>
        <v>17</v>
      </c>
    </row>
    <row r="196" ht="16.5" spans="1:4">
      <c r="A196" s="50">
        <v>45397.9166666667</v>
      </c>
      <c r="B196" s="28">
        <f t="shared" si="15"/>
        <v>4</v>
      </c>
      <c r="C196" s="51">
        <f t="shared" si="16"/>
        <v>2</v>
      </c>
      <c r="D196" s="52">
        <f t="shared" si="17"/>
        <v>22</v>
      </c>
    </row>
    <row r="197" ht="16.5" spans="1:4">
      <c r="A197" s="50">
        <v>45327.8333333333</v>
      </c>
      <c r="B197" s="28">
        <f t="shared" si="15"/>
        <v>2</v>
      </c>
      <c r="C197" s="51">
        <f t="shared" si="16"/>
        <v>2</v>
      </c>
      <c r="D197" s="52">
        <f t="shared" si="17"/>
        <v>20</v>
      </c>
    </row>
    <row r="198" ht="16.5" spans="1:4">
      <c r="A198" s="50">
        <v>45421.8333333333</v>
      </c>
      <c r="B198" s="28">
        <f t="shared" si="15"/>
        <v>5</v>
      </c>
      <c r="C198" s="51">
        <f t="shared" si="16"/>
        <v>5</v>
      </c>
      <c r="D198" s="52">
        <f t="shared" si="17"/>
        <v>20</v>
      </c>
    </row>
    <row r="199" ht="16.5" spans="1:4">
      <c r="A199" s="50">
        <v>45455.625</v>
      </c>
      <c r="B199" s="28">
        <f t="shared" si="15"/>
        <v>6</v>
      </c>
      <c r="C199" s="51">
        <f t="shared" si="16"/>
        <v>4</v>
      </c>
      <c r="D199" s="52">
        <f t="shared" si="17"/>
        <v>15</v>
      </c>
    </row>
    <row r="200" ht="16.5" spans="1:4">
      <c r="A200" s="50">
        <v>45473.6666666667</v>
      </c>
      <c r="B200" s="28">
        <f t="shared" si="15"/>
        <v>6</v>
      </c>
      <c r="C200" s="51">
        <f t="shared" si="16"/>
        <v>1</v>
      </c>
      <c r="D200" s="52">
        <f t="shared" si="17"/>
        <v>16</v>
      </c>
    </row>
    <row r="201" ht="16.5" spans="1:4">
      <c r="A201" s="50">
        <v>45382.375</v>
      </c>
      <c r="B201" s="28">
        <f t="shared" si="15"/>
        <v>3</v>
      </c>
      <c r="C201" s="51">
        <f t="shared" si="16"/>
        <v>1</v>
      </c>
      <c r="D201" s="52">
        <f t="shared" si="17"/>
        <v>9</v>
      </c>
    </row>
  </sheetData>
  <conditionalFormatting sqref="A1:D201">
    <cfRule type="expression" dxfId="10" priority="2">
      <formula>MOD(ROW(),2)=0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workbookViewId="0">
      <selection activeCell="A1" sqref="A1"/>
    </sheetView>
  </sheetViews>
  <sheetFormatPr defaultColWidth="9.14285714285714" defaultRowHeight="12.75" outlineLevelCol="6"/>
  <cols>
    <col min="1" max="1" width="21.2857142857143" style="43" customWidth="1"/>
    <col min="2" max="2" width="6" customWidth="1"/>
    <col min="3" max="3" width="12.7142857142857" customWidth="1"/>
    <col min="4" max="5" width="19.1428571428571" customWidth="1"/>
    <col min="6" max="6" width="26.2857142857143" customWidth="1"/>
    <col min="7" max="7" width="111.142857142857" customWidth="1"/>
  </cols>
  <sheetData>
    <row r="1" ht="18" spans="1:7">
      <c r="A1" s="4" t="s">
        <v>19</v>
      </c>
      <c r="B1" s="4" t="s">
        <v>24</v>
      </c>
      <c r="C1" s="4" t="s">
        <v>25</v>
      </c>
      <c r="D1" s="4" t="s">
        <v>26</v>
      </c>
      <c r="E1" s="4" t="s">
        <v>366</v>
      </c>
      <c r="F1" s="4" t="s">
        <v>367</v>
      </c>
      <c r="G1" s="8" t="s">
        <v>11</v>
      </c>
    </row>
    <row r="2" ht="16.5" spans="1:7">
      <c r="A2" s="10" t="s">
        <v>29</v>
      </c>
      <c r="B2" s="10">
        <v>5</v>
      </c>
      <c r="C2" s="10">
        <v>1599</v>
      </c>
      <c r="D2" s="10" t="s">
        <v>33</v>
      </c>
      <c r="E2" s="10">
        <f>_xlfn.XLOOKUP(D2,Discounts!$A$2:$A$7,Discounts!$B$2:$B$7)/100</f>
        <v>0.25</v>
      </c>
      <c r="F2" s="12">
        <f>B2*C2*(1-E2)</f>
        <v>5996.25</v>
      </c>
    </row>
    <row r="3" ht="16.5" spans="1:7">
      <c r="A3" s="10" t="s">
        <v>35</v>
      </c>
      <c r="B3" s="10">
        <v>2</v>
      </c>
      <c r="C3" s="10">
        <v>2999</v>
      </c>
      <c r="D3" s="10" t="s">
        <v>39</v>
      </c>
      <c r="E3" s="10">
        <f>_xlfn.XLOOKUP(D3,Discounts!$A$2:$A$7,Discounts!$B$2:$B$7)/100</f>
        <v>0</v>
      </c>
      <c r="F3" s="12">
        <f t="shared" ref="F3:F34" si="0">B3*C3*(1-E3)</f>
        <v>5998</v>
      </c>
    </row>
    <row r="4" ht="16.5" spans="1:7">
      <c r="A4" s="10" t="s">
        <v>41</v>
      </c>
      <c r="B4" s="10">
        <v>1</v>
      </c>
      <c r="C4" s="10">
        <v>1199</v>
      </c>
      <c r="D4" s="10" t="s">
        <v>39</v>
      </c>
      <c r="E4" s="10">
        <f>_xlfn.XLOOKUP(D4,Discounts!$A$2:$A$7,Discounts!$B$2:$B$7)/100</f>
        <v>0</v>
      </c>
      <c r="F4" s="12">
        <f t="shared" si="0"/>
        <v>1199</v>
      </c>
    </row>
    <row r="5" ht="16.5" spans="1:7">
      <c r="A5" s="10" t="s">
        <v>46</v>
      </c>
      <c r="B5" s="10">
        <v>2</v>
      </c>
      <c r="C5" s="10">
        <v>499</v>
      </c>
      <c r="D5" s="10" t="s">
        <v>49</v>
      </c>
      <c r="E5" s="10">
        <f>_xlfn.XLOOKUP(D5,Discounts!$A$2:$A$7,Discounts!$B$2:$B$7)/100</f>
        <v>0.15</v>
      </c>
      <c r="F5" s="12">
        <f t="shared" si="0"/>
        <v>848.3</v>
      </c>
    </row>
    <row r="6" ht="16.5" spans="1:7">
      <c r="A6" s="10" t="s">
        <v>51</v>
      </c>
      <c r="B6" s="10">
        <v>1</v>
      </c>
      <c r="C6" s="10">
        <v>649</v>
      </c>
      <c r="D6" s="10" t="s">
        <v>39</v>
      </c>
      <c r="E6" s="10">
        <f>_xlfn.XLOOKUP(D6,Discounts!$A$2:$A$7,Discounts!$B$2:$B$7)/100</f>
        <v>0</v>
      </c>
      <c r="F6" s="12">
        <f t="shared" si="0"/>
        <v>649</v>
      </c>
    </row>
    <row r="7" ht="16.5" spans="1:7">
      <c r="A7" s="10" t="s">
        <v>56</v>
      </c>
      <c r="B7" s="10">
        <v>4</v>
      </c>
      <c r="C7" s="10">
        <v>899</v>
      </c>
      <c r="D7" s="10" t="s">
        <v>39</v>
      </c>
      <c r="E7" s="10">
        <f>_xlfn.XLOOKUP(D7,Discounts!$A$2:$A$7,Discounts!$B$2:$B$7)/100</f>
        <v>0</v>
      </c>
      <c r="F7" s="12">
        <f t="shared" si="0"/>
        <v>3596</v>
      </c>
    </row>
    <row r="8" ht="16.5" spans="1:7">
      <c r="A8" s="10" t="s">
        <v>60</v>
      </c>
      <c r="B8" s="10">
        <v>2</v>
      </c>
      <c r="C8" s="10">
        <v>299</v>
      </c>
      <c r="D8" s="10" t="s">
        <v>39</v>
      </c>
      <c r="E8" s="10">
        <f>_xlfn.XLOOKUP(D8,Discounts!$A$2:$A$7,Discounts!$B$2:$B$7)/100</f>
        <v>0</v>
      </c>
      <c r="F8" s="12">
        <f t="shared" si="0"/>
        <v>598</v>
      </c>
    </row>
    <row r="9" ht="16.5" spans="1:7">
      <c r="A9" s="10" t="s">
        <v>65</v>
      </c>
      <c r="B9" s="10">
        <v>5</v>
      </c>
      <c r="C9" s="10">
        <v>399</v>
      </c>
      <c r="D9" s="10" t="s">
        <v>69</v>
      </c>
      <c r="E9" s="10">
        <f>_xlfn.XLOOKUP(D9,Discounts!$A$2:$A$7,Discounts!$B$2:$B$7)/100</f>
        <v>0.2</v>
      </c>
      <c r="F9" s="12">
        <f t="shared" si="0"/>
        <v>1596</v>
      </c>
    </row>
    <row r="10" ht="16.5" spans="1:7">
      <c r="A10" s="10" t="s">
        <v>71</v>
      </c>
      <c r="B10" s="10">
        <v>5</v>
      </c>
      <c r="C10" s="10">
        <v>349</v>
      </c>
      <c r="D10" s="10" t="s">
        <v>39</v>
      </c>
      <c r="E10" s="10">
        <f>_xlfn.XLOOKUP(D10,Discounts!$A$2:$A$7,Discounts!$B$2:$B$7)/100</f>
        <v>0</v>
      </c>
      <c r="F10" s="12">
        <f t="shared" si="0"/>
        <v>1745</v>
      </c>
    </row>
    <row r="11" ht="16.5" spans="1:7">
      <c r="A11" s="10" t="s">
        <v>75</v>
      </c>
      <c r="B11" s="10">
        <v>2</v>
      </c>
      <c r="C11" s="10">
        <v>249</v>
      </c>
      <c r="D11" s="10" t="s">
        <v>39</v>
      </c>
      <c r="E11" s="10">
        <f>_xlfn.XLOOKUP(D11,Discounts!$A$2:$A$7,Discounts!$B$2:$B$7)/100</f>
        <v>0</v>
      </c>
      <c r="F11" s="12">
        <f t="shared" si="0"/>
        <v>498</v>
      </c>
    </row>
    <row r="12" ht="16.5" spans="1:7">
      <c r="A12" s="10" t="s">
        <v>65</v>
      </c>
      <c r="B12" s="10">
        <v>3</v>
      </c>
      <c r="C12" s="10">
        <v>499</v>
      </c>
      <c r="D12" s="10" t="s">
        <v>39</v>
      </c>
      <c r="E12" s="10">
        <f>_xlfn.XLOOKUP(D12,Discounts!$A$2:$A$7,Discounts!$B$2:$B$7)/100</f>
        <v>0</v>
      </c>
      <c r="F12" s="12">
        <f t="shared" si="0"/>
        <v>1497</v>
      </c>
    </row>
    <row r="13" ht="16.5" spans="1:7">
      <c r="A13" s="10" t="s">
        <v>81</v>
      </c>
      <c r="B13" s="10">
        <v>5</v>
      </c>
      <c r="C13" s="10">
        <v>199</v>
      </c>
      <c r="D13" s="10" t="s">
        <v>39</v>
      </c>
      <c r="E13" s="10">
        <f>_xlfn.XLOOKUP(D13,Discounts!$A$2:$A$7,Discounts!$B$2:$B$7)/100</f>
        <v>0</v>
      </c>
      <c r="F13" s="12">
        <f t="shared" si="0"/>
        <v>995</v>
      </c>
    </row>
    <row r="14" ht="16.5" spans="1:7">
      <c r="A14" s="10" t="s">
        <v>85</v>
      </c>
      <c r="B14" s="10">
        <v>1</v>
      </c>
      <c r="C14" s="10">
        <v>1599</v>
      </c>
      <c r="D14" s="10" t="s">
        <v>39</v>
      </c>
      <c r="E14" s="10">
        <f>_xlfn.XLOOKUP(D14,Discounts!$A$2:$A$7,Discounts!$B$2:$B$7)/100</f>
        <v>0</v>
      </c>
      <c r="F14" s="12">
        <f t="shared" si="0"/>
        <v>1599</v>
      </c>
    </row>
    <row r="15" ht="16.5" spans="1:7">
      <c r="A15" s="10" t="s">
        <v>56</v>
      </c>
      <c r="B15" s="10">
        <v>1</v>
      </c>
      <c r="C15" s="10">
        <v>349</v>
      </c>
      <c r="D15" s="10" t="s">
        <v>89</v>
      </c>
      <c r="E15" s="10">
        <f>_xlfn.XLOOKUP(D15,Discounts!$A$2:$A$7,Discounts!$B$2:$B$7)/100</f>
        <v>0.3</v>
      </c>
      <c r="F15" s="12">
        <f t="shared" si="0"/>
        <v>244.3</v>
      </c>
    </row>
    <row r="16" ht="16.5" spans="1:7">
      <c r="A16" s="10" t="s">
        <v>46</v>
      </c>
      <c r="B16" s="10">
        <v>2</v>
      </c>
      <c r="C16" s="10">
        <v>349</v>
      </c>
      <c r="D16" s="10" t="s">
        <v>69</v>
      </c>
      <c r="E16" s="10">
        <f>_xlfn.XLOOKUP(D16,Discounts!$A$2:$A$7,Discounts!$B$2:$B$7)/100</f>
        <v>0.2</v>
      </c>
      <c r="F16" s="12">
        <f t="shared" si="0"/>
        <v>558.4</v>
      </c>
    </row>
    <row r="17" ht="16.5" spans="1:6">
      <c r="A17" s="10" t="s">
        <v>92</v>
      </c>
      <c r="B17" s="10">
        <v>4</v>
      </c>
      <c r="C17" s="10">
        <v>2999</v>
      </c>
      <c r="D17" s="10" t="s">
        <v>69</v>
      </c>
      <c r="E17" s="10">
        <f>_xlfn.XLOOKUP(D17,Discounts!$A$2:$A$7,Discounts!$B$2:$B$7)/100</f>
        <v>0.2</v>
      </c>
      <c r="F17" s="12">
        <f t="shared" si="0"/>
        <v>9596.8</v>
      </c>
    </row>
    <row r="18" ht="16.5" spans="1:6">
      <c r="A18" s="10" t="s">
        <v>94</v>
      </c>
      <c r="B18" s="10">
        <v>4</v>
      </c>
      <c r="C18" s="10">
        <v>1299</v>
      </c>
      <c r="D18" s="10" t="s">
        <v>89</v>
      </c>
      <c r="E18" s="10">
        <f>_xlfn.XLOOKUP(D18,Discounts!$A$2:$A$7,Discounts!$B$2:$B$7)/100</f>
        <v>0.3</v>
      </c>
      <c r="F18" s="12">
        <f t="shared" si="0"/>
        <v>3637.2</v>
      </c>
    </row>
    <row r="19" ht="16.5" spans="1:6">
      <c r="A19" s="10" t="s">
        <v>98</v>
      </c>
      <c r="B19" s="10">
        <v>1</v>
      </c>
      <c r="C19" s="10">
        <v>299</v>
      </c>
      <c r="D19" s="10" t="s">
        <v>102</v>
      </c>
      <c r="E19" s="10">
        <f>_xlfn.XLOOKUP(D19,Discounts!$A$2:$A$7,Discounts!$B$2:$B$7)/100</f>
        <v>0.1</v>
      </c>
      <c r="F19" s="12">
        <f t="shared" si="0"/>
        <v>269.1</v>
      </c>
    </row>
    <row r="20" ht="16.5" spans="1:6">
      <c r="A20" s="10" t="s">
        <v>65</v>
      </c>
      <c r="B20" s="10">
        <v>4</v>
      </c>
      <c r="C20" s="10">
        <v>399</v>
      </c>
      <c r="D20" s="10" t="s">
        <v>39</v>
      </c>
      <c r="E20" s="10">
        <f>_xlfn.XLOOKUP(D20,Discounts!$A$2:$A$7,Discounts!$B$2:$B$7)/100</f>
        <v>0</v>
      </c>
      <c r="F20" s="12">
        <f t="shared" si="0"/>
        <v>1596</v>
      </c>
    </row>
    <row r="21" ht="16.5" spans="1:6">
      <c r="A21" s="10" t="s">
        <v>107</v>
      </c>
      <c r="B21" s="10">
        <v>1</v>
      </c>
      <c r="C21" s="10">
        <v>649</v>
      </c>
      <c r="D21" s="10" t="s">
        <v>89</v>
      </c>
      <c r="E21" s="10">
        <f>_xlfn.XLOOKUP(D21,Discounts!$A$2:$A$7,Discounts!$B$2:$B$7)/100</f>
        <v>0.3</v>
      </c>
      <c r="F21" s="12">
        <f t="shared" si="0"/>
        <v>454.3</v>
      </c>
    </row>
    <row r="22" ht="16.5" spans="1:6">
      <c r="A22" s="10" t="s">
        <v>109</v>
      </c>
      <c r="B22" s="10">
        <v>5</v>
      </c>
      <c r="C22" s="10">
        <v>349</v>
      </c>
      <c r="D22" s="10" t="s">
        <v>39</v>
      </c>
      <c r="E22" s="10">
        <f>_xlfn.XLOOKUP(D22,Discounts!$A$2:$A$7,Discounts!$B$2:$B$7)/100</f>
        <v>0</v>
      </c>
      <c r="F22" s="12">
        <f t="shared" si="0"/>
        <v>1745</v>
      </c>
    </row>
    <row r="23" ht="16.5" spans="1:6">
      <c r="A23" s="10" t="s">
        <v>113</v>
      </c>
      <c r="B23" s="10">
        <v>2</v>
      </c>
      <c r="C23" s="10">
        <v>399</v>
      </c>
      <c r="D23" s="10" t="s">
        <v>39</v>
      </c>
      <c r="E23" s="10">
        <f>_xlfn.XLOOKUP(D23,Discounts!$A$2:$A$7,Discounts!$B$2:$B$7)/100</f>
        <v>0</v>
      </c>
      <c r="F23" s="12">
        <f t="shared" si="0"/>
        <v>798</v>
      </c>
    </row>
    <row r="24" ht="16.5" spans="1:6">
      <c r="A24" s="10" t="s">
        <v>115</v>
      </c>
      <c r="B24" s="10">
        <v>5</v>
      </c>
      <c r="C24" s="10">
        <v>199</v>
      </c>
      <c r="D24" s="10" t="s">
        <v>39</v>
      </c>
      <c r="E24" s="10">
        <f>_xlfn.XLOOKUP(D24,Discounts!$A$2:$A$7,Discounts!$B$2:$B$7)/100</f>
        <v>0</v>
      </c>
      <c r="F24" s="12">
        <f t="shared" si="0"/>
        <v>995</v>
      </c>
    </row>
    <row r="25" ht="16.5" spans="1:6">
      <c r="A25" s="10" t="s">
        <v>119</v>
      </c>
      <c r="B25" s="10">
        <v>5</v>
      </c>
      <c r="C25" s="10">
        <v>349</v>
      </c>
      <c r="D25" s="10" t="s">
        <v>39</v>
      </c>
      <c r="E25" s="10">
        <f>_xlfn.XLOOKUP(D25,Discounts!$A$2:$A$7,Discounts!$B$2:$B$7)/100</f>
        <v>0</v>
      </c>
      <c r="F25" s="12">
        <f t="shared" si="0"/>
        <v>1745</v>
      </c>
    </row>
    <row r="26" ht="16.5" spans="1:6">
      <c r="A26" s="10" t="s">
        <v>123</v>
      </c>
      <c r="B26" s="10">
        <v>2</v>
      </c>
      <c r="C26" s="10">
        <v>349</v>
      </c>
      <c r="D26" s="10" t="s">
        <v>33</v>
      </c>
      <c r="E26" s="10">
        <f>_xlfn.XLOOKUP(D26,Discounts!$A$2:$A$7,Discounts!$B$2:$B$7)/100</f>
        <v>0.25</v>
      </c>
      <c r="F26" s="12">
        <f t="shared" si="0"/>
        <v>523.5</v>
      </c>
    </row>
    <row r="27" ht="16.5" spans="1:6">
      <c r="A27" s="10" t="s">
        <v>127</v>
      </c>
      <c r="B27" s="10">
        <v>4</v>
      </c>
      <c r="C27" s="10">
        <v>349</v>
      </c>
      <c r="D27" s="10" t="s">
        <v>39</v>
      </c>
      <c r="E27" s="10">
        <f>_xlfn.XLOOKUP(D27,Discounts!$A$2:$A$7,Discounts!$B$2:$B$7)/100</f>
        <v>0</v>
      </c>
      <c r="F27" s="12">
        <f t="shared" si="0"/>
        <v>1396</v>
      </c>
    </row>
    <row r="28" ht="16.5" spans="1:6">
      <c r="A28" s="10" t="s">
        <v>129</v>
      </c>
      <c r="B28" s="10">
        <v>3</v>
      </c>
      <c r="C28" s="10">
        <v>599</v>
      </c>
      <c r="D28" s="10" t="s">
        <v>33</v>
      </c>
      <c r="E28" s="10">
        <f>_xlfn.XLOOKUP(D28,Discounts!$A$2:$A$7,Discounts!$B$2:$B$7)/100</f>
        <v>0.25</v>
      </c>
      <c r="F28" s="12">
        <f t="shared" si="0"/>
        <v>1347.75</v>
      </c>
    </row>
    <row r="29" ht="16.5" spans="1:6">
      <c r="A29" s="10" t="s">
        <v>65</v>
      </c>
      <c r="B29" s="10">
        <v>4</v>
      </c>
      <c r="C29" s="10">
        <v>199</v>
      </c>
      <c r="D29" s="10" t="s">
        <v>39</v>
      </c>
      <c r="E29" s="10">
        <f>_xlfn.XLOOKUP(D29,Discounts!$A$2:$A$7,Discounts!$B$2:$B$7)/100</f>
        <v>0</v>
      </c>
      <c r="F29" s="12">
        <f t="shared" si="0"/>
        <v>796</v>
      </c>
    </row>
    <row r="30" ht="16.5" spans="1:6">
      <c r="A30" s="10" t="s">
        <v>115</v>
      </c>
      <c r="B30" s="10">
        <v>5</v>
      </c>
      <c r="C30" s="10">
        <v>1299</v>
      </c>
      <c r="D30" s="10" t="s">
        <v>39</v>
      </c>
      <c r="E30" s="10">
        <f>_xlfn.XLOOKUP(D30,Discounts!$A$2:$A$7,Discounts!$B$2:$B$7)/100</f>
        <v>0</v>
      </c>
      <c r="F30" s="12">
        <f t="shared" si="0"/>
        <v>6495</v>
      </c>
    </row>
    <row r="31" ht="16.5" spans="1:6">
      <c r="A31" s="10" t="s">
        <v>137</v>
      </c>
      <c r="B31" s="10">
        <v>1</v>
      </c>
      <c r="C31" s="10">
        <v>1199</v>
      </c>
      <c r="D31" s="10" t="s">
        <v>39</v>
      </c>
      <c r="E31" s="10">
        <f>_xlfn.XLOOKUP(D31,Discounts!$A$2:$A$7,Discounts!$B$2:$B$7)/100</f>
        <v>0</v>
      </c>
      <c r="F31" s="12">
        <f t="shared" si="0"/>
        <v>1199</v>
      </c>
    </row>
    <row r="32" ht="16.5" spans="1:6">
      <c r="A32" s="10" t="s">
        <v>60</v>
      </c>
      <c r="B32" s="10">
        <v>5</v>
      </c>
      <c r="C32" s="10">
        <v>349</v>
      </c>
      <c r="D32" s="10" t="s">
        <v>39</v>
      </c>
      <c r="E32" s="10">
        <f>_xlfn.XLOOKUP(D32,Discounts!$A$2:$A$7,Discounts!$B$2:$B$7)/100</f>
        <v>0</v>
      </c>
      <c r="F32" s="12">
        <f t="shared" si="0"/>
        <v>1745</v>
      </c>
    </row>
    <row r="33" ht="16.5" spans="1:6">
      <c r="A33" s="10" t="s">
        <v>115</v>
      </c>
      <c r="B33" s="10">
        <v>1</v>
      </c>
      <c r="C33" s="10">
        <v>449</v>
      </c>
      <c r="D33" s="10" t="s">
        <v>33</v>
      </c>
      <c r="E33" s="10">
        <f>_xlfn.XLOOKUP(D33,Discounts!$A$2:$A$7,Discounts!$B$2:$B$7)/100</f>
        <v>0.25</v>
      </c>
      <c r="F33" s="12">
        <f t="shared" si="0"/>
        <v>336.75</v>
      </c>
    </row>
    <row r="34" ht="16.5" spans="1:6">
      <c r="A34" s="10" t="s">
        <v>65</v>
      </c>
      <c r="B34" s="10">
        <v>5</v>
      </c>
      <c r="C34" s="10">
        <v>1199</v>
      </c>
      <c r="D34" s="10" t="s">
        <v>102</v>
      </c>
      <c r="E34" s="10">
        <f>_xlfn.XLOOKUP(D34,Discounts!$A$2:$A$7,Discounts!$B$2:$B$7)/100</f>
        <v>0.1</v>
      </c>
      <c r="F34" s="12">
        <f t="shared" si="0"/>
        <v>5395.5</v>
      </c>
    </row>
    <row r="35" ht="16.5" spans="1:6">
      <c r="A35" s="10" t="s">
        <v>146</v>
      </c>
      <c r="B35" s="10">
        <v>2</v>
      </c>
      <c r="C35" s="10">
        <v>349</v>
      </c>
      <c r="D35" s="10" t="s">
        <v>33</v>
      </c>
      <c r="E35" s="10">
        <f>_xlfn.XLOOKUP(D35,Discounts!$A$2:$A$7,Discounts!$B$2:$B$7)/100</f>
        <v>0.25</v>
      </c>
      <c r="F35" s="12">
        <f t="shared" ref="F35:F66" si="1">B35*C35*(1-E35)</f>
        <v>523.5</v>
      </c>
    </row>
    <row r="36" ht="16.5" spans="1:6">
      <c r="A36" s="10" t="s">
        <v>115</v>
      </c>
      <c r="B36" s="10">
        <v>4</v>
      </c>
      <c r="C36" s="10">
        <v>399</v>
      </c>
      <c r="D36" s="10" t="s">
        <v>69</v>
      </c>
      <c r="E36" s="10">
        <f>_xlfn.XLOOKUP(D36,Discounts!$A$2:$A$7,Discounts!$B$2:$B$7)/100</f>
        <v>0.2</v>
      </c>
      <c r="F36" s="12">
        <f t="shared" si="1"/>
        <v>1276.8</v>
      </c>
    </row>
    <row r="37" ht="16.5" spans="1:6">
      <c r="A37" s="10" t="s">
        <v>94</v>
      </c>
      <c r="B37" s="10">
        <v>1</v>
      </c>
      <c r="C37" s="10">
        <v>499</v>
      </c>
      <c r="D37" s="10" t="s">
        <v>39</v>
      </c>
      <c r="E37" s="10">
        <f>_xlfn.XLOOKUP(D37,Discounts!$A$2:$A$7,Discounts!$B$2:$B$7)/100</f>
        <v>0</v>
      </c>
      <c r="F37" s="12">
        <f t="shared" si="1"/>
        <v>499</v>
      </c>
    </row>
    <row r="38" ht="16.5" spans="1:6">
      <c r="A38" s="10" t="s">
        <v>150</v>
      </c>
      <c r="B38" s="10">
        <v>1</v>
      </c>
      <c r="C38" s="10">
        <v>1599</v>
      </c>
      <c r="D38" s="10" t="s">
        <v>89</v>
      </c>
      <c r="E38" s="10">
        <f>_xlfn.XLOOKUP(D38,Discounts!$A$2:$A$7,Discounts!$B$2:$B$7)/100</f>
        <v>0.3</v>
      </c>
      <c r="F38" s="12">
        <f t="shared" si="1"/>
        <v>1119.3</v>
      </c>
    </row>
    <row r="39" ht="16.5" spans="1:6">
      <c r="A39" s="10" t="s">
        <v>46</v>
      </c>
      <c r="B39" s="10">
        <v>1</v>
      </c>
      <c r="C39" s="10">
        <v>199</v>
      </c>
      <c r="D39" s="10" t="s">
        <v>39</v>
      </c>
      <c r="E39" s="10">
        <f>_xlfn.XLOOKUP(D39,Discounts!$A$2:$A$7,Discounts!$B$2:$B$7)/100</f>
        <v>0</v>
      </c>
      <c r="F39" s="12">
        <f t="shared" si="1"/>
        <v>199</v>
      </c>
    </row>
    <row r="40" ht="16.5" spans="1:6">
      <c r="A40" s="10" t="s">
        <v>155</v>
      </c>
      <c r="B40" s="10">
        <v>5</v>
      </c>
      <c r="C40" s="10">
        <v>699</v>
      </c>
      <c r="D40" s="10" t="s">
        <v>69</v>
      </c>
      <c r="E40" s="10">
        <f>_xlfn.XLOOKUP(D40,Discounts!$A$2:$A$7,Discounts!$B$2:$B$7)/100</f>
        <v>0.2</v>
      </c>
      <c r="F40" s="12">
        <f t="shared" si="1"/>
        <v>2796</v>
      </c>
    </row>
    <row r="41" ht="16.5" spans="1:6">
      <c r="A41" s="10" t="s">
        <v>115</v>
      </c>
      <c r="B41" s="10">
        <v>2</v>
      </c>
      <c r="C41" s="10">
        <v>199</v>
      </c>
      <c r="D41" s="10" t="s">
        <v>89</v>
      </c>
      <c r="E41" s="10">
        <f>_xlfn.XLOOKUP(D41,Discounts!$A$2:$A$7,Discounts!$B$2:$B$7)/100</f>
        <v>0.3</v>
      </c>
      <c r="F41" s="12">
        <f t="shared" si="1"/>
        <v>278.6</v>
      </c>
    </row>
    <row r="42" ht="16.5" spans="1:6">
      <c r="A42" s="10" t="s">
        <v>127</v>
      </c>
      <c r="B42" s="10">
        <v>4</v>
      </c>
      <c r="C42" s="10">
        <v>1199</v>
      </c>
      <c r="D42" s="10" t="s">
        <v>102</v>
      </c>
      <c r="E42" s="10">
        <f>_xlfn.XLOOKUP(D42,Discounts!$A$2:$A$7,Discounts!$B$2:$B$7)/100</f>
        <v>0.1</v>
      </c>
      <c r="F42" s="12">
        <f t="shared" si="1"/>
        <v>4316.4</v>
      </c>
    </row>
    <row r="43" ht="16.5" spans="1:6">
      <c r="A43" s="10" t="s">
        <v>81</v>
      </c>
      <c r="B43" s="10">
        <v>1</v>
      </c>
      <c r="C43" s="10">
        <v>199</v>
      </c>
      <c r="D43" s="10" t="s">
        <v>39</v>
      </c>
      <c r="E43" s="10">
        <f>_xlfn.XLOOKUP(D43,Discounts!$A$2:$A$7,Discounts!$B$2:$B$7)/100</f>
        <v>0</v>
      </c>
      <c r="F43" s="12">
        <f t="shared" si="1"/>
        <v>199</v>
      </c>
    </row>
    <row r="44" ht="16.5" spans="1:6">
      <c r="A44" s="10" t="s">
        <v>150</v>
      </c>
      <c r="B44" s="10">
        <v>3</v>
      </c>
      <c r="C44" s="10">
        <v>499</v>
      </c>
      <c r="D44" s="10" t="s">
        <v>39</v>
      </c>
      <c r="E44" s="10">
        <f>_xlfn.XLOOKUP(D44,Discounts!$A$2:$A$7,Discounts!$B$2:$B$7)/100</f>
        <v>0</v>
      </c>
      <c r="F44" s="12">
        <f t="shared" si="1"/>
        <v>1497</v>
      </c>
    </row>
    <row r="45" ht="16.5" spans="1:6">
      <c r="A45" s="10" t="s">
        <v>165</v>
      </c>
      <c r="B45" s="10">
        <v>5</v>
      </c>
      <c r="C45" s="10">
        <v>399</v>
      </c>
      <c r="D45" s="10" t="s">
        <v>39</v>
      </c>
      <c r="E45" s="10">
        <f>_xlfn.XLOOKUP(D45,Discounts!$A$2:$A$7,Discounts!$B$2:$B$7)/100</f>
        <v>0</v>
      </c>
      <c r="F45" s="12">
        <f t="shared" si="1"/>
        <v>1995</v>
      </c>
    </row>
    <row r="46" ht="16.5" spans="1:6">
      <c r="A46" s="10" t="s">
        <v>167</v>
      </c>
      <c r="B46" s="10">
        <v>1</v>
      </c>
      <c r="C46" s="10">
        <v>379</v>
      </c>
      <c r="D46" s="10" t="s">
        <v>102</v>
      </c>
      <c r="E46" s="10">
        <f>_xlfn.XLOOKUP(D46,Discounts!$A$2:$A$7,Discounts!$B$2:$B$7)/100</f>
        <v>0.1</v>
      </c>
      <c r="F46" s="12">
        <f t="shared" si="1"/>
        <v>341.1</v>
      </c>
    </row>
    <row r="47" ht="16.5" spans="1:6">
      <c r="A47" s="10" t="s">
        <v>56</v>
      </c>
      <c r="B47" s="10">
        <v>2</v>
      </c>
      <c r="C47" s="10">
        <v>199</v>
      </c>
      <c r="D47" s="10" t="s">
        <v>69</v>
      </c>
      <c r="E47" s="10">
        <f>_xlfn.XLOOKUP(D47,Discounts!$A$2:$A$7,Discounts!$B$2:$B$7)/100</f>
        <v>0.2</v>
      </c>
      <c r="F47" s="12">
        <f t="shared" si="1"/>
        <v>318.4</v>
      </c>
    </row>
    <row r="48" ht="16.5" spans="1:6">
      <c r="A48" s="10" t="s">
        <v>137</v>
      </c>
      <c r="B48" s="10">
        <v>3</v>
      </c>
      <c r="C48" s="10">
        <v>199</v>
      </c>
      <c r="D48" s="10" t="s">
        <v>39</v>
      </c>
      <c r="E48" s="10">
        <f>_xlfn.XLOOKUP(D48,Discounts!$A$2:$A$7,Discounts!$B$2:$B$7)/100</f>
        <v>0</v>
      </c>
      <c r="F48" s="12">
        <f t="shared" si="1"/>
        <v>597</v>
      </c>
    </row>
    <row r="49" ht="16.5" spans="1:6">
      <c r="A49" s="10" t="s">
        <v>173</v>
      </c>
      <c r="B49" s="10">
        <v>1</v>
      </c>
      <c r="C49" s="10">
        <v>399</v>
      </c>
      <c r="D49" s="10" t="s">
        <v>39</v>
      </c>
      <c r="E49" s="10">
        <f>_xlfn.XLOOKUP(D49,Discounts!$A$2:$A$7,Discounts!$B$2:$B$7)/100</f>
        <v>0</v>
      </c>
      <c r="F49" s="12">
        <f t="shared" si="1"/>
        <v>399</v>
      </c>
    </row>
    <row r="50" ht="16.5" spans="1:6">
      <c r="A50" s="10" t="s">
        <v>165</v>
      </c>
      <c r="B50" s="10">
        <v>2</v>
      </c>
      <c r="C50" s="10">
        <v>199</v>
      </c>
      <c r="D50" s="10" t="s">
        <v>39</v>
      </c>
      <c r="E50" s="10">
        <f>_xlfn.XLOOKUP(D50,Discounts!$A$2:$A$7,Discounts!$B$2:$B$7)/100</f>
        <v>0</v>
      </c>
      <c r="F50" s="12">
        <f t="shared" si="1"/>
        <v>398</v>
      </c>
    </row>
    <row r="51" ht="16.5" spans="1:6">
      <c r="A51" s="10" t="s">
        <v>137</v>
      </c>
      <c r="B51" s="10">
        <v>1</v>
      </c>
      <c r="C51" s="10">
        <v>249</v>
      </c>
      <c r="D51" s="10" t="s">
        <v>49</v>
      </c>
      <c r="E51" s="10">
        <f>_xlfn.XLOOKUP(D51,Discounts!$A$2:$A$7,Discounts!$B$2:$B$7)/100</f>
        <v>0.15</v>
      </c>
      <c r="F51" s="12">
        <f t="shared" si="1"/>
        <v>211.65</v>
      </c>
    </row>
    <row r="52" ht="16.5" spans="1:6">
      <c r="A52" s="10" t="s">
        <v>177</v>
      </c>
      <c r="B52" s="10">
        <v>1</v>
      </c>
      <c r="C52" s="10">
        <v>349</v>
      </c>
      <c r="D52" s="10" t="s">
        <v>39</v>
      </c>
      <c r="E52" s="10">
        <f>_xlfn.XLOOKUP(D52,Discounts!$A$2:$A$7,Discounts!$B$2:$B$7)/100</f>
        <v>0</v>
      </c>
      <c r="F52" s="12">
        <f t="shared" si="1"/>
        <v>349</v>
      </c>
    </row>
    <row r="53" ht="16.5" spans="1:6">
      <c r="A53" s="10" t="s">
        <v>109</v>
      </c>
      <c r="B53" s="10">
        <v>2</v>
      </c>
      <c r="C53" s="10">
        <v>349</v>
      </c>
      <c r="D53" s="10" t="s">
        <v>49</v>
      </c>
      <c r="E53" s="10">
        <f>_xlfn.XLOOKUP(D53,Discounts!$A$2:$A$7,Discounts!$B$2:$B$7)/100</f>
        <v>0.15</v>
      </c>
      <c r="F53" s="12">
        <f t="shared" si="1"/>
        <v>593.3</v>
      </c>
    </row>
    <row r="54" ht="16.5" spans="1:6">
      <c r="A54" s="10" t="s">
        <v>182</v>
      </c>
      <c r="B54" s="10">
        <v>5</v>
      </c>
      <c r="C54" s="10">
        <v>1199</v>
      </c>
      <c r="D54" s="10" t="s">
        <v>39</v>
      </c>
      <c r="E54" s="10">
        <f>_xlfn.XLOOKUP(D54,Discounts!$A$2:$A$7,Discounts!$B$2:$B$7)/100</f>
        <v>0</v>
      </c>
      <c r="F54" s="12">
        <f t="shared" si="1"/>
        <v>5995</v>
      </c>
    </row>
    <row r="55" ht="16.5" spans="1:6">
      <c r="A55" s="10" t="s">
        <v>184</v>
      </c>
      <c r="B55" s="10">
        <v>3</v>
      </c>
      <c r="C55" s="10">
        <v>899</v>
      </c>
      <c r="D55" s="10" t="s">
        <v>49</v>
      </c>
      <c r="E55" s="10">
        <f>_xlfn.XLOOKUP(D55,Discounts!$A$2:$A$7,Discounts!$B$2:$B$7)/100</f>
        <v>0.15</v>
      </c>
      <c r="F55" s="12">
        <f t="shared" si="1"/>
        <v>2292.45</v>
      </c>
    </row>
    <row r="56" ht="16.5" spans="1:6">
      <c r="A56" s="10" t="s">
        <v>167</v>
      </c>
      <c r="B56" s="10">
        <v>1</v>
      </c>
      <c r="C56" s="10">
        <v>899</v>
      </c>
      <c r="D56" s="10" t="s">
        <v>39</v>
      </c>
      <c r="E56" s="10">
        <f>_xlfn.XLOOKUP(D56,Discounts!$A$2:$A$7,Discounts!$B$2:$B$7)/100</f>
        <v>0</v>
      </c>
      <c r="F56" s="12">
        <f t="shared" si="1"/>
        <v>899</v>
      </c>
    </row>
    <row r="57" ht="16.5" spans="1:6">
      <c r="A57" s="10" t="s">
        <v>189</v>
      </c>
      <c r="B57" s="10">
        <v>5</v>
      </c>
      <c r="C57" s="10">
        <v>349</v>
      </c>
      <c r="D57" s="10" t="s">
        <v>89</v>
      </c>
      <c r="E57" s="10">
        <f>_xlfn.XLOOKUP(D57,Discounts!$A$2:$A$7,Discounts!$B$2:$B$7)/100</f>
        <v>0.3</v>
      </c>
      <c r="F57" s="12">
        <f t="shared" si="1"/>
        <v>1221.5</v>
      </c>
    </row>
    <row r="58" ht="16.5" spans="1:6">
      <c r="A58" s="10" t="s">
        <v>191</v>
      </c>
      <c r="B58" s="10">
        <v>5</v>
      </c>
      <c r="C58" s="10">
        <v>499</v>
      </c>
      <c r="D58" s="10" t="s">
        <v>102</v>
      </c>
      <c r="E58" s="10">
        <f>_xlfn.XLOOKUP(D58,Discounts!$A$2:$A$7,Discounts!$B$2:$B$7)/100</f>
        <v>0.1</v>
      </c>
      <c r="F58" s="12">
        <f t="shared" si="1"/>
        <v>2245.5</v>
      </c>
    </row>
    <row r="59" ht="16.5" spans="1:6">
      <c r="A59" s="10" t="s">
        <v>92</v>
      </c>
      <c r="B59" s="10">
        <v>4</v>
      </c>
      <c r="C59" s="10">
        <v>249</v>
      </c>
      <c r="D59" s="10" t="s">
        <v>89</v>
      </c>
      <c r="E59" s="10">
        <f>_xlfn.XLOOKUP(D59,Discounts!$A$2:$A$7,Discounts!$B$2:$B$7)/100</f>
        <v>0.3</v>
      </c>
      <c r="F59" s="12">
        <f t="shared" si="1"/>
        <v>697.2</v>
      </c>
    </row>
    <row r="60" ht="16.5" spans="1:6">
      <c r="A60" s="10" t="s">
        <v>194</v>
      </c>
      <c r="B60" s="10">
        <v>2</v>
      </c>
      <c r="C60" s="10">
        <v>899</v>
      </c>
      <c r="D60" s="10" t="s">
        <v>49</v>
      </c>
      <c r="E60" s="10">
        <f>_xlfn.XLOOKUP(D60,Discounts!$A$2:$A$7,Discounts!$B$2:$B$7)/100</f>
        <v>0.15</v>
      </c>
      <c r="F60" s="12">
        <f t="shared" si="1"/>
        <v>1528.3</v>
      </c>
    </row>
    <row r="61" ht="16.5" spans="1:6">
      <c r="A61" s="10" t="s">
        <v>51</v>
      </c>
      <c r="B61" s="10">
        <v>4</v>
      </c>
      <c r="C61" s="10">
        <v>649</v>
      </c>
      <c r="D61" s="10" t="s">
        <v>69</v>
      </c>
      <c r="E61" s="10">
        <f>_xlfn.XLOOKUP(D61,Discounts!$A$2:$A$7,Discounts!$B$2:$B$7)/100</f>
        <v>0.2</v>
      </c>
      <c r="F61" s="12">
        <f t="shared" si="1"/>
        <v>2076.8</v>
      </c>
    </row>
    <row r="62" ht="16.5" spans="1:6">
      <c r="A62" s="10" t="s">
        <v>119</v>
      </c>
      <c r="B62" s="10">
        <v>1</v>
      </c>
      <c r="C62" s="10">
        <v>499</v>
      </c>
      <c r="D62" s="10" t="s">
        <v>69</v>
      </c>
      <c r="E62" s="10">
        <f>_xlfn.XLOOKUP(D62,Discounts!$A$2:$A$7,Discounts!$B$2:$B$7)/100</f>
        <v>0.2</v>
      </c>
      <c r="F62" s="12">
        <f t="shared" si="1"/>
        <v>399.2</v>
      </c>
    </row>
    <row r="63" ht="16.5" spans="1:6">
      <c r="A63" s="10" t="s">
        <v>129</v>
      </c>
      <c r="B63" s="10">
        <v>1</v>
      </c>
      <c r="C63" s="10">
        <v>449</v>
      </c>
      <c r="D63" s="10" t="s">
        <v>89</v>
      </c>
      <c r="E63" s="10">
        <f>_xlfn.XLOOKUP(D63,Discounts!$A$2:$A$7,Discounts!$B$2:$B$7)/100</f>
        <v>0.3</v>
      </c>
      <c r="F63" s="12">
        <f t="shared" si="1"/>
        <v>314.3</v>
      </c>
    </row>
    <row r="64" ht="16.5" spans="1:6">
      <c r="A64" s="10" t="s">
        <v>205</v>
      </c>
      <c r="B64" s="10">
        <v>5</v>
      </c>
      <c r="C64" s="10">
        <v>499</v>
      </c>
      <c r="D64" s="10" t="s">
        <v>69</v>
      </c>
      <c r="E64" s="10">
        <f>_xlfn.XLOOKUP(D64,Discounts!$A$2:$A$7,Discounts!$B$2:$B$7)/100</f>
        <v>0.2</v>
      </c>
      <c r="F64" s="12">
        <f t="shared" si="1"/>
        <v>1996</v>
      </c>
    </row>
    <row r="65" ht="16.5" spans="1:6">
      <c r="A65" s="10" t="s">
        <v>207</v>
      </c>
      <c r="B65" s="10">
        <v>1</v>
      </c>
      <c r="C65" s="10">
        <v>449</v>
      </c>
      <c r="D65" s="10" t="s">
        <v>102</v>
      </c>
      <c r="E65" s="10">
        <f>_xlfn.XLOOKUP(D65,Discounts!$A$2:$A$7,Discounts!$B$2:$B$7)/100</f>
        <v>0.1</v>
      </c>
      <c r="F65" s="12">
        <f t="shared" si="1"/>
        <v>404.1</v>
      </c>
    </row>
    <row r="66" ht="16.5" spans="1:6">
      <c r="A66" s="10" t="s">
        <v>60</v>
      </c>
      <c r="B66" s="10">
        <v>5</v>
      </c>
      <c r="C66" s="10">
        <v>199</v>
      </c>
      <c r="D66" s="10" t="s">
        <v>89</v>
      </c>
      <c r="E66" s="10">
        <f>_xlfn.XLOOKUP(D66,Discounts!$A$2:$A$7,Discounts!$B$2:$B$7)/100</f>
        <v>0.3</v>
      </c>
      <c r="F66" s="12">
        <f t="shared" si="1"/>
        <v>696.5</v>
      </c>
    </row>
    <row r="67" ht="16.5" spans="1:6">
      <c r="A67" s="10" t="s">
        <v>210</v>
      </c>
      <c r="B67" s="10">
        <v>1</v>
      </c>
      <c r="C67" s="10">
        <v>299</v>
      </c>
      <c r="D67" s="10" t="s">
        <v>69</v>
      </c>
      <c r="E67" s="10">
        <f>_xlfn.XLOOKUP(D67,Discounts!$A$2:$A$7,Discounts!$B$2:$B$7)/100</f>
        <v>0.2</v>
      </c>
      <c r="F67" s="12">
        <f t="shared" ref="F67:F98" si="2">B67*C67*(1-E67)</f>
        <v>239.2</v>
      </c>
    </row>
    <row r="68" ht="16.5" spans="1:6">
      <c r="A68" s="10" t="s">
        <v>56</v>
      </c>
      <c r="B68" s="10">
        <v>5</v>
      </c>
      <c r="C68" s="10">
        <v>2999</v>
      </c>
      <c r="D68" s="10" t="s">
        <v>102</v>
      </c>
      <c r="E68" s="10">
        <f>_xlfn.XLOOKUP(D68,Discounts!$A$2:$A$7,Discounts!$B$2:$B$7)/100</f>
        <v>0.1</v>
      </c>
      <c r="F68" s="12">
        <f t="shared" si="2"/>
        <v>13495.5</v>
      </c>
    </row>
    <row r="69" ht="16.5" spans="1:6">
      <c r="A69" s="10" t="s">
        <v>213</v>
      </c>
      <c r="B69" s="10">
        <v>1</v>
      </c>
      <c r="C69" s="10">
        <v>349</v>
      </c>
      <c r="D69" s="10" t="s">
        <v>39</v>
      </c>
      <c r="E69" s="10">
        <f>_xlfn.XLOOKUP(D69,Discounts!$A$2:$A$7,Discounts!$B$2:$B$7)/100</f>
        <v>0</v>
      </c>
      <c r="F69" s="12">
        <f t="shared" si="2"/>
        <v>349</v>
      </c>
    </row>
    <row r="70" ht="16.5" spans="1:6">
      <c r="A70" s="10" t="s">
        <v>56</v>
      </c>
      <c r="B70" s="10">
        <v>2</v>
      </c>
      <c r="C70" s="10">
        <v>399</v>
      </c>
      <c r="D70" s="10" t="s">
        <v>89</v>
      </c>
      <c r="E70" s="10">
        <f>_xlfn.XLOOKUP(D70,Discounts!$A$2:$A$7,Discounts!$B$2:$B$7)/100</f>
        <v>0.3</v>
      </c>
      <c r="F70" s="12">
        <f t="shared" si="2"/>
        <v>558.6</v>
      </c>
    </row>
    <row r="71" ht="16.5" spans="1:6">
      <c r="A71" s="10" t="s">
        <v>41</v>
      </c>
      <c r="B71" s="10">
        <v>2</v>
      </c>
      <c r="C71" s="10">
        <v>599</v>
      </c>
      <c r="D71" s="10" t="s">
        <v>39</v>
      </c>
      <c r="E71" s="10">
        <f>_xlfn.XLOOKUP(D71,Discounts!$A$2:$A$7,Discounts!$B$2:$B$7)/100</f>
        <v>0</v>
      </c>
      <c r="F71" s="12">
        <f t="shared" si="2"/>
        <v>1198</v>
      </c>
    </row>
    <row r="72" ht="16.5" spans="1:6">
      <c r="A72" s="10" t="s">
        <v>81</v>
      </c>
      <c r="B72" s="10">
        <v>4</v>
      </c>
      <c r="C72" s="10">
        <v>649</v>
      </c>
      <c r="D72" s="10" t="s">
        <v>49</v>
      </c>
      <c r="E72" s="10">
        <f>_xlfn.XLOOKUP(D72,Discounts!$A$2:$A$7,Discounts!$B$2:$B$7)/100</f>
        <v>0.15</v>
      </c>
      <c r="F72" s="12">
        <f t="shared" si="2"/>
        <v>2206.6</v>
      </c>
    </row>
    <row r="73" ht="16.5" spans="1:6">
      <c r="A73" s="10" t="s">
        <v>182</v>
      </c>
      <c r="B73" s="10">
        <v>1</v>
      </c>
      <c r="C73" s="10">
        <v>349</v>
      </c>
      <c r="D73" s="10" t="s">
        <v>39</v>
      </c>
      <c r="E73" s="10">
        <f>_xlfn.XLOOKUP(D73,Discounts!$A$2:$A$7,Discounts!$B$2:$B$7)/100</f>
        <v>0</v>
      </c>
      <c r="F73" s="12">
        <f t="shared" si="2"/>
        <v>349</v>
      </c>
    </row>
    <row r="74" ht="16.5" spans="1:6">
      <c r="A74" s="10" t="s">
        <v>109</v>
      </c>
      <c r="B74" s="10">
        <v>1</v>
      </c>
      <c r="C74" s="10">
        <v>399</v>
      </c>
      <c r="D74" s="10" t="s">
        <v>102</v>
      </c>
      <c r="E74" s="10">
        <f>_xlfn.XLOOKUP(D74,Discounts!$A$2:$A$7,Discounts!$B$2:$B$7)/100</f>
        <v>0.1</v>
      </c>
      <c r="F74" s="12">
        <f t="shared" si="2"/>
        <v>359.1</v>
      </c>
    </row>
    <row r="75" ht="16.5" spans="1:6">
      <c r="A75" s="10" t="s">
        <v>146</v>
      </c>
      <c r="B75" s="10">
        <v>3</v>
      </c>
      <c r="C75" s="10">
        <v>1199</v>
      </c>
      <c r="D75" s="10" t="s">
        <v>69</v>
      </c>
      <c r="E75" s="10">
        <f>_xlfn.XLOOKUP(D75,Discounts!$A$2:$A$7,Discounts!$B$2:$B$7)/100</f>
        <v>0.2</v>
      </c>
      <c r="F75" s="12">
        <f t="shared" si="2"/>
        <v>2877.6</v>
      </c>
    </row>
    <row r="76" ht="16.5" spans="1:6">
      <c r="A76" s="10" t="s">
        <v>35</v>
      </c>
      <c r="B76" s="10">
        <v>2</v>
      </c>
      <c r="C76" s="10">
        <v>2999</v>
      </c>
      <c r="D76" s="10" t="s">
        <v>39</v>
      </c>
      <c r="E76" s="10">
        <f>_xlfn.XLOOKUP(D76,Discounts!$A$2:$A$7,Discounts!$B$2:$B$7)/100</f>
        <v>0</v>
      </c>
      <c r="F76" s="12">
        <f t="shared" si="2"/>
        <v>5998</v>
      </c>
    </row>
    <row r="77" ht="16.5" spans="1:6">
      <c r="A77" s="10" t="s">
        <v>65</v>
      </c>
      <c r="B77" s="10">
        <v>4</v>
      </c>
      <c r="C77" s="10">
        <v>1299</v>
      </c>
      <c r="D77" s="10" t="s">
        <v>39</v>
      </c>
      <c r="E77" s="10">
        <f>_xlfn.XLOOKUP(D77,Discounts!$A$2:$A$7,Discounts!$B$2:$B$7)/100</f>
        <v>0</v>
      </c>
      <c r="F77" s="12">
        <f t="shared" si="2"/>
        <v>5196</v>
      </c>
    </row>
    <row r="78" ht="16.5" spans="1:6">
      <c r="A78" s="10" t="s">
        <v>35</v>
      </c>
      <c r="B78" s="10">
        <v>2</v>
      </c>
      <c r="C78" s="10">
        <v>299</v>
      </c>
      <c r="D78" s="10" t="s">
        <v>39</v>
      </c>
      <c r="E78" s="10">
        <f>_xlfn.XLOOKUP(D78,Discounts!$A$2:$A$7,Discounts!$B$2:$B$7)/100</f>
        <v>0</v>
      </c>
      <c r="F78" s="12">
        <f t="shared" si="2"/>
        <v>598</v>
      </c>
    </row>
    <row r="79" ht="16.5" spans="1:6">
      <c r="A79" s="10" t="s">
        <v>75</v>
      </c>
      <c r="B79" s="10">
        <v>1</v>
      </c>
      <c r="C79" s="10">
        <v>349</v>
      </c>
      <c r="D79" s="10" t="s">
        <v>89</v>
      </c>
      <c r="E79" s="10">
        <f>_xlfn.XLOOKUP(D79,Discounts!$A$2:$A$7,Discounts!$B$2:$B$7)/100</f>
        <v>0.3</v>
      </c>
      <c r="F79" s="12">
        <f t="shared" si="2"/>
        <v>244.3</v>
      </c>
    </row>
    <row r="80" ht="16.5" spans="1:6">
      <c r="A80" s="10" t="s">
        <v>184</v>
      </c>
      <c r="B80" s="10">
        <v>2</v>
      </c>
      <c r="C80" s="10">
        <v>299</v>
      </c>
      <c r="D80" s="10" t="s">
        <v>39</v>
      </c>
      <c r="E80" s="10">
        <f>_xlfn.XLOOKUP(D80,Discounts!$A$2:$A$7,Discounts!$B$2:$B$7)/100</f>
        <v>0</v>
      </c>
      <c r="F80" s="12">
        <f t="shared" si="2"/>
        <v>598</v>
      </c>
    </row>
    <row r="81" ht="16.5" spans="1:6">
      <c r="A81" s="10" t="s">
        <v>230</v>
      </c>
      <c r="B81" s="10">
        <v>2</v>
      </c>
      <c r="C81" s="10">
        <v>699</v>
      </c>
      <c r="D81" s="10" t="s">
        <v>102</v>
      </c>
      <c r="E81" s="10">
        <f>_xlfn.XLOOKUP(D81,Discounts!$A$2:$A$7,Discounts!$B$2:$B$7)/100</f>
        <v>0.1</v>
      </c>
      <c r="F81" s="12">
        <f t="shared" si="2"/>
        <v>1258.2</v>
      </c>
    </row>
    <row r="82" ht="16.5" spans="1:6">
      <c r="A82" s="10" t="s">
        <v>165</v>
      </c>
      <c r="B82" s="10">
        <v>2</v>
      </c>
      <c r="C82" s="10">
        <v>199</v>
      </c>
      <c r="D82" s="10" t="s">
        <v>39</v>
      </c>
      <c r="E82" s="10">
        <f>_xlfn.XLOOKUP(D82,Discounts!$A$2:$A$7,Discounts!$B$2:$B$7)/100</f>
        <v>0</v>
      </c>
      <c r="F82" s="12">
        <f t="shared" si="2"/>
        <v>398</v>
      </c>
    </row>
    <row r="83" ht="16.5" spans="1:6">
      <c r="A83" s="10" t="s">
        <v>233</v>
      </c>
      <c r="B83" s="10">
        <v>4</v>
      </c>
      <c r="C83" s="10">
        <v>499</v>
      </c>
      <c r="D83" s="10" t="s">
        <v>39</v>
      </c>
      <c r="E83" s="10">
        <f>_xlfn.XLOOKUP(D83,Discounts!$A$2:$A$7,Discounts!$B$2:$B$7)/100</f>
        <v>0</v>
      </c>
      <c r="F83" s="12">
        <f t="shared" si="2"/>
        <v>1996</v>
      </c>
    </row>
    <row r="84" ht="16.5" spans="1:6">
      <c r="A84" s="10" t="s">
        <v>207</v>
      </c>
      <c r="B84" s="10">
        <v>2</v>
      </c>
      <c r="C84" s="10">
        <v>699</v>
      </c>
      <c r="D84" s="10" t="s">
        <v>39</v>
      </c>
      <c r="E84" s="10">
        <f>_xlfn.XLOOKUP(D84,Discounts!$A$2:$A$7,Discounts!$B$2:$B$7)/100</f>
        <v>0</v>
      </c>
      <c r="F84" s="12">
        <f t="shared" si="2"/>
        <v>1398</v>
      </c>
    </row>
    <row r="85" ht="16.5" spans="1:6">
      <c r="A85" s="10" t="s">
        <v>56</v>
      </c>
      <c r="B85" s="10">
        <v>1</v>
      </c>
      <c r="C85" s="10">
        <v>299</v>
      </c>
      <c r="D85" s="10" t="s">
        <v>39</v>
      </c>
      <c r="E85" s="10">
        <f>_xlfn.XLOOKUP(D85,Discounts!$A$2:$A$7,Discounts!$B$2:$B$7)/100</f>
        <v>0</v>
      </c>
      <c r="F85" s="12">
        <f t="shared" si="2"/>
        <v>299</v>
      </c>
    </row>
    <row r="86" ht="16.5" spans="1:6">
      <c r="A86" s="10" t="s">
        <v>46</v>
      </c>
      <c r="B86" s="10">
        <v>5</v>
      </c>
      <c r="C86" s="10">
        <v>99</v>
      </c>
      <c r="D86" s="10" t="s">
        <v>33</v>
      </c>
      <c r="E86" s="10">
        <f>_xlfn.XLOOKUP(D86,Discounts!$A$2:$A$7,Discounts!$B$2:$B$7)/100</f>
        <v>0.25</v>
      </c>
      <c r="F86" s="12">
        <f t="shared" si="2"/>
        <v>371.25</v>
      </c>
    </row>
    <row r="87" ht="16.5" spans="1:6">
      <c r="A87" s="10" t="s">
        <v>60</v>
      </c>
      <c r="B87" s="10">
        <v>3</v>
      </c>
      <c r="C87" s="10">
        <v>1199</v>
      </c>
      <c r="D87" s="10" t="s">
        <v>39</v>
      </c>
      <c r="E87" s="10">
        <f>_xlfn.XLOOKUP(D87,Discounts!$A$2:$A$7,Discounts!$B$2:$B$7)/100</f>
        <v>0</v>
      </c>
      <c r="F87" s="12">
        <f t="shared" si="2"/>
        <v>3597</v>
      </c>
    </row>
    <row r="88" ht="16.5" spans="1:6">
      <c r="A88" s="10" t="s">
        <v>205</v>
      </c>
      <c r="B88" s="10">
        <v>2</v>
      </c>
      <c r="C88" s="10">
        <v>379</v>
      </c>
      <c r="D88" s="10" t="s">
        <v>102</v>
      </c>
      <c r="E88" s="10">
        <f>_xlfn.XLOOKUP(D88,Discounts!$A$2:$A$7,Discounts!$B$2:$B$7)/100</f>
        <v>0.1</v>
      </c>
      <c r="F88" s="12">
        <f t="shared" si="2"/>
        <v>682.2</v>
      </c>
    </row>
    <row r="89" ht="16.5" spans="1:6">
      <c r="A89" s="10" t="s">
        <v>167</v>
      </c>
      <c r="B89" s="10">
        <v>4</v>
      </c>
      <c r="C89" s="10">
        <v>349</v>
      </c>
      <c r="D89" s="10" t="s">
        <v>39</v>
      </c>
      <c r="E89" s="10">
        <f>_xlfn.XLOOKUP(D89,Discounts!$A$2:$A$7,Discounts!$B$2:$B$7)/100</f>
        <v>0</v>
      </c>
      <c r="F89" s="12">
        <f t="shared" si="2"/>
        <v>1396</v>
      </c>
    </row>
    <row r="90" ht="16.5" spans="1:6">
      <c r="A90" s="10" t="s">
        <v>243</v>
      </c>
      <c r="B90" s="10">
        <v>3</v>
      </c>
      <c r="C90" s="10">
        <v>349</v>
      </c>
      <c r="D90" s="10" t="s">
        <v>39</v>
      </c>
      <c r="E90" s="10">
        <f>_xlfn.XLOOKUP(D90,Discounts!$A$2:$A$7,Discounts!$B$2:$B$7)/100</f>
        <v>0</v>
      </c>
      <c r="F90" s="12">
        <f t="shared" si="2"/>
        <v>1047</v>
      </c>
    </row>
    <row r="91" ht="16.5" spans="1:6">
      <c r="A91" s="10" t="s">
        <v>233</v>
      </c>
      <c r="B91" s="10">
        <v>2</v>
      </c>
      <c r="C91" s="10">
        <v>499</v>
      </c>
      <c r="D91" s="10" t="s">
        <v>39</v>
      </c>
      <c r="E91" s="10">
        <f>_xlfn.XLOOKUP(D91,Discounts!$A$2:$A$7,Discounts!$B$2:$B$7)/100</f>
        <v>0</v>
      </c>
      <c r="F91" s="12">
        <f t="shared" si="2"/>
        <v>998</v>
      </c>
    </row>
    <row r="92" ht="16.5" spans="1:6">
      <c r="A92" s="10" t="s">
        <v>194</v>
      </c>
      <c r="B92" s="10">
        <v>1</v>
      </c>
      <c r="C92" s="10">
        <v>99</v>
      </c>
      <c r="D92" s="10" t="s">
        <v>89</v>
      </c>
      <c r="E92" s="10">
        <f>_xlfn.XLOOKUP(D92,Discounts!$A$2:$A$7,Discounts!$B$2:$B$7)/100</f>
        <v>0.3</v>
      </c>
      <c r="F92" s="12">
        <f t="shared" si="2"/>
        <v>69.3</v>
      </c>
    </row>
    <row r="93" ht="16.5" spans="1:6">
      <c r="A93" s="10" t="s">
        <v>119</v>
      </c>
      <c r="B93" s="10">
        <v>2</v>
      </c>
      <c r="C93" s="10">
        <v>599</v>
      </c>
      <c r="D93" s="10" t="s">
        <v>39</v>
      </c>
      <c r="E93" s="10">
        <f>_xlfn.XLOOKUP(D93,Discounts!$A$2:$A$7,Discounts!$B$2:$B$7)/100</f>
        <v>0</v>
      </c>
      <c r="F93" s="12">
        <f t="shared" si="2"/>
        <v>1198</v>
      </c>
    </row>
    <row r="94" ht="16.5" spans="1:6">
      <c r="A94" s="10" t="s">
        <v>213</v>
      </c>
      <c r="B94" s="10">
        <v>4</v>
      </c>
      <c r="C94" s="10">
        <v>499</v>
      </c>
      <c r="D94" s="10" t="s">
        <v>39</v>
      </c>
      <c r="E94" s="10">
        <f>_xlfn.XLOOKUP(D94,Discounts!$A$2:$A$7,Discounts!$B$2:$B$7)/100</f>
        <v>0</v>
      </c>
      <c r="F94" s="12">
        <f t="shared" si="2"/>
        <v>1996</v>
      </c>
    </row>
    <row r="95" ht="16.5" spans="1:6">
      <c r="A95" s="10" t="s">
        <v>119</v>
      </c>
      <c r="B95" s="10">
        <v>3</v>
      </c>
      <c r="C95" s="10">
        <v>199</v>
      </c>
      <c r="D95" s="10" t="s">
        <v>39</v>
      </c>
      <c r="E95" s="10">
        <f>_xlfn.XLOOKUP(D95,Discounts!$A$2:$A$7,Discounts!$B$2:$B$7)/100</f>
        <v>0</v>
      </c>
      <c r="F95" s="12">
        <f t="shared" si="2"/>
        <v>597</v>
      </c>
    </row>
    <row r="96" ht="16.5" spans="1:6">
      <c r="A96" s="10" t="s">
        <v>92</v>
      </c>
      <c r="B96" s="10">
        <v>1</v>
      </c>
      <c r="C96" s="10">
        <v>199</v>
      </c>
      <c r="D96" s="10" t="s">
        <v>39</v>
      </c>
      <c r="E96" s="10">
        <f>_xlfn.XLOOKUP(D96,Discounts!$A$2:$A$7,Discounts!$B$2:$B$7)/100</f>
        <v>0</v>
      </c>
      <c r="F96" s="12">
        <f t="shared" si="2"/>
        <v>199</v>
      </c>
    </row>
    <row r="97" ht="16.5" spans="1:6">
      <c r="A97" s="10" t="s">
        <v>210</v>
      </c>
      <c r="B97" s="10">
        <v>5</v>
      </c>
      <c r="C97" s="10">
        <v>2999</v>
      </c>
      <c r="D97" s="10" t="s">
        <v>69</v>
      </c>
      <c r="E97" s="10">
        <f>_xlfn.XLOOKUP(D97,Discounts!$A$2:$A$7,Discounts!$B$2:$B$7)/100</f>
        <v>0.2</v>
      </c>
      <c r="F97" s="12">
        <f t="shared" si="2"/>
        <v>11996</v>
      </c>
    </row>
    <row r="98" ht="16.5" spans="1:6">
      <c r="A98" s="10" t="s">
        <v>155</v>
      </c>
      <c r="B98" s="10">
        <v>3</v>
      </c>
      <c r="C98" s="10">
        <v>1199</v>
      </c>
      <c r="D98" s="10" t="s">
        <v>89</v>
      </c>
      <c r="E98" s="10">
        <f>_xlfn.XLOOKUP(D98,Discounts!$A$2:$A$7,Discounts!$B$2:$B$7)/100</f>
        <v>0.3</v>
      </c>
      <c r="F98" s="12">
        <f t="shared" si="2"/>
        <v>2517.9</v>
      </c>
    </row>
    <row r="99" ht="16.5" spans="1:6">
      <c r="A99" s="10" t="s">
        <v>85</v>
      </c>
      <c r="B99" s="10">
        <v>4</v>
      </c>
      <c r="C99" s="10">
        <v>649</v>
      </c>
      <c r="D99" s="10" t="s">
        <v>39</v>
      </c>
      <c r="E99" s="10">
        <f>_xlfn.XLOOKUP(D99,Discounts!$A$2:$A$7,Discounts!$B$2:$B$7)/100</f>
        <v>0</v>
      </c>
      <c r="F99" s="12">
        <f t="shared" ref="F99:F130" si="3">B99*C99*(1-E99)</f>
        <v>2596</v>
      </c>
    </row>
    <row r="100" ht="16.5" spans="1:6">
      <c r="A100" s="10" t="s">
        <v>75</v>
      </c>
      <c r="B100" s="10">
        <v>2</v>
      </c>
      <c r="C100" s="10">
        <v>899</v>
      </c>
      <c r="D100" s="10" t="s">
        <v>39</v>
      </c>
      <c r="E100" s="10">
        <f>_xlfn.XLOOKUP(D100,Discounts!$A$2:$A$7,Discounts!$B$2:$B$7)/100</f>
        <v>0</v>
      </c>
      <c r="F100" s="12">
        <f t="shared" si="3"/>
        <v>1798</v>
      </c>
    </row>
    <row r="101" ht="16.5" spans="1:6">
      <c r="A101" s="10" t="s">
        <v>173</v>
      </c>
      <c r="B101" s="10">
        <v>2</v>
      </c>
      <c r="C101" s="10">
        <v>99</v>
      </c>
      <c r="D101" s="10" t="s">
        <v>102</v>
      </c>
      <c r="E101" s="10">
        <f>_xlfn.XLOOKUP(D101,Discounts!$A$2:$A$7,Discounts!$B$2:$B$7)/100</f>
        <v>0.1</v>
      </c>
      <c r="F101" s="12">
        <f t="shared" si="3"/>
        <v>178.2</v>
      </c>
    </row>
    <row r="102" ht="16.5" spans="1:6">
      <c r="A102" s="10" t="s">
        <v>191</v>
      </c>
      <c r="B102" s="10">
        <v>5</v>
      </c>
      <c r="C102" s="10">
        <v>799</v>
      </c>
      <c r="D102" s="10" t="s">
        <v>33</v>
      </c>
      <c r="E102" s="10">
        <f>_xlfn.XLOOKUP(D102,Discounts!$A$2:$A$7,Discounts!$B$2:$B$7)/100</f>
        <v>0.25</v>
      </c>
      <c r="F102" s="12">
        <f t="shared" si="3"/>
        <v>2996.25</v>
      </c>
    </row>
    <row r="103" ht="16.5" spans="1:6">
      <c r="A103" s="10" t="s">
        <v>115</v>
      </c>
      <c r="B103" s="10">
        <v>1</v>
      </c>
      <c r="C103" s="10">
        <v>399</v>
      </c>
      <c r="D103" s="10" t="s">
        <v>39</v>
      </c>
      <c r="E103" s="10">
        <f>_xlfn.XLOOKUP(D103,Discounts!$A$2:$A$7,Discounts!$B$2:$B$7)/100</f>
        <v>0</v>
      </c>
      <c r="F103" s="12">
        <f t="shared" si="3"/>
        <v>399</v>
      </c>
    </row>
    <row r="104" ht="16.5" spans="1:6">
      <c r="A104" s="10" t="s">
        <v>60</v>
      </c>
      <c r="B104" s="10">
        <v>2</v>
      </c>
      <c r="C104" s="10">
        <v>199</v>
      </c>
      <c r="D104" s="10" t="s">
        <v>89</v>
      </c>
      <c r="E104" s="10">
        <f>_xlfn.XLOOKUP(D104,Discounts!$A$2:$A$7,Discounts!$B$2:$B$7)/100</f>
        <v>0.3</v>
      </c>
      <c r="F104" s="12">
        <f t="shared" si="3"/>
        <v>278.6</v>
      </c>
    </row>
    <row r="105" ht="16.5" spans="1:6">
      <c r="A105" s="10" t="s">
        <v>46</v>
      </c>
      <c r="B105" s="10">
        <v>1</v>
      </c>
      <c r="C105" s="10">
        <v>1299</v>
      </c>
      <c r="D105" s="10" t="s">
        <v>102</v>
      </c>
      <c r="E105" s="10">
        <f>_xlfn.XLOOKUP(D105,Discounts!$A$2:$A$7,Discounts!$B$2:$B$7)/100</f>
        <v>0.1</v>
      </c>
      <c r="F105" s="12">
        <f t="shared" si="3"/>
        <v>1169.1</v>
      </c>
    </row>
    <row r="106" ht="16.5" spans="1:6">
      <c r="A106" s="10" t="s">
        <v>29</v>
      </c>
      <c r="B106" s="10">
        <v>4</v>
      </c>
      <c r="C106" s="10">
        <v>499</v>
      </c>
      <c r="D106" s="10" t="s">
        <v>89</v>
      </c>
      <c r="E106" s="10">
        <f>_xlfn.XLOOKUP(D106,Discounts!$A$2:$A$7,Discounts!$B$2:$B$7)/100</f>
        <v>0.3</v>
      </c>
      <c r="F106" s="12">
        <f t="shared" si="3"/>
        <v>1397.2</v>
      </c>
    </row>
    <row r="107" ht="16.5" spans="1:6">
      <c r="A107" s="10" t="s">
        <v>119</v>
      </c>
      <c r="B107" s="10">
        <v>4</v>
      </c>
      <c r="C107" s="10">
        <v>349</v>
      </c>
      <c r="D107" s="10" t="s">
        <v>39</v>
      </c>
      <c r="E107" s="10">
        <f>_xlfn.XLOOKUP(D107,Discounts!$A$2:$A$7,Discounts!$B$2:$B$7)/100</f>
        <v>0</v>
      </c>
      <c r="F107" s="12">
        <f t="shared" si="3"/>
        <v>1396</v>
      </c>
    </row>
    <row r="108" ht="16.5" spans="1:6">
      <c r="A108" s="10" t="s">
        <v>65</v>
      </c>
      <c r="B108" s="10">
        <v>3</v>
      </c>
      <c r="C108" s="10">
        <v>349</v>
      </c>
      <c r="D108" s="10" t="s">
        <v>39</v>
      </c>
      <c r="E108" s="10">
        <f>_xlfn.XLOOKUP(D108,Discounts!$A$2:$A$7,Discounts!$B$2:$B$7)/100</f>
        <v>0</v>
      </c>
      <c r="F108" s="12">
        <f t="shared" si="3"/>
        <v>1047</v>
      </c>
    </row>
    <row r="109" ht="16.5" spans="1:6">
      <c r="A109" s="10" t="s">
        <v>94</v>
      </c>
      <c r="B109" s="10">
        <v>1</v>
      </c>
      <c r="C109" s="10">
        <v>1199</v>
      </c>
      <c r="D109" s="10" t="s">
        <v>39</v>
      </c>
      <c r="E109" s="10">
        <f>_xlfn.XLOOKUP(D109,Discounts!$A$2:$A$7,Discounts!$B$2:$B$7)/100</f>
        <v>0</v>
      </c>
      <c r="F109" s="12">
        <f t="shared" si="3"/>
        <v>1199</v>
      </c>
    </row>
    <row r="110" ht="16.5" spans="1:6">
      <c r="A110" s="10" t="s">
        <v>146</v>
      </c>
      <c r="B110" s="10">
        <v>1</v>
      </c>
      <c r="C110" s="10">
        <v>349</v>
      </c>
      <c r="D110" s="10" t="s">
        <v>39</v>
      </c>
      <c r="E110" s="10">
        <f>_xlfn.XLOOKUP(D110,Discounts!$A$2:$A$7,Discounts!$B$2:$B$7)/100</f>
        <v>0</v>
      </c>
      <c r="F110" s="12">
        <f t="shared" si="3"/>
        <v>349</v>
      </c>
    </row>
    <row r="111" ht="16.5" spans="1:6">
      <c r="A111" s="10" t="s">
        <v>184</v>
      </c>
      <c r="B111" s="10">
        <v>3</v>
      </c>
      <c r="C111" s="10">
        <v>199</v>
      </c>
      <c r="D111" s="10" t="s">
        <v>39</v>
      </c>
      <c r="E111" s="10">
        <f>_xlfn.XLOOKUP(D111,Discounts!$A$2:$A$7,Discounts!$B$2:$B$7)/100</f>
        <v>0</v>
      </c>
      <c r="F111" s="12">
        <f t="shared" si="3"/>
        <v>597</v>
      </c>
    </row>
    <row r="112" ht="16.5" spans="1:6">
      <c r="A112" s="10" t="s">
        <v>267</v>
      </c>
      <c r="B112" s="10">
        <v>4</v>
      </c>
      <c r="C112" s="10">
        <v>499</v>
      </c>
      <c r="D112" s="10" t="s">
        <v>39</v>
      </c>
      <c r="E112" s="10">
        <f>_xlfn.XLOOKUP(D112,Discounts!$A$2:$A$7,Discounts!$B$2:$B$7)/100</f>
        <v>0</v>
      </c>
      <c r="F112" s="12">
        <f t="shared" si="3"/>
        <v>1996</v>
      </c>
    </row>
    <row r="113" ht="16.5" spans="1:6">
      <c r="A113" s="10" t="s">
        <v>94</v>
      </c>
      <c r="B113" s="10">
        <v>5</v>
      </c>
      <c r="C113" s="10">
        <v>449</v>
      </c>
      <c r="D113" s="10" t="s">
        <v>39</v>
      </c>
      <c r="E113" s="10">
        <f>_xlfn.XLOOKUP(D113,Discounts!$A$2:$A$7,Discounts!$B$2:$B$7)/100</f>
        <v>0</v>
      </c>
      <c r="F113" s="12">
        <f t="shared" si="3"/>
        <v>2245</v>
      </c>
    </row>
    <row r="114" ht="16.5" spans="1:6">
      <c r="A114" s="10" t="s">
        <v>173</v>
      </c>
      <c r="B114" s="10">
        <v>4</v>
      </c>
      <c r="C114" s="10">
        <v>2999</v>
      </c>
      <c r="D114" s="10" t="s">
        <v>39</v>
      </c>
      <c r="E114" s="10">
        <f>_xlfn.XLOOKUP(D114,Discounts!$A$2:$A$7,Discounts!$B$2:$B$7)/100</f>
        <v>0</v>
      </c>
      <c r="F114" s="12">
        <f t="shared" si="3"/>
        <v>11996</v>
      </c>
    </row>
    <row r="115" ht="16.5" spans="1:6">
      <c r="A115" s="10" t="s">
        <v>230</v>
      </c>
      <c r="B115" s="10">
        <v>2</v>
      </c>
      <c r="C115" s="10">
        <v>349</v>
      </c>
      <c r="D115" s="10" t="s">
        <v>49</v>
      </c>
      <c r="E115" s="10">
        <f>_xlfn.XLOOKUP(D115,Discounts!$A$2:$A$7,Discounts!$B$2:$B$7)/100</f>
        <v>0.15</v>
      </c>
      <c r="F115" s="12">
        <f t="shared" si="3"/>
        <v>593.3</v>
      </c>
    </row>
    <row r="116" ht="16.5" spans="1:6">
      <c r="A116" s="10" t="s">
        <v>191</v>
      </c>
      <c r="B116" s="10">
        <v>5</v>
      </c>
      <c r="C116" s="10">
        <v>699</v>
      </c>
      <c r="D116" s="10" t="s">
        <v>102</v>
      </c>
      <c r="E116" s="10">
        <f>_xlfn.XLOOKUP(D116,Discounts!$A$2:$A$7,Discounts!$B$2:$B$7)/100</f>
        <v>0.1</v>
      </c>
      <c r="F116" s="12">
        <f t="shared" si="3"/>
        <v>3145.5</v>
      </c>
    </row>
    <row r="117" ht="16.5" spans="1:6">
      <c r="A117" s="10" t="s">
        <v>155</v>
      </c>
      <c r="B117" s="10">
        <v>4</v>
      </c>
      <c r="C117" s="10">
        <v>2499</v>
      </c>
      <c r="D117" s="10" t="s">
        <v>69</v>
      </c>
      <c r="E117" s="10">
        <f>_xlfn.XLOOKUP(D117,Discounts!$A$2:$A$7,Discounts!$B$2:$B$7)/100</f>
        <v>0.2</v>
      </c>
      <c r="F117" s="12">
        <f t="shared" si="3"/>
        <v>7996.8</v>
      </c>
    </row>
    <row r="118" ht="16.5" spans="1:6">
      <c r="A118" s="10" t="s">
        <v>167</v>
      </c>
      <c r="B118" s="10">
        <v>5</v>
      </c>
      <c r="C118" s="10">
        <v>2999</v>
      </c>
      <c r="D118" s="10" t="s">
        <v>39</v>
      </c>
      <c r="E118" s="10">
        <f>_xlfn.XLOOKUP(D118,Discounts!$A$2:$A$7,Discounts!$B$2:$B$7)/100</f>
        <v>0</v>
      </c>
      <c r="F118" s="12">
        <f t="shared" si="3"/>
        <v>14995</v>
      </c>
    </row>
    <row r="119" ht="16.5" spans="1:6">
      <c r="A119" s="10" t="s">
        <v>119</v>
      </c>
      <c r="B119" s="10">
        <v>2</v>
      </c>
      <c r="C119" s="10">
        <v>399</v>
      </c>
      <c r="D119" s="10" t="s">
        <v>39</v>
      </c>
      <c r="E119" s="10">
        <f>_xlfn.XLOOKUP(D119,Discounts!$A$2:$A$7,Discounts!$B$2:$B$7)/100</f>
        <v>0</v>
      </c>
      <c r="F119" s="12">
        <f t="shared" si="3"/>
        <v>798</v>
      </c>
    </row>
    <row r="120" ht="16.5" spans="1:6">
      <c r="A120" s="10" t="s">
        <v>165</v>
      </c>
      <c r="B120" s="10">
        <v>3</v>
      </c>
      <c r="C120" s="10">
        <v>799</v>
      </c>
      <c r="D120" s="10" t="s">
        <v>39</v>
      </c>
      <c r="E120" s="10">
        <f>_xlfn.XLOOKUP(D120,Discounts!$A$2:$A$7,Discounts!$B$2:$B$7)/100</f>
        <v>0</v>
      </c>
      <c r="F120" s="12">
        <f t="shared" si="3"/>
        <v>2397</v>
      </c>
    </row>
    <row r="121" ht="16.5" spans="1:6">
      <c r="A121" s="10" t="s">
        <v>146</v>
      </c>
      <c r="B121" s="10">
        <v>4</v>
      </c>
      <c r="C121" s="10">
        <v>399</v>
      </c>
      <c r="D121" s="10" t="s">
        <v>69</v>
      </c>
      <c r="E121" s="10">
        <f>_xlfn.XLOOKUP(D121,Discounts!$A$2:$A$7,Discounts!$B$2:$B$7)/100</f>
        <v>0.2</v>
      </c>
      <c r="F121" s="12">
        <f t="shared" si="3"/>
        <v>1276.8</v>
      </c>
    </row>
    <row r="122" ht="16.5" spans="1:6">
      <c r="A122" s="10" t="s">
        <v>129</v>
      </c>
      <c r="B122" s="10">
        <v>1</v>
      </c>
      <c r="C122" s="10">
        <v>449</v>
      </c>
      <c r="D122" s="10" t="s">
        <v>49</v>
      </c>
      <c r="E122" s="10">
        <f>_xlfn.XLOOKUP(D122,Discounts!$A$2:$A$7,Discounts!$B$2:$B$7)/100</f>
        <v>0.15</v>
      </c>
      <c r="F122" s="12">
        <f t="shared" si="3"/>
        <v>381.65</v>
      </c>
    </row>
    <row r="123" ht="16.5" spans="1:6">
      <c r="A123" s="10" t="s">
        <v>233</v>
      </c>
      <c r="B123" s="10">
        <v>2</v>
      </c>
      <c r="C123" s="10">
        <v>199</v>
      </c>
      <c r="D123" s="10" t="s">
        <v>39</v>
      </c>
      <c r="E123" s="10">
        <f>_xlfn.XLOOKUP(D123,Discounts!$A$2:$A$7,Discounts!$B$2:$B$7)/100</f>
        <v>0</v>
      </c>
      <c r="F123" s="12">
        <f t="shared" si="3"/>
        <v>398</v>
      </c>
    </row>
    <row r="124" ht="16.5" spans="1:6">
      <c r="A124" s="10" t="s">
        <v>119</v>
      </c>
      <c r="B124" s="10">
        <v>3</v>
      </c>
      <c r="C124" s="10">
        <v>399</v>
      </c>
      <c r="D124" s="10" t="s">
        <v>39</v>
      </c>
      <c r="E124" s="10">
        <f>_xlfn.XLOOKUP(D124,Discounts!$A$2:$A$7,Discounts!$B$2:$B$7)/100</f>
        <v>0</v>
      </c>
      <c r="F124" s="12">
        <f t="shared" si="3"/>
        <v>1197</v>
      </c>
    </row>
    <row r="125" ht="16.5" spans="1:6">
      <c r="A125" s="10" t="s">
        <v>85</v>
      </c>
      <c r="B125" s="10">
        <v>5</v>
      </c>
      <c r="C125" s="10">
        <v>399</v>
      </c>
      <c r="D125" s="10" t="s">
        <v>89</v>
      </c>
      <c r="E125" s="10">
        <f>_xlfn.XLOOKUP(D125,Discounts!$A$2:$A$7,Discounts!$B$2:$B$7)/100</f>
        <v>0.3</v>
      </c>
      <c r="F125" s="12">
        <f t="shared" si="3"/>
        <v>1396.5</v>
      </c>
    </row>
    <row r="126" ht="16.5" spans="1:6">
      <c r="A126" s="10" t="s">
        <v>92</v>
      </c>
      <c r="B126" s="10">
        <v>2</v>
      </c>
      <c r="C126" s="10">
        <v>379</v>
      </c>
      <c r="D126" s="10" t="s">
        <v>49</v>
      </c>
      <c r="E126" s="10">
        <f>_xlfn.XLOOKUP(D126,Discounts!$A$2:$A$7,Discounts!$B$2:$B$7)/100</f>
        <v>0.15</v>
      </c>
      <c r="F126" s="12">
        <f t="shared" si="3"/>
        <v>644.3</v>
      </c>
    </row>
    <row r="127" ht="16.5" spans="1:6">
      <c r="A127" s="10" t="s">
        <v>173</v>
      </c>
      <c r="B127" s="10">
        <v>1</v>
      </c>
      <c r="C127" s="10">
        <v>349</v>
      </c>
      <c r="D127" s="10" t="s">
        <v>39</v>
      </c>
      <c r="E127" s="10">
        <f>_xlfn.XLOOKUP(D127,Discounts!$A$2:$A$7,Discounts!$B$2:$B$7)/100</f>
        <v>0</v>
      </c>
      <c r="F127" s="12">
        <f t="shared" si="3"/>
        <v>349</v>
      </c>
    </row>
    <row r="128" ht="16.5" spans="1:6">
      <c r="A128" s="10" t="s">
        <v>146</v>
      </c>
      <c r="B128" s="10">
        <v>3</v>
      </c>
      <c r="C128" s="10">
        <v>499</v>
      </c>
      <c r="D128" s="10" t="s">
        <v>102</v>
      </c>
      <c r="E128" s="10">
        <f>_xlfn.XLOOKUP(D128,Discounts!$A$2:$A$7,Discounts!$B$2:$B$7)/100</f>
        <v>0.1</v>
      </c>
      <c r="F128" s="12">
        <f t="shared" si="3"/>
        <v>1347.3</v>
      </c>
    </row>
    <row r="129" ht="16.5" spans="1:6">
      <c r="A129" s="10" t="s">
        <v>56</v>
      </c>
      <c r="B129" s="10">
        <v>1</v>
      </c>
      <c r="C129" s="10">
        <v>399</v>
      </c>
      <c r="D129" s="10" t="s">
        <v>33</v>
      </c>
      <c r="E129" s="10">
        <f>_xlfn.XLOOKUP(D129,Discounts!$A$2:$A$7,Discounts!$B$2:$B$7)/100</f>
        <v>0.25</v>
      </c>
      <c r="F129" s="12">
        <f t="shared" si="3"/>
        <v>299.25</v>
      </c>
    </row>
    <row r="130" ht="16.5" spans="1:6">
      <c r="A130" s="10" t="s">
        <v>109</v>
      </c>
      <c r="B130" s="10">
        <v>1</v>
      </c>
      <c r="C130" s="10">
        <v>1599</v>
      </c>
      <c r="D130" s="10" t="s">
        <v>39</v>
      </c>
      <c r="E130" s="10">
        <f>_xlfn.XLOOKUP(D130,Discounts!$A$2:$A$7,Discounts!$B$2:$B$7)/100</f>
        <v>0</v>
      </c>
      <c r="F130" s="12">
        <f t="shared" si="3"/>
        <v>1599</v>
      </c>
    </row>
    <row r="131" ht="16.5" spans="1:6">
      <c r="A131" s="10" t="s">
        <v>81</v>
      </c>
      <c r="B131" s="10">
        <v>4</v>
      </c>
      <c r="C131" s="10">
        <v>899</v>
      </c>
      <c r="D131" s="10" t="s">
        <v>39</v>
      </c>
      <c r="E131" s="10">
        <f>_xlfn.XLOOKUP(D131,Discounts!$A$2:$A$7,Discounts!$B$2:$B$7)/100</f>
        <v>0</v>
      </c>
      <c r="F131" s="12">
        <f t="shared" ref="F131:F162" si="4">B131*C131*(1-E131)</f>
        <v>3596</v>
      </c>
    </row>
    <row r="132" ht="16.5" spans="1:6">
      <c r="A132" s="10" t="s">
        <v>71</v>
      </c>
      <c r="B132" s="10">
        <v>2</v>
      </c>
      <c r="C132" s="10">
        <v>349</v>
      </c>
      <c r="D132" s="10" t="s">
        <v>33</v>
      </c>
      <c r="E132" s="10">
        <f>_xlfn.XLOOKUP(D132,Discounts!$A$2:$A$7,Discounts!$B$2:$B$7)/100</f>
        <v>0.25</v>
      </c>
      <c r="F132" s="12">
        <f t="shared" si="4"/>
        <v>523.5</v>
      </c>
    </row>
    <row r="133" ht="16.5" spans="1:6">
      <c r="A133" s="10" t="s">
        <v>113</v>
      </c>
      <c r="B133" s="10">
        <v>3</v>
      </c>
      <c r="C133" s="10">
        <v>799</v>
      </c>
      <c r="D133" s="10" t="s">
        <v>33</v>
      </c>
      <c r="E133" s="10">
        <f>_xlfn.XLOOKUP(D133,Discounts!$A$2:$A$7,Discounts!$B$2:$B$7)/100</f>
        <v>0.25</v>
      </c>
      <c r="F133" s="12">
        <f t="shared" si="4"/>
        <v>1797.75</v>
      </c>
    </row>
    <row r="134" ht="16.5" spans="1:6">
      <c r="A134" s="10" t="s">
        <v>207</v>
      </c>
      <c r="B134" s="10">
        <v>5</v>
      </c>
      <c r="C134" s="10">
        <v>899</v>
      </c>
      <c r="D134" s="10" t="s">
        <v>33</v>
      </c>
      <c r="E134" s="10">
        <f>_xlfn.XLOOKUP(D134,Discounts!$A$2:$A$7,Discounts!$B$2:$B$7)/100</f>
        <v>0.25</v>
      </c>
      <c r="F134" s="12">
        <f t="shared" si="4"/>
        <v>3371.25</v>
      </c>
    </row>
    <row r="135" ht="16.5" spans="1:6">
      <c r="A135" s="10" t="s">
        <v>213</v>
      </c>
      <c r="B135" s="10">
        <v>4</v>
      </c>
      <c r="C135" s="10">
        <v>699</v>
      </c>
      <c r="D135" s="10" t="s">
        <v>49</v>
      </c>
      <c r="E135" s="10">
        <f>_xlfn.XLOOKUP(D135,Discounts!$A$2:$A$7,Discounts!$B$2:$B$7)/100</f>
        <v>0.15</v>
      </c>
      <c r="F135" s="12">
        <f t="shared" si="4"/>
        <v>2376.6</v>
      </c>
    </row>
    <row r="136" ht="16.5" spans="1:6">
      <c r="A136" s="10" t="s">
        <v>113</v>
      </c>
      <c r="B136" s="10">
        <v>5</v>
      </c>
      <c r="C136" s="10">
        <v>199</v>
      </c>
      <c r="D136" s="10" t="s">
        <v>49</v>
      </c>
      <c r="E136" s="10">
        <f>_xlfn.XLOOKUP(D136,Discounts!$A$2:$A$7,Discounts!$B$2:$B$7)/100</f>
        <v>0.15</v>
      </c>
      <c r="F136" s="12">
        <f t="shared" si="4"/>
        <v>845.75</v>
      </c>
    </row>
    <row r="137" ht="16.5" spans="1:6">
      <c r="A137" s="10" t="s">
        <v>71</v>
      </c>
      <c r="B137" s="10">
        <v>2</v>
      </c>
      <c r="C137" s="10">
        <v>899</v>
      </c>
      <c r="D137" s="10" t="s">
        <v>39</v>
      </c>
      <c r="E137" s="10">
        <f>_xlfn.XLOOKUP(D137,Discounts!$A$2:$A$7,Discounts!$B$2:$B$7)/100</f>
        <v>0</v>
      </c>
      <c r="F137" s="12">
        <f t="shared" si="4"/>
        <v>1798</v>
      </c>
    </row>
    <row r="138" ht="16.5" spans="1:6">
      <c r="A138" s="10" t="s">
        <v>177</v>
      </c>
      <c r="B138" s="10">
        <v>4</v>
      </c>
      <c r="C138" s="10">
        <v>349</v>
      </c>
      <c r="D138" s="10" t="s">
        <v>89</v>
      </c>
      <c r="E138" s="10">
        <f>_xlfn.XLOOKUP(D138,Discounts!$A$2:$A$7,Discounts!$B$2:$B$7)/100</f>
        <v>0.3</v>
      </c>
      <c r="F138" s="12">
        <f t="shared" si="4"/>
        <v>977.2</v>
      </c>
    </row>
    <row r="139" ht="16.5" spans="1:6">
      <c r="A139" s="10" t="s">
        <v>230</v>
      </c>
      <c r="B139" s="10">
        <v>4</v>
      </c>
      <c r="C139" s="10">
        <v>349</v>
      </c>
      <c r="D139" s="10" t="s">
        <v>39</v>
      </c>
      <c r="E139" s="10">
        <f>_xlfn.XLOOKUP(D139,Discounts!$A$2:$A$7,Discounts!$B$2:$B$7)/100</f>
        <v>0</v>
      </c>
      <c r="F139" s="12">
        <f t="shared" si="4"/>
        <v>1396</v>
      </c>
    </row>
    <row r="140" ht="16.5" spans="1:6">
      <c r="A140" s="10" t="s">
        <v>230</v>
      </c>
      <c r="B140" s="10">
        <v>3</v>
      </c>
      <c r="C140" s="10">
        <v>199</v>
      </c>
      <c r="D140" s="10" t="s">
        <v>39</v>
      </c>
      <c r="E140" s="10">
        <f>_xlfn.XLOOKUP(D140,Discounts!$A$2:$A$7,Discounts!$B$2:$B$7)/100</f>
        <v>0</v>
      </c>
      <c r="F140" s="12">
        <f t="shared" si="4"/>
        <v>597</v>
      </c>
    </row>
    <row r="141" ht="16.5" spans="1:6">
      <c r="A141" s="10" t="s">
        <v>65</v>
      </c>
      <c r="B141" s="10">
        <v>4</v>
      </c>
      <c r="C141" s="10">
        <v>199</v>
      </c>
      <c r="D141" s="10" t="s">
        <v>39</v>
      </c>
      <c r="E141" s="10">
        <f>_xlfn.XLOOKUP(D141,Discounts!$A$2:$A$7,Discounts!$B$2:$B$7)/100</f>
        <v>0</v>
      </c>
      <c r="F141" s="12">
        <f t="shared" si="4"/>
        <v>796</v>
      </c>
    </row>
    <row r="142" ht="16.5" spans="1:6">
      <c r="A142" s="10" t="s">
        <v>119</v>
      </c>
      <c r="B142" s="10">
        <v>5</v>
      </c>
      <c r="C142" s="10">
        <v>349</v>
      </c>
      <c r="D142" s="10" t="s">
        <v>39</v>
      </c>
      <c r="E142" s="10">
        <f>_xlfn.XLOOKUP(D142,Discounts!$A$2:$A$7,Discounts!$B$2:$B$7)/100</f>
        <v>0</v>
      </c>
      <c r="F142" s="12">
        <f t="shared" si="4"/>
        <v>1745</v>
      </c>
    </row>
    <row r="143" ht="16.5" spans="1:6">
      <c r="A143" s="10" t="s">
        <v>109</v>
      </c>
      <c r="B143" s="10">
        <v>2</v>
      </c>
      <c r="C143" s="10">
        <v>499</v>
      </c>
      <c r="D143" s="10" t="s">
        <v>39</v>
      </c>
      <c r="E143" s="10">
        <f>_xlfn.XLOOKUP(D143,Discounts!$A$2:$A$7,Discounts!$B$2:$B$7)/100</f>
        <v>0</v>
      </c>
      <c r="F143" s="12">
        <f t="shared" si="4"/>
        <v>998</v>
      </c>
    </row>
    <row r="144" ht="16.5" spans="1:6">
      <c r="A144" s="10" t="s">
        <v>213</v>
      </c>
      <c r="B144" s="10">
        <v>1</v>
      </c>
      <c r="C144" s="10">
        <v>449</v>
      </c>
      <c r="D144" s="10" t="s">
        <v>89</v>
      </c>
      <c r="E144" s="10">
        <f>_xlfn.XLOOKUP(D144,Discounts!$A$2:$A$7,Discounts!$B$2:$B$7)/100</f>
        <v>0.3</v>
      </c>
      <c r="F144" s="12">
        <f t="shared" si="4"/>
        <v>314.3</v>
      </c>
    </row>
    <row r="145" ht="16.5" spans="1:6">
      <c r="A145" s="10" t="s">
        <v>155</v>
      </c>
      <c r="B145" s="10">
        <v>4</v>
      </c>
      <c r="C145" s="10">
        <v>699</v>
      </c>
      <c r="D145" s="10" t="s">
        <v>39</v>
      </c>
      <c r="E145" s="10">
        <f>_xlfn.XLOOKUP(D145,Discounts!$A$2:$A$7,Discounts!$B$2:$B$7)/100</f>
        <v>0</v>
      </c>
      <c r="F145" s="12">
        <f t="shared" si="4"/>
        <v>2796</v>
      </c>
    </row>
    <row r="146" ht="16.5" spans="1:6">
      <c r="A146" s="10" t="s">
        <v>65</v>
      </c>
      <c r="B146" s="10">
        <v>3</v>
      </c>
      <c r="C146" s="10">
        <v>199</v>
      </c>
      <c r="D146" s="10" t="s">
        <v>39</v>
      </c>
      <c r="E146" s="10">
        <f>_xlfn.XLOOKUP(D146,Discounts!$A$2:$A$7,Discounts!$B$2:$B$7)/100</f>
        <v>0</v>
      </c>
      <c r="F146" s="12">
        <f t="shared" si="4"/>
        <v>597</v>
      </c>
    </row>
    <row r="147" ht="16.5" spans="1:6">
      <c r="A147" s="10" t="s">
        <v>65</v>
      </c>
      <c r="B147" s="10">
        <v>2</v>
      </c>
      <c r="C147" s="10">
        <v>249</v>
      </c>
      <c r="D147" s="10" t="s">
        <v>39</v>
      </c>
      <c r="E147" s="10">
        <f>_xlfn.XLOOKUP(D147,Discounts!$A$2:$A$7,Discounts!$B$2:$B$7)/100</f>
        <v>0</v>
      </c>
      <c r="F147" s="12">
        <f t="shared" si="4"/>
        <v>498</v>
      </c>
    </row>
    <row r="148" ht="16.5" spans="1:6">
      <c r="A148" s="10" t="s">
        <v>65</v>
      </c>
      <c r="B148" s="10">
        <v>4</v>
      </c>
      <c r="C148" s="10">
        <v>349</v>
      </c>
      <c r="D148" s="10" t="s">
        <v>69</v>
      </c>
      <c r="E148" s="10">
        <f>_xlfn.XLOOKUP(D148,Discounts!$A$2:$A$7,Discounts!$B$2:$B$7)/100</f>
        <v>0.2</v>
      </c>
      <c r="F148" s="12">
        <f t="shared" si="4"/>
        <v>1116.8</v>
      </c>
    </row>
    <row r="149" ht="16.5" spans="1:6">
      <c r="A149" s="10" t="s">
        <v>182</v>
      </c>
      <c r="B149" s="10">
        <v>3</v>
      </c>
      <c r="C149" s="10">
        <v>599</v>
      </c>
      <c r="D149" s="10" t="s">
        <v>39</v>
      </c>
      <c r="E149" s="10">
        <f>_xlfn.XLOOKUP(D149,Discounts!$A$2:$A$7,Discounts!$B$2:$B$7)/100</f>
        <v>0</v>
      </c>
      <c r="F149" s="12">
        <f t="shared" si="4"/>
        <v>1797</v>
      </c>
    </row>
    <row r="150" ht="16.5" spans="1:6">
      <c r="A150" s="10" t="s">
        <v>56</v>
      </c>
      <c r="B150" s="10">
        <v>2</v>
      </c>
      <c r="C150" s="10">
        <v>349</v>
      </c>
      <c r="D150" s="10" t="s">
        <v>39</v>
      </c>
      <c r="E150" s="10">
        <f>_xlfn.XLOOKUP(D150,Discounts!$A$2:$A$7,Discounts!$B$2:$B$7)/100</f>
        <v>0</v>
      </c>
      <c r="F150" s="12">
        <f t="shared" si="4"/>
        <v>698</v>
      </c>
    </row>
    <row r="151" ht="16.5" spans="1:6">
      <c r="A151" s="10" t="s">
        <v>109</v>
      </c>
      <c r="B151" s="10">
        <v>4</v>
      </c>
      <c r="C151" s="10">
        <v>1299</v>
      </c>
      <c r="D151" s="10" t="s">
        <v>39</v>
      </c>
      <c r="E151" s="10">
        <f>_xlfn.XLOOKUP(D151,Discounts!$A$2:$A$7,Discounts!$B$2:$B$7)/100</f>
        <v>0</v>
      </c>
      <c r="F151" s="12">
        <f t="shared" si="4"/>
        <v>5196</v>
      </c>
    </row>
    <row r="152" ht="16.5" spans="1:6">
      <c r="A152" s="10" t="s">
        <v>94</v>
      </c>
      <c r="B152" s="10">
        <v>4</v>
      </c>
      <c r="C152" s="10">
        <v>1199</v>
      </c>
      <c r="D152" s="10" t="s">
        <v>39</v>
      </c>
      <c r="E152" s="10">
        <f>_xlfn.XLOOKUP(D152,Discounts!$A$2:$A$7,Discounts!$B$2:$B$7)/100</f>
        <v>0</v>
      </c>
      <c r="F152" s="12">
        <f t="shared" si="4"/>
        <v>4796</v>
      </c>
    </row>
    <row r="153" ht="16.5" spans="1:6">
      <c r="A153" s="10" t="s">
        <v>194</v>
      </c>
      <c r="B153" s="10">
        <v>4</v>
      </c>
      <c r="C153" s="10">
        <v>449</v>
      </c>
      <c r="D153" s="10" t="s">
        <v>49</v>
      </c>
      <c r="E153" s="10">
        <f>_xlfn.XLOOKUP(D153,Discounts!$A$2:$A$7,Discounts!$B$2:$B$7)/100</f>
        <v>0.15</v>
      </c>
      <c r="F153" s="12">
        <f t="shared" si="4"/>
        <v>1526.6</v>
      </c>
    </row>
    <row r="154" ht="16.5" spans="1:6">
      <c r="A154" s="10" t="s">
        <v>207</v>
      </c>
      <c r="B154" s="10">
        <v>2</v>
      </c>
      <c r="C154" s="10">
        <v>899</v>
      </c>
      <c r="D154" s="10" t="s">
        <v>89</v>
      </c>
      <c r="E154" s="10">
        <f>_xlfn.XLOOKUP(D154,Discounts!$A$2:$A$7,Discounts!$B$2:$B$7)/100</f>
        <v>0.3</v>
      </c>
      <c r="F154" s="12">
        <f t="shared" si="4"/>
        <v>1258.6</v>
      </c>
    </row>
    <row r="155" ht="16.5" spans="1:6">
      <c r="A155" s="10" t="s">
        <v>92</v>
      </c>
      <c r="B155" s="10">
        <v>2</v>
      </c>
      <c r="C155" s="10">
        <v>649</v>
      </c>
      <c r="D155" s="10" t="s">
        <v>39</v>
      </c>
      <c r="E155" s="10">
        <f>_xlfn.XLOOKUP(D155,Discounts!$A$2:$A$7,Discounts!$B$2:$B$7)/100</f>
        <v>0</v>
      </c>
      <c r="F155" s="12">
        <f t="shared" si="4"/>
        <v>1298</v>
      </c>
    </row>
    <row r="156" ht="16.5" spans="1:6">
      <c r="A156" s="10" t="s">
        <v>107</v>
      </c>
      <c r="B156" s="10">
        <v>1</v>
      </c>
      <c r="C156" s="10">
        <v>199</v>
      </c>
      <c r="D156" s="10" t="s">
        <v>69</v>
      </c>
      <c r="E156" s="10">
        <f>_xlfn.XLOOKUP(D156,Discounts!$A$2:$A$7,Discounts!$B$2:$B$7)/100</f>
        <v>0.2</v>
      </c>
      <c r="F156" s="12">
        <f t="shared" si="4"/>
        <v>159.2</v>
      </c>
    </row>
    <row r="157" ht="16.5" spans="1:6">
      <c r="A157" s="10" t="s">
        <v>113</v>
      </c>
      <c r="B157" s="10">
        <v>1</v>
      </c>
      <c r="C157" s="10">
        <v>349</v>
      </c>
      <c r="D157" s="10" t="s">
        <v>49</v>
      </c>
      <c r="E157" s="10">
        <f>_xlfn.XLOOKUP(D157,Discounts!$A$2:$A$7,Discounts!$B$2:$B$7)/100</f>
        <v>0.15</v>
      </c>
      <c r="F157" s="12">
        <f t="shared" si="4"/>
        <v>296.65</v>
      </c>
    </row>
    <row r="158" ht="16.5" spans="1:6">
      <c r="A158" s="10" t="s">
        <v>75</v>
      </c>
      <c r="B158" s="10">
        <v>2</v>
      </c>
      <c r="C158" s="10">
        <v>299</v>
      </c>
      <c r="D158" s="10" t="s">
        <v>39</v>
      </c>
      <c r="E158" s="10">
        <f>_xlfn.XLOOKUP(D158,Discounts!$A$2:$A$7,Discounts!$B$2:$B$7)/100</f>
        <v>0</v>
      </c>
      <c r="F158" s="12">
        <f t="shared" si="4"/>
        <v>598</v>
      </c>
    </row>
    <row r="159" ht="16.5" spans="1:6">
      <c r="A159" s="10" t="s">
        <v>123</v>
      </c>
      <c r="B159" s="10">
        <v>1</v>
      </c>
      <c r="C159" s="10">
        <v>349</v>
      </c>
      <c r="D159" s="10" t="s">
        <v>33</v>
      </c>
      <c r="E159" s="10">
        <f>_xlfn.XLOOKUP(D159,Discounts!$A$2:$A$7,Discounts!$B$2:$B$7)/100</f>
        <v>0.25</v>
      </c>
      <c r="F159" s="12">
        <f t="shared" si="4"/>
        <v>261.75</v>
      </c>
    </row>
    <row r="160" ht="16.5" spans="1:6">
      <c r="A160" s="10" t="s">
        <v>46</v>
      </c>
      <c r="B160" s="10">
        <v>1</v>
      </c>
      <c r="C160" s="10">
        <v>499</v>
      </c>
      <c r="D160" s="10" t="s">
        <v>69</v>
      </c>
      <c r="E160" s="10">
        <f>_xlfn.XLOOKUP(D160,Discounts!$A$2:$A$7,Discounts!$B$2:$B$7)/100</f>
        <v>0.2</v>
      </c>
      <c r="F160" s="12">
        <f t="shared" si="4"/>
        <v>399.2</v>
      </c>
    </row>
    <row r="161" ht="16.5" spans="1:6">
      <c r="A161" s="10" t="s">
        <v>41</v>
      </c>
      <c r="B161" s="10">
        <v>3</v>
      </c>
      <c r="C161" s="10">
        <v>499</v>
      </c>
      <c r="D161" s="10" t="s">
        <v>39</v>
      </c>
      <c r="E161" s="10">
        <f>_xlfn.XLOOKUP(D161,Discounts!$A$2:$A$7,Discounts!$B$2:$B$7)/100</f>
        <v>0</v>
      </c>
      <c r="F161" s="12">
        <f t="shared" si="4"/>
        <v>1497</v>
      </c>
    </row>
    <row r="162" ht="16.5" spans="1:6">
      <c r="A162" s="10" t="s">
        <v>113</v>
      </c>
      <c r="B162" s="10">
        <v>3</v>
      </c>
      <c r="C162" s="10">
        <v>649</v>
      </c>
      <c r="D162" s="10" t="s">
        <v>39</v>
      </c>
      <c r="E162" s="10">
        <f>_xlfn.XLOOKUP(D162,Discounts!$A$2:$A$7,Discounts!$B$2:$B$7)/100</f>
        <v>0</v>
      </c>
      <c r="F162" s="12">
        <f t="shared" si="4"/>
        <v>1947</v>
      </c>
    </row>
    <row r="163" ht="16.5" spans="1:6">
      <c r="A163" s="10" t="s">
        <v>243</v>
      </c>
      <c r="B163" s="10">
        <v>5</v>
      </c>
      <c r="C163" s="10">
        <v>299</v>
      </c>
      <c r="D163" s="10" t="s">
        <v>39</v>
      </c>
      <c r="E163" s="10">
        <f>_xlfn.XLOOKUP(D163,Discounts!$A$2:$A$7,Discounts!$B$2:$B$7)/100</f>
        <v>0</v>
      </c>
      <c r="F163" s="12">
        <f t="shared" ref="F163:F201" si="5">B163*C163*(1-E163)</f>
        <v>1495</v>
      </c>
    </row>
    <row r="164" ht="16.5" spans="1:6">
      <c r="A164" s="10" t="s">
        <v>191</v>
      </c>
      <c r="B164" s="10">
        <v>2</v>
      </c>
      <c r="C164" s="10">
        <v>399</v>
      </c>
      <c r="D164" s="10" t="s">
        <v>102</v>
      </c>
      <c r="E164" s="10">
        <f>_xlfn.XLOOKUP(D164,Discounts!$A$2:$A$7,Discounts!$B$2:$B$7)/100</f>
        <v>0.1</v>
      </c>
      <c r="F164" s="12">
        <f t="shared" si="5"/>
        <v>718.2</v>
      </c>
    </row>
    <row r="165" ht="16.5" spans="1:6">
      <c r="A165" s="10" t="s">
        <v>324</v>
      </c>
      <c r="B165" s="10">
        <v>1</v>
      </c>
      <c r="C165" s="10">
        <v>499</v>
      </c>
      <c r="D165" s="10" t="s">
        <v>39</v>
      </c>
      <c r="E165" s="10">
        <f>_xlfn.XLOOKUP(D165,Discounts!$A$2:$A$7,Discounts!$B$2:$B$7)/100</f>
        <v>0</v>
      </c>
      <c r="F165" s="12">
        <f t="shared" si="5"/>
        <v>499</v>
      </c>
    </row>
    <row r="166" ht="16.5" spans="1:6">
      <c r="A166" s="10" t="s">
        <v>119</v>
      </c>
      <c r="B166" s="10">
        <v>4</v>
      </c>
      <c r="C166" s="10">
        <v>199</v>
      </c>
      <c r="D166" s="10" t="s">
        <v>39</v>
      </c>
      <c r="E166" s="10">
        <f>_xlfn.XLOOKUP(D166,Discounts!$A$2:$A$7,Discounts!$B$2:$B$7)/100</f>
        <v>0</v>
      </c>
      <c r="F166" s="12">
        <f t="shared" si="5"/>
        <v>796</v>
      </c>
    </row>
    <row r="167" ht="16.5" spans="1:6">
      <c r="A167" s="10" t="s">
        <v>127</v>
      </c>
      <c r="B167" s="10">
        <v>3</v>
      </c>
      <c r="C167" s="10">
        <v>399</v>
      </c>
      <c r="D167" s="10" t="s">
        <v>39</v>
      </c>
      <c r="E167" s="10">
        <f>_xlfn.XLOOKUP(D167,Discounts!$A$2:$A$7,Discounts!$B$2:$B$7)/100</f>
        <v>0</v>
      </c>
      <c r="F167" s="12">
        <f t="shared" si="5"/>
        <v>1197</v>
      </c>
    </row>
    <row r="168" ht="16.5" spans="1:6">
      <c r="A168" s="10" t="s">
        <v>119</v>
      </c>
      <c r="B168" s="10">
        <v>1</v>
      </c>
      <c r="C168" s="10">
        <v>349</v>
      </c>
      <c r="D168" s="10" t="s">
        <v>102</v>
      </c>
      <c r="E168" s="10">
        <f>_xlfn.XLOOKUP(D168,Discounts!$A$2:$A$7,Discounts!$B$2:$B$7)/100</f>
        <v>0.1</v>
      </c>
      <c r="F168" s="12">
        <f t="shared" si="5"/>
        <v>314.1</v>
      </c>
    </row>
    <row r="169" ht="16.5" spans="1:6">
      <c r="A169" s="10" t="s">
        <v>94</v>
      </c>
      <c r="B169" s="10">
        <v>4</v>
      </c>
      <c r="C169" s="10">
        <v>99</v>
      </c>
      <c r="D169" s="10" t="s">
        <v>39</v>
      </c>
      <c r="E169" s="10">
        <f>_xlfn.XLOOKUP(D169,Discounts!$A$2:$A$7,Discounts!$B$2:$B$7)/100</f>
        <v>0</v>
      </c>
      <c r="F169" s="12">
        <f t="shared" si="5"/>
        <v>396</v>
      </c>
    </row>
    <row r="170" ht="16.5" spans="1:6">
      <c r="A170" s="10" t="s">
        <v>127</v>
      </c>
      <c r="B170" s="10">
        <v>3</v>
      </c>
      <c r="C170" s="10">
        <v>799</v>
      </c>
      <c r="D170" s="10" t="s">
        <v>89</v>
      </c>
      <c r="E170" s="10">
        <f>_xlfn.XLOOKUP(D170,Discounts!$A$2:$A$7,Discounts!$B$2:$B$7)/100</f>
        <v>0.3</v>
      </c>
      <c r="F170" s="12">
        <f t="shared" si="5"/>
        <v>1677.9</v>
      </c>
    </row>
    <row r="171" ht="16.5" spans="1:6">
      <c r="A171" s="10" t="s">
        <v>65</v>
      </c>
      <c r="B171" s="10">
        <v>2</v>
      </c>
      <c r="C171" s="10">
        <v>799</v>
      </c>
      <c r="D171" s="10" t="s">
        <v>39</v>
      </c>
      <c r="E171" s="10">
        <f>_xlfn.XLOOKUP(D171,Discounts!$A$2:$A$7,Discounts!$B$2:$B$7)/100</f>
        <v>0</v>
      </c>
      <c r="F171" s="12">
        <f t="shared" si="5"/>
        <v>1598</v>
      </c>
    </row>
    <row r="172" ht="16.5" spans="1:6">
      <c r="A172" s="10" t="s">
        <v>165</v>
      </c>
      <c r="B172" s="10">
        <v>1</v>
      </c>
      <c r="C172" s="10">
        <v>349</v>
      </c>
      <c r="D172" s="10" t="s">
        <v>39</v>
      </c>
      <c r="E172" s="10">
        <f>_xlfn.XLOOKUP(D172,Discounts!$A$2:$A$7,Discounts!$B$2:$B$7)/100</f>
        <v>0</v>
      </c>
      <c r="F172" s="12">
        <f t="shared" si="5"/>
        <v>349</v>
      </c>
    </row>
    <row r="173" ht="16.5" spans="1:6">
      <c r="A173" s="10" t="s">
        <v>29</v>
      </c>
      <c r="B173" s="10">
        <v>2</v>
      </c>
      <c r="C173" s="10">
        <v>499</v>
      </c>
      <c r="D173" s="10" t="s">
        <v>39</v>
      </c>
      <c r="E173" s="10">
        <f>_xlfn.XLOOKUP(D173,Discounts!$A$2:$A$7,Discounts!$B$2:$B$7)/100</f>
        <v>0</v>
      </c>
      <c r="F173" s="12">
        <f t="shared" si="5"/>
        <v>998</v>
      </c>
    </row>
    <row r="174" ht="16.5" spans="1:6">
      <c r="A174" s="10" t="s">
        <v>155</v>
      </c>
      <c r="B174" s="10">
        <v>5</v>
      </c>
      <c r="C174" s="10">
        <v>799</v>
      </c>
      <c r="D174" s="10" t="s">
        <v>89</v>
      </c>
      <c r="E174" s="10">
        <f>_xlfn.XLOOKUP(D174,Discounts!$A$2:$A$7,Discounts!$B$2:$B$7)/100</f>
        <v>0.3</v>
      </c>
      <c r="F174" s="12">
        <f t="shared" si="5"/>
        <v>2796.5</v>
      </c>
    </row>
    <row r="175" ht="16.5" spans="1:6">
      <c r="A175" s="10" t="s">
        <v>119</v>
      </c>
      <c r="B175" s="10">
        <v>2</v>
      </c>
      <c r="C175" s="10">
        <v>649</v>
      </c>
      <c r="D175" s="10" t="s">
        <v>39</v>
      </c>
      <c r="E175" s="10">
        <f>_xlfn.XLOOKUP(D175,Discounts!$A$2:$A$7,Discounts!$B$2:$B$7)/100</f>
        <v>0</v>
      </c>
      <c r="F175" s="12">
        <f t="shared" si="5"/>
        <v>1298</v>
      </c>
    </row>
    <row r="176" ht="16.5" spans="1:6">
      <c r="A176" s="10" t="s">
        <v>65</v>
      </c>
      <c r="B176" s="10">
        <v>1</v>
      </c>
      <c r="C176" s="10">
        <v>349</v>
      </c>
      <c r="D176" s="10" t="s">
        <v>39</v>
      </c>
      <c r="E176" s="10">
        <f>_xlfn.XLOOKUP(D176,Discounts!$A$2:$A$7,Discounts!$B$2:$B$7)/100</f>
        <v>0</v>
      </c>
      <c r="F176" s="12">
        <f t="shared" si="5"/>
        <v>349</v>
      </c>
    </row>
    <row r="177" ht="16.5" spans="1:6">
      <c r="A177" s="10" t="s">
        <v>113</v>
      </c>
      <c r="B177" s="10">
        <v>5</v>
      </c>
      <c r="C177" s="10">
        <v>1599</v>
      </c>
      <c r="D177" s="10" t="s">
        <v>69</v>
      </c>
      <c r="E177" s="10">
        <f>_xlfn.XLOOKUP(D177,Discounts!$A$2:$A$7,Discounts!$B$2:$B$7)/100</f>
        <v>0.2</v>
      </c>
      <c r="F177" s="12">
        <f t="shared" si="5"/>
        <v>6396</v>
      </c>
    </row>
    <row r="178" ht="16.5" spans="1:6">
      <c r="A178" s="10" t="s">
        <v>123</v>
      </c>
      <c r="B178" s="10">
        <v>3</v>
      </c>
      <c r="C178" s="10">
        <v>379</v>
      </c>
      <c r="D178" s="10" t="s">
        <v>39</v>
      </c>
      <c r="E178" s="10">
        <f>_xlfn.XLOOKUP(D178,Discounts!$A$2:$A$7,Discounts!$B$2:$B$7)/100</f>
        <v>0</v>
      </c>
      <c r="F178" s="12">
        <f t="shared" si="5"/>
        <v>1137</v>
      </c>
    </row>
    <row r="179" ht="16.5" spans="1:6">
      <c r="A179" s="10" t="s">
        <v>210</v>
      </c>
      <c r="B179" s="10">
        <v>1</v>
      </c>
      <c r="C179" s="10">
        <v>699</v>
      </c>
      <c r="D179" s="10" t="s">
        <v>39</v>
      </c>
      <c r="E179" s="10">
        <f>_xlfn.XLOOKUP(D179,Discounts!$A$2:$A$7,Discounts!$B$2:$B$7)/100</f>
        <v>0</v>
      </c>
      <c r="F179" s="12">
        <f t="shared" si="5"/>
        <v>699</v>
      </c>
    </row>
    <row r="180" ht="16.5" spans="1:6">
      <c r="A180" s="10" t="s">
        <v>56</v>
      </c>
      <c r="B180" s="10">
        <v>1</v>
      </c>
      <c r="C180" s="10">
        <v>199</v>
      </c>
      <c r="D180" s="10" t="s">
        <v>33</v>
      </c>
      <c r="E180" s="10">
        <f>_xlfn.XLOOKUP(D180,Discounts!$A$2:$A$7,Discounts!$B$2:$B$7)/100</f>
        <v>0.25</v>
      </c>
      <c r="F180" s="12">
        <f t="shared" si="5"/>
        <v>149.25</v>
      </c>
    </row>
    <row r="181" ht="16.5" spans="1:6">
      <c r="A181" s="10" t="s">
        <v>107</v>
      </c>
      <c r="B181" s="10">
        <v>3</v>
      </c>
      <c r="C181" s="10">
        <v>349</v>
      </c>
      <c r="D181" s="10" t="s">
        <v>33</v>
      </c>
      <c r="E181" s="10">
        <f>_xlfn.XLOOKUP(D181,Discounts!$A$2:$A$7,Discounts!$B$2:$B$7)/100</f>
        <v>0.25</v>
      </c>
      <c r="F181" s="12">
        <f t="shared" si="5"/>
        <v>785.25</v>
      </c>
    </row>
    <row r="182" ht="16.5" spans="1:6">
      <c r="A182" s="10" t="s">
        <v>340</v>
      </c>
      <c r="B182" s="10">
        <v>4</v>
      </c>
      <c r="C182" s="10">
        <v>499</v>
      </c>
      <c r="D182" s="10" t="s">
        <v>33</v>
      </c>
      <c r="E182" s="10">
        <f>_xlfn.XLOOKUP(D182,Discounts!$A$2:$A$7,Discounts!$B$2:$B$7)/100</f>
        <v>0.25</v>
      </c>
      <c r="F182" s="12">
        <f t="shared" si="5"/>
        <v>1497</v>
      </c>
    </row>
    <row r="183" ht="16.5" spans="1:6">
      <c r="A183" s="10" t="s">
        <v>65</v>
      </c>
      <c r="B183" s="10">
        <v>1</v>
      </c>
      <c r="C183" s="10">
        <v>349</v>
      </c>
      <c r="D183" s="10" t="s">
        <v>39</v>
      </c>
      <c r="E183" s="10">
        <f>_xlfn.XLOOKUP(D183,Discounts!$A$2:$A$7,Discounts!$B$2:$B$7)/100</f>
        <v>0</v>
      </c>
      <c r="F183" s="12">
        <f t="shared" si="5"/>
        <v>349</v>
      </c>
    </row>
    <row r="184" ht="16.5" spans="1:6">
      <c r="A184" s="10" t="s">
        <v>324</v>
      </c>
      <c r="B184" s="10">
        <v>4</v>
      </c>
      <c r="C184" s="10">
        <v>799</v>
      </c>
      <c r="D184" s="10" t="s">
        <v>39</v>
      </c>
      <c r="E184" s="10">
        <f>_xlfn.XLOOKUP(D184,Discounts!$A$2:$A$7,Discounts!$B$2:$B$7)/100</f>
        <v>0</v>
      </c>
      <c r="F184" s="12">
        <f t="shared" si="5"/>
        <v>3196</v>
      </c>
    </row>
    <row r="185" ht="16.5" spans="1:6">
      <c r="A185" s="10" t="s">
        <v>173</v>
      </c>
      <c r="B185" s="10">
        <v>5</v>
      </c>
      <c r="C185" s="10">
        <v>199</v>
      </c>
      <c r="D185" s="10" t="s">
        <v>39</v>
      </c>
      <c r="E185" s="10">
        <f>_xlfn.XLOOKUP(D185,Discounts!$A$2:$A$7,Discounts!$B$2:$B$7)/100</f>
        <v>0</v>
      </c>
      <c r="F185" s="12">
        <f t="shared" si="5"/>
        <v>995</v>
      </c>
    </row>
    <row r="186" ht="16.5" spans="1:6">
      <c r="A186" s="10" t="s">
        <v>71</v>
      </c>
      <c r="B186" s="10">
        <v>3</v>
      </c>
      <c r="C186" s="10">
        <v>899</v>
      </c>
      <c r="D186" s="10" t="s">
        <v>39</v>
      </c>
      <c r="E186" s="10">
        <f>_xlfn.XLOOKUP(D186,Discounts!$A$2:$A$7,Discounts!$B$2:$B$7)/100</f>
        <v>0</v>
      </c>
      <c r="F186" s="12">
        <f t="shared" si="5"/>
        <v>2697</v>
      </c>
    </row>
    <row r="187" ht="16.5" spans="1:6">
      <c r="A187" s="10" t="s">
        <v>167</v>
      </c>
      <c r="B187" s="10">
        <v>2</v>
      </c>
      <c r="C187" s="10">
        <v>349</v>
      </c>
      <c r="D187" s="10" t="s">
        <v>39</v>
      </c>
      <c r="E187" s="10">
        <f>_xlfn.XLOOKUP(D187,Discounts!$A$2:$A$7,Discounts!$B$2:$B$7)/100</f>
        <v>0</v>
      </c>
      <c r="F187" s="12">
        <f t="shared" si="5"/>
        <v>698</v>
      </c>
    </row>
    <row r="188" ht="16.5" spans="1:6">
      <c r="A188" s="10" t="s">
        <v>340</v>
      </c>
      <c r="B188" s="10">
        <v>1</v>
      </c>
      <c r="C188" s="10">
        <v>199</v>
      </c>
      <c r="D188" s="10" t="s">
        <v>89</v>
      </c>
      <c r="E188" s="10">
        <f>_xlfn.XLOOKUP(D188,Discounts!$A$2:$A$7,Discounts!$B$2:$B$7)/100</f>
        <v>0.3</v>
      </c>
      <c r="F188" s="12">
        <f t="shared" si="5"/>
        <v>139.3</v>
      </c>
    </row>
    <row r="189" ht="16.5" spans="1:6">
      <c r="A189" s="10" t="s">
        <v>184</v>
      </c>
      <c r="B189" s="10">
        <v>4</v>
      </c>
      <c r="C189" s="10">
        <v>649</v>
      </c>
      <c r="D189" s="10" t="s">
        <v>49</v>
      </c>
      <c r="E189" s="10">
        <f>_xlfn.XLOOKUP(D189,Discounts!$A$2:$A$7,Discounts!$B$2:$B$7)/100</f>
        <v>0.15</v>
      </c>
      <c r="F189" s="12">
        <f t="shared" si="5"/>
        <v>2206.6</v>
      </c>
    </row>
    <row r="190" ht="16.5" spans="1:6">
      <c r="A190" s="10" t="s">
        <v>119</v>
      </c>
      <c r="B190" s="10">
        <v>2</v>
      </c>
      <c r="C190" s="10">
        <v>349</v>
      </c>
      <c r="D190" s="10" t="s">
        <v>89</v>
      </c>
      <c r="E190" s="10">
        <f>_xlfn.XLOOKUP(D190,Discounts!$A$2:$A$7,Discounts!$B$2:$B$7)/100</f>
        <v>0.3</v>
      </c>
      <c r="F190" s="12">
        <f t="shared" si="5"/>
        <v>488.6</v>
      </c>
    </row>
    <row r="191" ht="16.5" spans="1:6">
      <c r="A191" s="10" t="s">
        <v>191</v>
      </c>
      <c r="B191" s="10">
        <v>1</v>
      </c>
      <c r="C191" s="10">
        <v>299</v>
      </c>
      <c r="D191" s="10" t="s">
        <v>89</v>
      </c>
      <c r="E191" s="10">
        <f>_xlfn.XLOOKUP(D191,Discounts!$A$2:$A$7,Discounts!$B$2:$B$7)/100</f>
        <v>0.3</v>
      </c>
      <c r="F191" s="12">
        <f t="shared" si="5"/>
        <v>209.3</v>
      </c>
    </row>
    <row r="192" ht="16.5" spans="1:6">
      <c r="A192" s="10" t="s">
        <v>129</v>
      </c>
      <c r="B192" s="10">
        <v>1</v>
      </c>
      <c r="C192" s="10">
        <v>899</v>
      </c>
      <c r="D192" s="10" t="s">
        <v>39</v>
      </c>
      <c r="E192" s="10">
        <f>_xlfn.XLOOKUP(D192,Discounts!$A$2:$A$7,Discounts!$B$2:$B$7)/100</f>
        <v>0</v>
      </c>
      <c r="F192" s="12">
        <f t="shared" si="5"/>
        <v>899</v>
      </c>
    </row>
    <row r="193" ht="16.5" spans="1:6">
      <c r="A193" s="10" t="s">
        <v>94</v>
      </c>
      <c r="B193" s="10">
        <v>4</v>
      </c>
      <c r="C193" s="10">
        <v>1199</v>
      </c>
      <c r="D193" s="10" t="s">
        <v>39</v>
      </c>
      <c r="E193" s="10">
        <f>_xlfn.XLOOKUP(D193,Discounts!$A$2:$A$7,Discounts!$B$2:$B$7)/100</f>
        <v>0</v>
      </c>
      <c r="F193" s="12">
        <f t="shared" si="5"/>
        <v>4796</v>
      </c>
    </row>
    <row r="194" ht="16.5" spans="1:6">
      <c r="A194" s="10" t="s">
        <v>205</v>
      </c>
      <c r="B194" s="10">
        <v>4</v>
      </c>
      <c r="C194" s="10">
        <v>349</v>
      </c>
      <c r="D194" s="10" t="s">
        <v>39</v>
      </c>
      <c r="E194" s="10">
        <f>_xlfn.XLOOKUP(D194,Discounts!$A$2:$A$7,Discounts!$B$2:$B$7)/100</f>
        <v>0</v>
      </c>
      <c r="F194" s="12">
        <f t="shared" si="5"/>
        <v>1396</v>
      </c>
    </row>
    <row r="195" ht="16.5" spans="1:6">
      <c r="A195" s="10" t="s">
        <v>205</v>
      </c>
      <c r="B195" s="10">
        <v>2</v>
      </c>
      <c r="C195" s="10">
        <v>299</v>
      </c>
      <c r="D195" s="10" t="s">
        <v>39</v>
      </c>
      <c r="E195" s="10">
        <f>_xlfn.XLOOKUP(D195,Discounts!$A$2:$A$7,Discounts!$B$2:$B$7)/100</f>
        <v>0</v>
      </c>
      <c r="F195" s="12">
        <f t="shared" si="5"/>
        <v>598</v>
      </c>
    </row>
    <row r="196" ht="16.5" spans="1:6">
      <c r="A196" s="10" t="s">
        <v>177</v>
      </c>
      <c r="B196" s="10">
        <v>2</v>
      </c>
      <c r="C196" s="10">
        <v>899</v>
      </c>
      <c r="D196" s="10" t="s">
        <v>39</v>
      </c>
      <c r="E196" s="10">
        <f>_xlfn.XLOOKUP(D196,Discounts!$A$2:$A$7,Discounts!$B$2:$B$7)/100</f>
        <v>0</v>
      </c>
      <c r="F196" s="12">
        <f t="shared" si="5"/>
        <v>1798</v>
      </c>
    </row>
    <row r="197" ht="16.5" spans="1:6">
      <c r="A197" s="10" t="s">
        <v>81</v>
      </c>
      <c r="B197" s="10">
        <v>1</v>
      </c>
      <c r="C197" s="10">
        <v>499</v>
      </c>
      <c r="D197" s="10" t="s">
        <v>39</v>
      </c>
      <c r="E197" s="10">
        <f>_xlfn.XLOOKUP(D197,Discounts!$A$2:$A$7,Discounts!$B$2:$B$7)/100</f>
        <v>0</v>
      </c>
      <c r="F197" s="12">
        <f t="shared" si="5"/>
        <v>499</v>
      </c>
    </row>
    <row r="198" ht="16.5" spans="1:6">
      <c r="A198" s="10" t="s">
        <v>123</v>
      </c>
      <c r="B198" s="10">
        <v>5</v>
      </c>
      <c r="C198" s="10">
        <v>379</v>
      </c>
      <c r="D198" s="10" t="s">
        <v>39</v>
      </c>
      <c r="E198" s="10">
        <f>_xlfn.XLOOKUP(D198,Discounts!$A$2:$A$7,Discounts!$B$2:$B$7)/100</f>
        <v>0</v>
      </c>
      <c r="F198" s="12">
        <f t="shared" si="5"/>
        <v>1895</v>
      </c>
    </row>
    <row r="199" ht="16.5" spans="1:6">
      <c r="A199" s="10" t="s">
        <v>109</v>
      </c>
      <c r="B199" s="10">
        <v>4</v>
      </c>
      <c r="C199" s="10">
        <v>99</v>
      </c>
      <c r="D199" s="10" t="s">
        <v>39</v>
      </c>
      <c r="E199" s="10">
        <f>_xlfn.XLOOKUP(D199,Discounts!$A$2:$A$7,Discounts!$B$2:$B$7)/100</f>
        <v>0</v>
      </c>
      <c r="F199" s="12">
        <f t="shared" si="5"/>
        <v>396</v>
      </c>
    </row>
    <row r="200" ht="16.5" spans="1:6">
      <c r="A200" s="10" t="s">
        <v>94</v>
      </c>
      <c r="B200" s="10">
        <v>1</v>
      </c>
      <c r="C200" s="10">
        <v>799</v>
      </c>
      <c r="D200" s="10" t="s">
        <v>49</v>
      </c>
      <c r="E200" s="10">
        <f>_xlfn.XLOOKUP(D200,Discounts!$A$2:$A$7,Discounts!$B$2:$B$7)/100</f>
        <v>0.15</v>
      </c>
      <c r="F200" s="12">
        <f t="shared" si="5"/>
        <v>679.15</v>
      </c>
    </row>
    <row r="201" ht="16.5" spans="1:6">
      <c r="A201" s="10" t="s">
        <v>184</v>
      </c>
      <c r="B201" s="10">
        <v>1</v>
      </c>
      <c r="C201" s="10">
        <v>699</v>
      </c>
      <c r="D201" s="10" t="s">
        <v>39</v>
      </c>
      <c r="E201" s="10">
        <f>_xlfn.XLOOKUP(D201,Discounts!$A$2:$A$7,Discounts!$B$2:$B$7)/100</f>
        <v>0</v>
      </c>
      <c r="F201" s="12">
        <f t="shared" si="5"/>
        <v>699</v>
      </c>
    </row>
  </sheetData>
  <conditionalFormatting sqref="A1:F201">
    <cfRule type="expression" dxfId="10" priority="1">
      <formula>MOD(ROW(),2)=0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1"/>
  <sheetViews>
    <sheetView workbookViewId="0">
      <selection activeCell="A1" sqref="A1"/>
    </sheetView>
  </sheetViews>
  <sheetFormatPr defaultColWidth="9.14285714285714" defaultRowHeight="12.75"/>
  <cols>
    <col min="1" max="1" width="16.8571428571429" customWidth="1"/>
    <col min="2" max="2" width="6" customWidth="1"/>
    <col min="3" max="3" width="12.7142857142857" customWidth="1"/>
    <col min="4" max="4" width="19.1428571428571" customWidth="1"/>
    <col min="6" max="6" width="16.8571428571429" customWidth="1"/>
    <col min="7" max="7" width="6" customWidth="1"/>
    <col min="8" max="8" width="12.7142857142857" customWidth="1"/>
    <col min="9" max="9" width="19.1428571428571" customWidth="1"/>
    <col min="12" max="12" width="147.857142857143" customWidth="1"/>
  </cols>
  <sheetData>
    <row r="1" ht="18" spans="1:12">
      <c r="A1" s="4" t="s">
        <v>22</v>
      </c>
      <c r="B1" s="4" t="s">
        <v>24</v>
      </c>
      <c r="C1" s="41" t="s">
        <v>25</v>
      </c>
      <c r="D1" s="41" t="s">
        <v>368</v>
      </c>
      <c r="L1" s="8" t="s">
        <v>12</v>
      </c>
    </row>
    <row r="2" ht="18" spans="1:12">
      <c r="A2" s="10" t="s">
        <v>78</v>
      </c>
      <c r="B2" s="10">
        <v>2</v>
      </c>
      <c r="C2" s="42">
        <v>249</v>
      </c>
      <c r="D2" s="42">
        <f t="shared" ref="D2:D65" si="0">C2*B2</f>
        <v>498</v>
      </c>
      <c r="F2" s="4" t="s">
        <v>22</v>
      </c>
      <c r="G2" s="4" t="s">
        <v>24</v>
      </c>
      <c r="H2" s="41" t="s">
        <v>25</v>
      </c>
      <c r="I2" s="41" t="s">
        <v>368</v>
      </c>
    </row>
    <row r="3" ht="16.5" spans="1:12">
      <c r="A3" s="10" t="s">
        <v>78</v>
      </c>
      <c r="B3" s="10">
        <v>5</v>
      </c>
      <c r="C3" s="42">
        <v>349</v>
      </c>
      <c r="D3" s="42">
        <f t="shared" si="0"/>
        <v>1745</v>
      </c>
      <c r="F3" s="10" t="str" cm="1">
        <f t="array" ref="F3:F10">_xlfn.UNIQUE(A2:A201)</f>
        <v>Beauty</v>
      </c>
      <c r="G3" s="10">
        <f>SUMIF($A$2:$A$201,F3,$B$2:$B$201)</f>
        <v>59</v>
      </c>
      <c r="H3" s="42">
        <f>SUMIF($A$2:$A$201,F3,$C$2:$C$201)</f>
        <v>7178</v>
      </c>
      <c r="I3" s="42">
        <f>G3*H3</f>
        <v>423502</v>
      </c>
    </row>
    <row r="4" ht="16.5" spans="1:12">
      <c r="A4" s="10" t="s">
        <v>78</v>
      </c>
      <c r="B4" s="10">
        <v>3</v>
      </c>
      <c r="C4" s="42">
        <v>599</v>
      </c>
      <c r="D4" s="42">
        <f t="shared" si="0"/>
        <v>1797</v>
      </c>
      <c r="F4" s="10" t="str">
        <v>Books</v>
      </c>
      <c r="G4" s="10">
        <f t="shared" ref="G4:G10" si="1">SUMIF($A$2:$A$201,F4,$B$2:$B$201)</f>
        <v>52</v>
      </c>
      <c r="H4" s="42">
        <f t="shared" ref="H4:H10" si="2">SUMIF($A$2:$A$201,F4,$C$2:$C$201)</f>
        <v>7731</v>
      </c>
      <c r="I4" s="42">
        <f t="shared" ref="I4:I10" si="3">G4*H4</f>
        <v>402012</v>
      </c>
    </row>
    <row r="5" ht="16.5" spans="1:12">
      <c r="A5" s="10" t="s">
        <v>78</v>
      </c>
      <c r="B5" s="10">
        <v>1</v>
      </c>
      <c r="C5" s="42">
        <v>249</v>
      </c>
      <c r="D5" s="42">
        <f t="shared" si="0"/>
        <v>249</v>
      </c>
      <c r="F5" s="10" t="str">
        <v>Clothing</v>
      </c>
      <c r="G5" s="10">
        <f t="shared" si="1"/>
        <v>75</v>
      </c>
      <c r="H5" s="42">
        <f t="shared" si="2"/>
        <v>21675</v>
      </c>
      <c r="I5" s="42">
        <f t="shared" si="3"/>
        <v>1625625</v>
      </c>
    </row>
    <row r="6" ht="16.5" spans="1:12">
      <c r="A6" s="10" t="s">
        <v>78</v>
      </c>
      <c r="B6" s="10">
        <v>4</v>
      </c>
      <c r="C6" s="42">
        <v>249</v>
      </c>
      <c r="D6" s="42">
        <f t="shared" si="0"/>
        <v>996</v>
      </c>
      <c r="F6" s="10" t="str">
        <v>Electronics</v>
      </c>
      <c r="G6" s="10">
        <f t="shared" si="1"/>
        <v>70</v>
      </c>
      <c r="H6" s="42">
        <f t="shared" si="2"/>
        <v>25374</v>
      </c>
      <c r="I6" s="42">
        <f t="shared" si="3"/>
        <v>1776180</v>
      </c>
    </row>
    <row r="7" ht="16.5" spans="1:12">
      <c r="A7" s="10" t="s">
        <v>78</v>
      </c>
      <c r="B7" s="10">
        <v>2</v>
      </c>
      <c r="C7" s="42">
        <v>599</v>
      </c>
      <c r="D7" s="42">
        <f t="shared" si="0"/>
        <v>1198</v>
      </c>
      <c r="F7" s="10" t="str">
        <v>Grocery</v>
      </c>
      <c r="G7" s="10">
        <f t="shared" si="1"/>
        <v>52</v>
      </c>
      <c r="H7" s="42">
        <f t="shared" si="2"/>
        <v>6577</v>
      </c>
      <c r="I7" s="42">
        <f t="shared" si="3"/>
        <v>342004</v>
      </c>
    </row>
    <row r="8" ht="16.5" spans="1:12">
      <c r="A8" s="10" t="s">
        <v>78</v>
      </c>
      <c r="B8" s="10">
        <v>1</v>
      </c>
      <c r="C8" s="42">
        <v>399</v>
      </c>
      <c r="D8" s="42">
        <f t="shared" si="0"/>
        <v>399</v>
      </c>
      <c r="F8" s="10" t="str">
        <v>Home &amp; Kitchen</v>
      </c>
      <c r="G8" s="10">
        <f t="shared" si="1"/>
        <v>60</v>
      </c>
      <c r="H8" s="42">
        <f t="shared" si="2"/>
        <v>8525</v>
      </c>
      <c r="I8" s="42">
        <f t="shared" si="3"/>
        <v>511500</v>
      </c>
    </row>
    <row r="9" ht="16.5" spans="1:12">
      <c r="A9" s="10" t="s">
        <v>78</v>
      </c>
      <c r="B9" s="10">
        <v>1</v>
      </c>
      <c r="C9" s="42">
        <v>349</v>
      </c>
      <c r="D9" s="42">
        <f t="shared" si="0"/>
        <v>349</v>
      </c>
      <c r="F9" s="10" t="str">
        <v>Sports</v>
      </c>
      <c r="G9" s="10">
        <f t="shared" si="1"/>
        <v>115</v>
      </c>
      <c r="H9" s="42">
        <f t="shared" si="2"/>
        <v>33964</v>
      </c>
      <c r="I9" s="42">
        <f t="shared" si="3"/>
        <v>3905860</v>
      </c>
    </row>
    <row r="10" ht="16.5" spans="1:12">
      <c r="A10" s="10" t="s">
        <v>78</v>
      </c>
      <c r="B10" s="10">
        <v>5</v>
      </c>
      <c r="C10" s="42">
        <v>99</v>
      </c>
      <c r="D10" s="42">
        <f t="shared" si="0"/>
        <v>495</v>
      </c>
      <c r="F10" s="10" t="str">
        <v>Toys</v>
      </c>
      <c r="G10" s="10">
        <f t="shared" si="1"/>
        <v>68</v>
      </c>
      <c r="H10" s="42">
        <f t="shared" si="2"/>
        <v>15276</v>
      </c>
      <c r="I10" s="42">
        <f t="shared" si="3"/>
        <v>1038768</v>
      </c>
    </row>
    <row r="11" ht="16.5" spans="1:12">
      <c r="A11" s="10" t="s">
        <v>78</v>
      </c>
      <c r="B11" s="10">
        <v>4</v>
      </c>
      <c r="C11" s="42">
        <v>349</v>
      </c>
      <c r="D11" s="42">
        <f t="shared" si="0"/>
        <v>1396</v>
      </c>
    </row>
    <row r="12" ht="16.5" spans="1:12">
      <c r="A12" s="10" t="s">
        <v>78</v>
      </c>
      <c r="B12" s="10">
        <v>1</v>
      </c>
      <c r="C12" s="42">
        <v>99</v>
      </c>
      <c r="D12" s="42">
        <f t="shared" si="0"/>
        <v>99</v>
      </c>
    </row>
    <row r="13" ht="16.5" spans="1:12">
      <c r="A13" s="10" t="s">
        <v>78</v>
      </c>
      <c r="B13" s="10">
        <v>2</v>
      </c>
      <c r="C13" s="42">
        <v>599</v>
      </c>
      <c r="D13" s="42">
        <f t="shared" si="0"/>
        <v>1198</v>
      </c>
    </row>
    <row r="14" ht="16.5" spans="1:12">
      <c r="A14" s="10" t="s">
        <v>78</v>
      </c>
      <c r="B14" s="10">
        <v>2</v>
      </c>
      <c r="C14" s="42">
        <v>99</v>
      </c>
      <c r="D14" s="42">
        <f t="shared" si="0"/>
        <v>198</v>
      </c>
    </row>
    <row r="15" ht="16.5" spans="1:12">
      <c r="A15" s="10" t="s">
        <v>78</v>
      </c>
      <c r="B15" s="10">
        <v>5</v>
      </c>
      <c r="C15" s="42">
        <v>399</v>
      </c>
      <c r="D15" s="42">
        <f t="shared" si="0"/>
        <v>1995</v>
      </c>
    </row>
    <row r="16" ht="16.5" spans="1:12">
      <c r="A16" s="10" t="s">
        <v>78</v>
      </c>
      <c r="B16" s="10">
        <v>1</v>
      </c>
      <c r="C16" s="42">
        <v>349</v>
      </c>
      <c r="D16" s="42">
        <f t="shared" si="0"/>
        <v>349</v>
      </c>
    </row>
    <row r="17" ht="16.5" spans="1:4">
      <c r="A17" s="10" t="s">
        <v>78</v>
      </c>
      <c r="B17" s="10">
        <v>1</v>
      </c>
      <c r="C17" s="42">
        <v>399</v>
      </c>
      <c r="D17" s="42">
        <f t="shared" si="0"/>
        <v>399</v>
      </c>
    </row>
    <row r="18" ht="16.5" spans="1:4">
      <c r="A18" s="10" t="s">
        <v>78</v>
      </c>
      <c r="B18" s="10">
        <v>2</v>
      </c>
      <c r="C18" s="42">
        <v>249</v>
      </c>
      <c r="D18" s="42">
        <f t="shared" si="0"/>
        <v>498</v>
      </c>
    </row>
    <row r="19" ht="16.5" spans="1:4">
      <c r="A19" s="10" t="s">
        <v>78</v>
      </c>
      <c r="B19" s="10">
        <v>4</v>
      </c>
      <c r="C19" s="42">
        <v>349</v>
      </c>
      <c r="D19" s="42">
        <f t="shared" si="0"/>
        <v>1396</v>
      </c>
    </row>
    <row r="20" ht="16.5" spans="1:4">
      <c r="A20" s="10" t="s">
        <v>78</v>
      </c>
      <c r="B20" s="10">
        <v>3</v>
      </c>
      <c r="C20" s="42">
        <v>599</v>
      </c>
      <c r="D20" s="42">
        <f t="shared" si="0"/>
        <v>1797</v>
      </c>
    </row>
    <row r="21" ht="16.5" spans="1:4">
      <c r="A21" s="10" t="s">
        <v>78</v>
      </c>
      <c r="B21" s="10">
        <v>4</v>
      </c>
      <c r="C21" s="42">
        <v>99</v>
      </c>
      <c r="D21" s="42">
        <f t="shared" si="0"/>
        <v>396</v>
      </c>
    </row>
    <row r="22" ht="16.5" spans="1:4">
      <c r="A22" s="10" t="s">
        <v>78</v>
      </c>
      <c r="B22" s="10">
        <v>2</v>
      </c>
      <c r="C22" s="42">
        <v>349</v>
      </c>
      <c r="D22" s="42">
        <f t="shared" si="0"/>
        <v>698</v>
      </c>
    </row>
    <row r="23" ht="16.5" spans="1:4">
      <c r="A23" s="10" t="s">
        <v>78</v>
      </c>
      <c r="B23" s="10">
        <v>4</v>
      </c>
      <c r="C23" s="42">
        <v>99</v>
      </c>
      <c r="D23" s="42">
        <f t="shared" si="0"/>
        <v>396</v>
      </c>
    </row>
    <row r="24" ht="16.5" spans="1:4">
      <c r="A24" s="10" t="s">
        <v>68</v>
      </c>
      <c r="B24" s="10">
        <v>5</v>
      </c>
      <c r="C24" s="42">
        <v>399</v>
      </c>
      <c r="D24" s="42">
        <f t="shared" si="0"/>
        <v>1995</v>
      </c>
    </row>
    <row r="25" ht="16.5" spans="1:4">
      <c r="A25" s="10" t="s">
        <v>68</v>
      </c>
      <c r="B25" s="10">
        <v>2</v>
      </c>
      <c r="C25" s="42">
        <v>399</v>
      </c>
      <c r="D25" s="42">
        <f t="shared" si="0"/>
        <v>798</v>
      </c>
    </row>
    <row r="26" ht="16.5" spans="1:4">
      <c r="A26" s="10" t="s">
        <v>68</v>
      </c>
      <c r="B26" s="10">
        <v>2</v>
      </c>
      <c r="C26" s="42">
        <v>349</v>
      </c>
      <c r="D26" s="42">
        <f t="shared" si="0"/>
        <v>698</v>
      </c>
    </row>
    <row r="27" ht="16.5" spans="1:4">
      <c r="A27" s="10" t="s">
        <v>68</v>
      </c>
      <c r="B27" s="10">
        <v>4</v>
      </c>
      <c r="C27" s="42">
        <v>399</v>
      </c>
      <c r="D27" s="42">
        <f t="shared" si="0"/>
        <v>1596</v>
      </c>
    </row>
    <row r="28" ht="16.5" spans="1:4">
      <c r="A28" s="10" t="s">
        <v>68</v>
      </c>
      <c r="B28" s="10">
        <v>3</v>
      </c>
      <c r="C28" s="42">
        <v>499</v>
      </c>
      <c r="D28" s="42">
        <f t="shared" si="0"/>
        <v>1497</v>
      </c>
    </row>
    <row r="29" ht="16.5" spans="1:4">
      <c r="A29" s="10" t="s">
        <v>68</v>
      </c>
      <c r="B29" s="10">
        <v>1</v>
      </c>
      <c r="C29" s="42">
        <v>379</v>
      </c>
      <c r="D29" s="42">
        <f t="shared" si="0"/>
        <v>379</v>
      </c>
    </row>
    <row r="30" ht="16.5" spans="1:4">
      <c r="A30" s="10" t="s">
        <v>68</v>
      </c>
      <c r="B30" s="10">
        <v>1</v>
      </c>
      <c r="C30" s="42">
        <v>399</v>
      </c>
      <c r="D30" s="42">
        <f t="shared" si="0"/>
        <v>399</v>
      </c>
    </row>
    <row r="31" ht="16.5" spans="1:4">
      <c r="A31" s="10" t="s">
        <v>68</v>
      </c>
      <c r="B31" s="10">
        <v>4</v>
      </c>
      <c r="C31" s="42">
        <v>499</v>
      </c>
      <c r="D31" s="42">
        <f t="shared" si="0"/>
        <v>1996</v>
      </c>
    </row>
    <row r="32" ht="16.5" spans="1:4">
      <c r="A32" s="10" t="s">
        <v>68</v>
      </c>
      <c r="B32" s="10">
        <v>2</v>
      </c>
      <c r="C32" s="42">
        <v>379</v>
      </c>
      <c r="D32" s="42">
        <f t="shared" si="0"/>
        <v>758</v>
      </c>
    </row>
    <row r="33" ht="16.5" spans="1:4">
      <c r="A33" s="10" t="s">
        <v>68</v>
      </c>
      <c r="B33" s="10">
        <v>5</v>
      </c>
      <c r="C33" s="42">
        <v>449</v>
      </c>
      <c r="D33" s="42">
        <f t="shared" si="0"/>
        <v>2245</v>
      </c>
    </row>
    <row r="34" ht="16.5" spans="1:4">
      <c r="A34" s="10" t="s">
        <v>68</v>
      </c>
      <c r="B34" s="10">
        <v>2</v>
      </c>
      <c r="C34" s="42">
        <v>379</v>
      </c>
      <c r="D34" s="42">
        <f t="shared" si="0"/>
        <v>758</v>
      </c>
    </row>
    <row r="35" ht="16.5" spans="1:4">
      <c r="A35" s="10" t="s">
        <v>68</v>
      </c>
      <c r="B35" s="10">
        <v>1</v>
      </c>
      <c r="C35" s="42">
        <v>449</v>
      </c>
      <c r="D35" s="42">
        <f t="shared" si="0"/>
        <v>449</v>
      </c>
    </row>
    <row r="36" ht="16.5" spans="1:4">
      <c r="A36" s="10" t="s">
        <v>68</v>
      </c>
      <c r="B36" s="10">
        <v>3</v>
      </c>
      <c r="C36" s="42">
        <v>499</v>
      </c>
      <c r="D36" s="42">
        <f t="shared" si="0"/>
        <v>1497</v>
      </c>
    </row>
    <row r="37" ht="16.5" spans="1:4">
      <c r="A37" s="10" t="s">
        <v>68</v>
      </c>
      <c r="B37" s="10">
        <v>2</v>
      </c>
      <c r="C37" s="42">
        <v>399</v>
      </c>
      <c r="D37" s="42">
        <f t="shared" si="0"/>
        <v>798</v>
      </c>
    </row>
    <row r="38" ht="16.5" spans="1:4">
      <c r="A38" s="10" t="s">
        <v>68</v>
      </c>
      <c r="B38" s="10">
        <v>3</v>
      </c>
      <c r="C38" s="42">
        <v>399</v>
      </c>
      <c r="D38" s="42">
        <f t="shared" si="0"/>
        <v>1197</v>
      </c>
    </row>
    <row r="39" ht="16.5" spans="1:4">
      <c r="A39" s="10" t="s">
        <v>68</v>
      </c>
      <c r="B39" s="10">
        <v>1</v>
      </c>
      <c r="C39" s="42">
        <v>349</v>
      </c>
      <c r="D39" s="42">
        <f t="shared" si="0"/>
        <v>349</v>
      </c>
    </row>
    <row r="40" ht="16.5" spans="1:4">
      <c r="A40" s="10" t="s">
        <v>68</v>
      </c>
      <c r="B40" s="10">
        <v>3</v>
      </c>
      <c r="C40" s="42">
        <v>379</v>
      </c>
      <c r="D40" s="42">
        <f t="shared" si="0"/>
        <v>1137</v>
      </c>
    </row>
    <row r="41" ht="16.5" spans="1:4">
      <c r="A41" s="10" t="s">
        <v>68</v>
      </c>
      <c r="B41" s="10">
        <v>3</v>
      </c>
      <c r="C41" s="42">
        <v>349</v>
      </c>
      <c r="D41" s="42">
        <f t="shared" si="0"/>
        <v>1047</v>
      </c>
    </row>
    <row r="42" ht="16.5" spans="1:4">
      <c r="A42" s="10" t="s">
        <v>68</v>
      </c>
      <c r="B42" s="10">
        <v>5</v>
      </c>
      <c r="C42" s="42">
        <v>379</v>
      </c>
      <c r="D42" s="42">
        <f t="shared" si="0"/>
        <v>1895</v>
      </c>
    </row>
    <row r="43" ht="16.5" spans="1:4">
      <c r="A43" s="10" t="s">
        <v>44</v>
      </c>
      <c r="B43" s="10">
        <v>1</v>
      </c>
      <c r="C43" s="42">
        <v>1199</v>
      </c>
      <c r="D43" s="42">
        <f t="shared" si="0"/>
        <v>1199</v>
      </c>
    </row>
    <row r="44" ht="16.5" spans="1:4">
      <c r="A44" s="10" t="s">
        <v>44</v>
      </c>
      <c r="B44" s="10">
        <v>4</v>
      </c>
      <c r="C44" s="42">
        <v>399</v>
      </c>
      <c r="D44" s="42">
        <f t="shared" si="0"/>
        <v>1596</v>
      </c>
    </row>
    <row r="45" ht="16.5" spans="1:4">
      <c r="A45" s="10" t="s">
        <v>44</v>
      </c>
      <c r="B45" s="10">
        <v>1</v>
      </c>
      <c r="C45" s="42">
        <v>1199</v>
      </c>
      <c r="D45" s="42">
        <f t="shared" si="0"/>
        <v>1199</v>
      </c>
    </row>
    <row r="46" ht="16.5" spans="1:4">
      <c r="A46" s="10" t="s">
        <v>44</v>
      </c>
      <c r="B46" s="10">
        <v>5</v>
      </c>
      <c r="C46" s="42">
        <v>699</v>
      </c>
      <c r="D46" s="42">
        <f t="shared" si="0"/>
        <v>3495</v>
      </c>
    </row>
    <row r="47" ht="16.5" spans="1:4">
      <c r="A47" s="10" t="s">
        <v>44</v>
      </c>
      <c r="B47" s="10">
        <v>4</v>
      </c>
      <c r="C47" s="42">
        <v>1199</v>
      </c>
      <c r="D47" s="42">
        <f t="shared" si="0"/>
        <v>4796</v>
      </c>
    </row>
    <row r="48" ht="16.5" spans="1:4">
      <c r="A48" s="10" t="s">
        <v>44</v>
      </c>
      <c r="B48" s="10">
        <v>5</v>
      </c>
      <c r="C48" s="42">
        <v>399</v>
      </c>
      <c r="D48" s="42">
        <f t="shared" si="0"/>
        <v>1995</v>
      </c>
    </row>
    <row r="49" ht="16.5" spans="1:4">
      <c r="A49" s="10" t="s">
        <v>44</v>
      </c>
      <c r="B49" s="10">
        <v>5</v>
      </c>
      <c r="C49" s="42">
        <v>1199</v>
      </c>
      <c r="D49" s="42">
        <f t="shared" si="0"/>
        <v>5995</v>
      </c>
    </row>
    <row r="50" ht="16.5" spans="1:4">
      <c r="A50" s="10" t="s">
        <v>44</v>
      </c>
      <c r="B50" s="10">
        <v>2</v>
      </c>
      <c r="C50" s="42">
        <v>399</v>
      </c>
      <c r="D50" s="42">
        <f t="shared" si="0"/>
        <v>798</v>
      </c>
    </row>
    <row r="51" ht="16.5" spans="1:4">
      <c r="A51" s="10" t="s">
        <v>44</v>
      </c>
      <c r="B51" s="10">
        <v>3</v>
      </c>
      <c r="C51" s="42">
        <v>1199</v>
      </c>
      <c r="D51" s="42">
        <f t="shared" si="0"/>
        <v>3597</v>
      </c>
    </row>
    <row r="52" ht="16.5" spans="1:4">
      <c r="A52" s="10" t="s">
        <v>44</v>
      </c>
      <c r="B52" s="10">
        <v>2</v>
      </c>
      <c r="C52" s="42">
        <v>699</v>
      </c>
      <c r="D52" s="42">
        <f t="shared" si="0"/>
        <v>1398</v>
      </c>
    </row>
    <row r="53" ht="16.5" spans="1:4">
      <c r="A53" s="10" t="s">
        <v>44</v>
      </c>
      <c r="B53" s="10">
        <v>2</v>
      </c>
      <c r="C53" s="42">
        <v>699</v>
      </c>
      <c r="D53" s="42">
        <f t="shared" si="0"/>
        <v>1398</v>
      </c>
    </row>
    <row r="54" ht="16.5" spans="1:4">
      <c r="A54" s="10" t="s">
        <v>44</v>
      </c>
      <c r="B54" s="10">
        <v>3</v>
      </c>
      <c r="C54" s="42">
        <v>1199</v>
      </c>
      <c r="D54" s="42">
        <f t="shared" si="0"/>
        <v>3597</v>
      </c>
    </row>
    <row r="55" ht="16.5" spans="1:4">
      <c r="A55" s="10" t="s">
        <v>44</v>
      </c>
      <c r="B55" s="10">
        <v>1</v>
      </c>
      <c r="C55" s="42">
        <v>399</v>
      </c>
      <c r="D55" s="42">
        <f t="shared" si="0"/>
        <v>399</v>
      </c>
    </row>
    <row r="56" ht="16.5" spans="1:4">
      <c r="A56" s="10" t="s">
        <v>44</v>
      </c>
      <c r="B56" s="10">
        <v>1</v>
      </c>
      <c r="C56" s="42">
        <v>1199</v>
      </c>
      <c r="D56" s="42">
        <f t="shared" si="0"/>
        <v>1199</v>
      </c>
    </row>
    <row r="57" ht="16.5" spans="1:4">
      <c r="A57" s="10" t="s">
        <v>44</v>
      </c>
      <c r="B57" s="10">
        <v>5</v>
      </c>
      <c r="C57" s="42">
        <v>699</v>
      </c>
      <c r="D57" s="42">
        <f t="shared" si="0"/>
        <v>3495</v>
      </c>
    </row>
    <row r="58" ht="16.5" spans="1:4">
      <c r="A58" s="10" t="s">
        <v>44</v>
      </c>
      <c r="B58" s="10">
        <v>4</v>
      </c>
      <c r="C58" s="42">
        <v>2499</v>
      </c>
      <c r="D58" s="42">
        <f t="shared" si="0"/>
        <v>9996</v>
      </c>
    </row>
    <row r="59" ht="16.5" spans="1:4">
      <c r="A59" s="10" t="s">
        <v>44</v>
      </c>
      <c r="B59" s="10">
        <v>2</v>
      </c>
      <c r="C59" s="42">
        <v>399</v>
      </c>
      <c r="D59" s="42">
        <f t="shared" si="0"/>
        <v>798</v>
      </c>
    </row>
    <row r="60" ht="16.5" spans="1:4">
      <c r="A60" s="10" t="s">
        <v>44</v>
      </c>
      <c r="B60" s="10">
        <v>4</v>
      </c>
      <c r="C60" s="42">
        <v>399</v>
      </c>
      <c r="D60" s="42">
        <f t="shared" si="0"/>
        <v>1596</v>
      </c>
    </row>
    <row r="61" ht="16.5" spans="1:4">
      <c r="A61" s="10" t="s">
        <v>44</v>
      </c>
      <c r="B61" s="10">
        <v>3</v>
      </c>
      <c r="C61" s="42">
        <v>399</v>
      </c>
      <c r="D61" s="42">
        <f t="shared" si="0"/>
        <v>1197</v>
      </c>
    </row>
    <row r="62" ht="16.5" spans="1:4">
      <c r="A62" s="10" t="s">
        <v>44</v>
      </c>
      <c r="B62" s="10">
        <v>4</v>
      </c>
      <c r="C62" s="42">
        <v>699</v>
      </c>
      <c r="D62" s="42">
        <f t="shared" si="0"/>
        <v>2796</v>
      </c>
    </row>
    <row r="63" ht="16.5" spans="1:4">
      <c r="A63" s="10" t="s">
        <v>44</v>
      </c>
      <c r="B63" s="10">
        <v>4</v>
      </c>
      <c r="C63" s="42">
        <v>699</v>
      </c>
      <c r="D63" s="42">
        <f t="shared" si="0"/>
        <v>2796</v>
      </c>
    </row>
    <row r="64" ht="16.5" spans="1:4">
      <c r="A64" s="10" t="s">
        <v>44</v>
      </c>
      <c r="B64" s="10">
        <v>4</v>
      </c>
      <c r="C64" s="42">
        <v>1199</v>
      </c>
      <c r="D64" s="42">
        <f t="shared" si="0"/>
        <v>4796</v>
      </c>
    </row>
    <row r="65" ht="16.5" spans="1:4">
      <c r="A65" s="10" t="s">
        <v>44</v>
      </c>
      <c r="B65" s="10">
        <v>1</v>
      </c>
      <c r="C65" s="42">
        <v>699</v>
      </c>
      <c r="D65" s="42">
        <f t="shared" si="0"/>
        <v>699</v>
      </c>
    </row>
    <row r="66" ht="16.5" spans="1:4">
      <c r="A66" s="10" t="s">
        <v>44</v>
      </c>
      <c r="B66" s="10">
        <v>4</v>
      </c>
      <c r="C66" s="42">
        <v>1199</v>
      </c>
      <c r="D66" s="42">
        <f t="shared" ref="D66:D129" si="4">C66*B66</f>
        <v>4796</v>
      </c>
    </row>
    <row r="67" ht="16.5" spans="1:4">
      <c r="A67" s="10" t="s">
        <v>44</v>
      </c>
      <c r="B67" s="10">
        <v>1</v>
      </c>
      <c r="C67" s="42">
        <v>699</v>
      </c>
      <c r="D67" s="42">
        <f t="shared" si="4"/>
        <v>699</v>
      </c>
    </row>
    <row r="68" ht="16.5" spans="1:4">
      <c r="A68" s="10" t="s">
        <v>32</v>
      </c>
      <c r="B68" s="10">
        <v>5</v>
      </c>
      <c r="C68" s="42">
        <v>1599</v>
      </c>
      <c r="D68" s="42">
        <f t="shared" si="4"/>
        <v>7995</v>
      </c>
    </row>
    <row r="69" ht="16.5" spans="1:4">
      <c r="A69" s="10" t="s">
        <v>32</v>
      </c>
      <c r="B69" s="10">
        <v>1</v>
      </c>
      <c r="C69" s="42">
        <v>1599</v>
      </c>
      <c r="D69" s="42">
        <f t="shared" si="4"/>
        <v>1599</v>
      </c>
    </row>
    <row r="70" ht="16.5" spans="1:4">
      <c r="A70" s="10" t="s">
        <v>32</v>
      </c>
      <c r="B70" s="10">
        <v>4</v>
      </c>
      <c r="C70" s="42">
        <v>1299</v>
      </c>
      <c r="D70" s="42">
        <f t="shared" si="4"/>
        <v>5196</v>
      </c>
    </row>
    <row r="71" ht="16.5" spans="1:4">
      <c r="A71" s="10" t="s">
        <v>32</v>
      </c>
      <c r="B71" s="10">
        <v>5</v>
      </c>
      <c r="C71" s="42">
        <v>349</v>
      </c>
      <c r="D71" s="42">
        <f t="shared" si="4"/>
        <v>1745</v>
      </c>
    </row>
    <row r="72" ht="16.5" spans="1:4">
      <c r="A72" s="10" t="s">
        <v>32</v>
      </c>
      <c r="B72" s="10">
        <v>5</v>
      </c>
      <c r="C72" s="42">
        <v>1299</v>
      </c>
      <c r="D72" s="42">
        <f t="shared" si="4"/>
        <v>6495</v>
      </c>
    </row>
    <row r="73" ht="16.5" spans="1:4">
      <c r="A73" s="10" t="s">
        <v>32</v>
      </c>
      <c r="B73" s="10">
        <v>5</v>
      </c>
      <c r="C73" s="42">
        <v>349</v>
      </c>
      <c r="D73" s="42">
        <f t="shared" si="4"/>
        <v>1745</v>
      </c>
    </row>
    <row r="74" ht="16.5" spans="1:4">
      <c r="A74" s="10" t="s">
        <v>32</v>
      </c>
      <c r="B74" s="10">
        <v>1</v>
      </c>
      <c r="C74" s="42">
        <v>1599</v>
      </c>
      <c r="D74" s="42">
        <f t="shared" si="4"/>
        <v>1599</v>
      </c>
    </row>
    <row r="75" ht="16.5" spans="1:4">
      <c r="A75" s="10" t="s">
        <v>32</v>
      </c>
      <c r="B75" s="10">
        <v>2</v>
      </c>
      <c r="C75" s="42">
        <v>349</v>
      </c>
      <c r="D75" s="42">
        <f t="shared" si="4"/>
        <v>698</v>
      </c>
    </row>
    <row r="76" ht="16.5" spans="1:4">
      <c r="A76" s="10" t="s">
        <v>32</v>
      </c>
      <c r="B76" s="10">
        <v>3</v>
      </c>
      <c r="C76" s="42">
        <v>899</v>
      </c>
      <c r="D76" s="42">
        <f t="shared" si="4"/>
        <v>2697</v>
      </c>
    </row>
    <row r="77" ht="16.5" spans="1:4">
      <c r="A77" s="10" t="s">
        <v>32</v>
      </c>
      <c r="B77" s="10">
        <v>1</v>
      </c>
      <c r="C77" s="42">
        <v>899</v>
      </c>
      <c r="D77" s="42">
        <f t="shared" si="4"/>
        <v>899</v>
      </c>
    </row>
    <row r="78" ht="16.5" spans="1:4">
      <c r="A78" s="10" t="s">
        <v>32</v>
      </c>
      <c r="B78" s="10">
        <v>4</v>
      </c>
      <c r="C78" s="42">
        <v>1299</v>
      </c>
      <c r="D78" s="42">
        <f t="shared" si="4"/>
        <v>5196</v>
      </c>
    </row>
    <row r="79" ht="16.5" spans="1:4">
      <c r="A79" s="10" t="s">
        <v>32</v>
      </c>
      <c r="B79" s="10">
        <v>3</v>
      </c>
      <c r="C79" s="42">
        <v>349</v>
      </c>
      <c r="D79" s="42">
        <f t="shared" si="4"/>
        <v>1047</v>
      </c>
    </row>
    <row r="80" ht="16.5" spans="1:4">
      <c r="A80" s="10" t="s">
        <v>32</v>
      </c>
      <c r="B80" s="10">
        <v>1</v>
      </c>
      <c r="C80" s="42">
        <v>1299</v>
      </c>
      <c r="D80" s="42">
        <f t="shared" si="4"/>
        <v>1299</v>
      </c>
    </row>
    <row r="81" ht="16.5" spans="1:4">
      <c r="A81" s="10" t="s">
        <v>32</v>
      </c>
      <c r="B81" s="10">
        <v>3</v>
      </c>
      <c r="C81" s="42">
        <v>799</v>
      </c>
      <c r="D81" s="42">
        <f t="shared" si="4"/>
        <v>2397</v>
      </c>
    </row>
    <row r="82" ht="16.5" spans="1:4">
      <c r="A82" s="10" t="s">
        <v>32</v>
      </c>
      <c r="B82" s="10">
        <v>1</v>
      </c>
      <c r="C82" s="42">
        <v>1599</v>
      </c>
      <c r="D82" s="42">
        <f t="shared" si="4"/>
        <v>1599</v>
      </c>
    </row>
    <row r="83" ht="16.5" spans="1:4">
      <c r="A83" s="10" t="s">
        <v>32</v>
      </c>
      <c r="B83" s="10">
        <v>4</v>
      </c>
      <c r="C83" s="42">
        <v>899</v>
      </c>
      <c r="D83" s="42">
        <f t="shared" si="4"/>
        <v>3596</v>
      </c>
    </row>
    <row r="84" ht="16.5" spans="1:4">
      <c r="A84" s="10" t="s">
        <v>32</v>
      </c>
      <c r="B84" s="10">
        <v>2</v>
      </c>
      <c r="C84" s="42">
        <v>899</v>
      </c>
      <c r="D84" s="42">
        <f t="shared" si="4"/>
        <v>1798</v>
      </c>
    </row>
    <row r="85" ht="16.5" spans="1:4">
      <c r="A85" s="10" t="s">
        <v>32</v>
      </c>
      <c r="B85" s="10">
        <v>4</v>
      </c>
      <c r="C85" s="42">
        <v>1299</v>
      </c>
      <c r="D85" s="42">
        <f t="shared" si="4"/>
        <v>5196</v>
      </c>
    </row>
    <row r="86" ht="16.5" spans="1:4">
      <c r="A86" s="10" t="s">
        <v>32</v>
      </c>
      <c r="B86" s="10">
        <v>2</v>
      </c>
      <c r="C86" s="42">
        <v>899</v>
      </c>
      <c r="D86" s="42">
        <f t="shared" si="4"/>
        <v>1798</v>
      </c>
    </row>
    <row r="87" ht="16.5" spans="1:4">
      <c r="A87" s="10" t="s">
        <v>32</v>
      </c>
      <c r="B87" s="10">
        <v>1</v>
      </c>
      <c r="C87" s="42">
        <v>349</v>
      </c>
      <c r="D87" s="42">
        <f t="shared" si="4"/>
        <v>349</v>
      </c>
    </row>
    <row r="88" ht="16.5" spans="1:4">
      <c r="A88" s="10" t="s">
        <v>32</v>
      </c>
      <c r="B88" s="10">
        <v>1</v>
      </c>
      <c r="C88" s="42">
        <v>349</v>
      </c>
      <c r="D88" s="42">
        <f t="shared" si="4"/>
        <v>349</v>
      </c>
    </row>
    <row r="89" ht="16.5" spans="1:4">
      <c r="A89" s="10" t="s">
        <v>32</v>
      </c>
      <c r="B89" s="10">
        <v>5</v>
      </c>
      <c r="C89" s="42">
        <v>1599</v>
      </c>
      <c r="D89" s="42">
        <f t="shared" si="4"/>
        <v>7995</v>
      </c>
    </row>
    <row r="90" ht="16.5" spans="1:4">
      <c r="A90" s="10" t="s">
        <v>32</v>
      </c>
      <c r="B90" s="10">
        <v>3</v>
      </c>
      <c r="C90" s="42">
        <v>899</v>
      </c>
      <c r="D90" s="42">
        <f t="shared" si="4"/>
        <v>2697</v>
      </c>
    </row>
    <row r="91" ht="16.5" spans="1:4">
      <c r="A91" s="10" t="s">
        <v>32</v>
      </c>
      <c r="B91" s="10">
        <v>1</v>
      </c>
      <c r="C91" s="42">
        <v>899</v>
      </c>
      <c r="D91" s="42">
        <f t="shared" si="4"/>
        <v>899</v>
      </c>
    </row>
    <row r="92" ht="16.5" spans="1:4">
      <c r="A92" s="10" t="s">
        <v>32</v>
      </c>
      <c r="B92" s="10">
        <v>2</v>
      </c>
      <c r="C92" s="42">
        <v>899</v>
      </c>
      <c r="D92" s="42">
        <f t="shared" si="4"/>
        <v>1798</v>
      </c>
    </row>
    <row r="93" ht="16.5" spans="1:4">
      <c r="A93" s="10" t="s">
        <v>32</v>
      </c>
      <c r="B93" s="10">
        <v>1</v>
      </c>
      <c r="C93" s="42">
        <v>799</v>
      </c>
      <c r="D93" s="42">
        <f t="shared" si="4"/>
        <v>799</v>
      </c>
    </row>
    <row r="94" ht="16.5" spans="1:4">
      <c r="A94" s="10" t="s">
        <v>63</v>
      </c>
      <c r="B94" s="10">
        <v>2</v>
      </c>
      <c r="C94" s="42">
        <v>299</v>
      </c>
      <c r="D94" s="42">
        <f t="shared" si="4"/>
        <v>598</v>
      </c>
    </row>
    <row r="95" ht="16.5" spans="1:4">
      <c r="A95" s="10" t="s">
        <v>63</v>
      </c>
      <c r="B95" s="10">
        <v>5</v>
      </c>
      <c r="C95" s="42">
        <v>349</v>
      </c>
      <c r="D95" s="42">
        <f t="shared" si="4"/>
        <v>1745</v>
      </c>
    </row>
    <row r="96" ht="16.5" spans="1:4">
      <c r="A96" s="10" t="s">
        <v>63</v>
      </c>
      <c r="B96" s="10">
        <v>5</v>
      </c>
      <c r="C96" s="42">
        <v>199</v>
      </c>
      <c r="D96" s="42">
        <f t="shared" si="4"/>
        <v>995</v>
      </c>
    </row>
    <row r="97" ht="16.5" spans="1:4">
      <c r="A97" s="10" t="s">
        <v>63</v>
      </c>
      <c r="B97" s="10">
        <v>1</v>
      </c>
      <c r="C97" s="42">
        <v>449</v>
      </c>
      <c r="D97" s="42">
        <f t="shared" si="4"/>
        <v>449</v>
      </c>
    </row>
    <row r="98" ht="16.5" spans="1:4">
      <c r="A98" s="10" t="s">
        <v>63</v>
      </c>
      <c r="B98" s="10">
        <v>1</v>
      </c>
      <c r="C98" s="42">
        <v>199</v>
      </c>
      <c r="D98" s="42">
        <f t="shared" si="4"/>
        <v>199</v>
      </c>
    </row>
    <row r="99" ht="16.5" spans="1:4">
      <c r="A99" s="10" t="s">
        <v>63</v>
      </c>
      <c r="B99" s="10">
        <v>1</v>
      </c>
      <c r="C99" s="42">
        <v>199</v>
      </c>
      <c r="D99" s="42">
        <f t="shared" si="4"/>
        <v>199</v>
      </c>
    </row>
    <row r="100" ht="16.5" spans="1:4">
      <c r="A100" s="10" t="s">
        <v>63</v>
      </c>
      <c r="B100" s="10">
        <v>2</v>
      </c>
      <c r="C100" s="42">
        <v>199</v>
      </c>
      <c r="D100" s="42">
        <f t="shared" si="4"/>
        <v>398</v>
      </c>
    </row>
    <row r="101" ht="16.5" spans="1:4">
      <c r="A101" s="10" t="s">
        <v>63</v>
      </c>
      <c r="B101" s="10">
        <v>3</v>
      </c>
      <c r="C101" s="42">
        <v>199</v>
      </c>
      <c r="D101" s="42">
        <f t="shared" si="4"/>
        <v>597</v>
      </c>
    </row>
    <row r="102" ht="16.5" spans="1:4">
      <c r="A102" s="10" t="s">
        <v>63</v>
      </c>
      <c r="B102" s="10">
        <v>1</v>
      </c>
      <c r="C102" s="42">
        <v>449</v>
      </c>
      <c r="D102" s="42">
        <f t="shared" si="4"/>
        <v>449</v>
      </c>
    </row>
    <row r="103" ht="16.5" spans="1:4">
      <c r="A103" s="10" t="s">
        <v>63</v>
      </c>
      <c r="B103" s="10">
        <v>1</v>
      </c>
      <c r="C103" s="42">
        <v>299</v>
      </c>
      <c r="D103" s="42">
        <f t="shared" si="4"/>
        <v>299</v>
      </c>
    </row>
    <row r="104" ht="16.5" spans="1:4">
      <c r="A104" s="10" t="s">
        <v>63</v>
      </c>
      <c r="B104" s="10">
        <v>1</v>
      </c>
      <c r="C104" s="42">
        <v>349</v>
      </c>
      <c r="D104" s="42">
        <f t="shared" si="4"/>
        <v>349</v>
      </c>
    </row>
    <row r="105" ht="16.5" spans="1:4">
      <c r="A105" s="10" t="s">
        <v>63</v>
      </c>
      <c r="B105" s="10">
        <v>2</v>
      </c>
      <c r="C105" s="42">
        <v>299</v>
      </c>
      <c r="D105" s="42">
        <f t="shared" si="4"/>
        <v>598</v>
      </c>
    </row>
    <row r="106" ht="16.5" spans="1:4">
      <c r="A106" s="10" t="s">
        <v>63</v>
      </c>
      <c r="B106" s="10">
        <v>1</v>
      </c>
      <c r="C106" s="42">
        <v>299</v>
      </c>
      <c r="D106" s="42">
        <f t="shared" si="4"/>
        <v>299</v>
      </c>
    </row>
    <row r="107" ht="16.5" spans="1:4">
      <c r="A107" s="10" t="s">
        <v>63</v>
      </c>
      <c r="B107" s="10">
        <v>3</v>
      </c>
      <c r="C107" s="42">
        <v>199</v>
      </c>
      <c r="D107" s="42">
        <f t="shared" si="4"/>
        <v>597</v>
      </c>
    </row>
    <row r="108" ht="16.5" spans="1:4">
      <c r="A108" s="10" t="s">
        <v>63</v>
      </c>
      <c r="B108" s="10">
        <v>2</v>
      </c>
      <c r="C108" s="42">
        <v>199</v>
      </c>
      <c r="D108" s="42">
        <f t="shared" si="4"/>
        <v>398</v>
      </c>
    </row>
    <row r="109" ht="16.5" spans="1:4">
      <c r="A109" s="10" t="s">
        <v>63</v>
      </c>
      <c r="B109" s="10">
        <v>4</v>
      </c>
      <c r="C109" s="42">
        <v>349</v>
      </c>
      <c r="D109" s="42">
        <f t="shared" si="4"/>
        <v>1396</v>
      </c>
    </row>
    <row r="110" ht="16.5" spans="1:4">
      <c r="A110" s="10" t="s">
        <v>63</v>
      </c>
      <c r="B110" s="10">
        <v>4</v>
      </c>
      <c r="C110" s="42">
        <v>349</v>
      </c>
      <c r="D110" s="42">
        <f t="shared" si="4"/>
        <v>1396</v>
      </c>
    </row>
    <row r="111" ht="16.5" spans="1:4">
      <c r="A111" s="10" t="s">
        <v>63</v>
      </c>
      <c r="B111" s="10">
        <v>5</v>
      </c>
      <c r="C111" s="42">
        <v>349</v>
      </c>
      <c r="D111" s="42">
        <f t="shared" si="4"/>
        <v>1745</v>
      </c>
    </row>
    <row r="112" ht="16.5" spans="1:4">
      <c r="A112" s="10" t="s">
        <v>63</v>
      </c>
      <c r="B112" s="10">
        <v>4</v>
      </c>
      <c r="C112" s="42">
        <v>449</v>
      </c>
      <c r="D112" s="42">
        <f t="shared" si="4"/>
        <v>1796</v>
      </c>
    </row>
    <row r="113" ht="16.5" spans="1:4">
      <c r="A113" s="10" t="s">
        <v>63</v>
      </c>
      <c r="B113" s="10">
        <v>1</v>
      </c>
      <c r="C113" s="42">
        <v>199</v>
      </c>
      <c r="D113" s="42">
        <f t="shared" si="4"/>
        <v>199</v>
      </c>
    </row>
    <row r="114" ht="16.5" spans="1:4">
      <c r="A114" s="10" t="s">
        <v>63</v>
      </c>
      <c r="B114" s="10">
        <v>1</v>
      </c>
      <c r="C114" s="42">
        <v>199</v>
      </c>
      <c r="D114" s="42">
        <f t="shared" si="4"/>
        <v>199</v>
      </c>
    </row>
    <row r="115" ht="16.5" spans="1:4">
      <c r="A115" s="10" t="s">
        <v>63</v>
      </c>
      <c r="B115" s="10">
        <v>1</v>
      </c>
      <c r="C115" s="42">
        <v>199</v>
      </c>
      <c r="D115" s="42">
        <f t="shared" si="4"/>
        <v>199</v>
      </c>
    </row>
    <row r="116" ht="16.5" spans="1:4">
      <c r="A116" s="10" t="s">
        <v>63</v>
      </c>
      <c r="B116" s="10">
        <v>1</v>
      </c>
      <c r="C116" s="42">
        <v>299</v>
      </c>
      <c r="D116" s="42">
        <f t="shared" si="4"/>
        <v>299</v>
      </c>
    </row>
    <row r="117" ht="16.5" spans="1:4">
      <c r="A117" s="10" t="s">
        <v>101</v>
      </c>
      <c r="B117" s="10">
        <v>1</v>
      </c>
      <c r="C117" s="42">
        <v>299</v>
      </c>
      <c r="D117" s="42">
        <f t="shared" si="4"/>
        <v>299</v>
      </c>
    </row>
    <row r="118" ht="16.5" spans="1:4">
      <c r="A118" s="10" t="s">
        <v>101</v>
      </c>
      <c r="B118" s="10">
        <v>4</v>
      </c>
      <c r="C118" s="42">
        <v>199</v>
      </c>
      <c r="D118" s="42">
        <f t="shared" si="4"/>
        <v>796</v>
      </c>
    </row>
    <row r="119" ht="16.5" spans="1:4">
      <c r="A119" s="10" t="s">
        <v>101</v>
      </c>
      <c r="B119" s="10">
        <v>2</v>
      </c>
      <c r="C119" s="42">
        <v>199</v>
      </c>
      <c r="D119" s="42">
        <f t="shared" si="4"/>
        <v>398</v>
      </c>
    </row>
    <row r="120" ht="16.5" spans="1:4">
      <c r="A120" s="10" t="s">
        <v>101</v>
      </c>
      <c r="B120" s="10">
        <v>4</v>
      </c>
      <c r="C120" s="42">
        <v>649</v>
      </c>
      <c r="D120" s="42">
        <f t="shared" si="4"/>
        <v>2596</v>
      </c>
    </row>
    <row r="121" ht="16.5" spans="1:4">
      <c r="A121" s="10" t="s">
        <v>101</v>
      </c>
      <c r="B121" s="10">
        <v>1</v>
      </c>
      <c r="C121" s="42">
        <v>449</v>
      </c>
      <c r="D121" s="42">
        <f t="shared" si="4"/>
        <v>449</v>
      </c>
    </row>
    <row r="122" ht="16.5" spans="1:4">
      <c r="A122" s="10" t="s">
        <v>101</v>
      </c>
      <c r="B122" s="10">
        <v>1</v>
      </c>
      <c r="C122" s="42">
        <v>349</v>
      </c>
      <c r="D122" s="42">
        <f t="shared" si="4"/>
        <v>349</v>
      </c>
    </row>
    <row r="123" ht="16.5" spans="1:4">
      <c r="A123" s="10" t="s">
        <v>101</v>
      </c>
      <c r="B123" s="10">
        <v>2</v>
      </c>
      <c r="C123" s="42">
        <v>299</v>
      </c>
      <c r="D123" s="42">
        <f t="shared" si="4"/>
        <v>598</v>
      </c>
    </row>
    <row r="124" ht="16.5" spans="1:4">
      <c r="A124" s="10" t="s">
        <v>101</v>
      </c>
      <c r="B124" s="10">
        <v>2</v>
      </c>
      <c r="C124" s="42">
        <v>199</v>
      </c>
      <c r="D124" s="42">
        <f t="shared" si="4"/>
        <v>398</v>
      </c>
    </row>
    <row r="125" ht="16.5" spans="1:4">
      <c r="A125" s="10" t="s">
        <v>101</v>
      </c>
      <c r="B125" s="10">
        <v>1</v>
      </c>
      <c r="C125" s="42">
        <v>199</v>
      </c>
      <c r="D125" s="42">
        <f t="shared" si="4"/>
        <v>199</v>
      </c>
    </row>
    <row r="126" ht="16.5" spans="1:4">
      <c r="A126" s="10" t="s">
        <v>101</v>
      </c>
      <c r="B126" s="10">
        <v>1</v>
      </c>
      <c r="C126" s="42">
        <v>349</v>
      </c>
      <c r="D126" s="42">
        <f t="shared" si="4"/>
        <v>349</v>
      </c>
    </row>
    <row r="127" ht="16.5" spans="1:4">
      <c r="A127" s="10" t="s">
        <v>101</v>
      </c>
      <c r="B127" s="10">
        <v>1</v>
      </c>
      <c r="C127" s="42">
        <v>449</v>
      </c>
      <c r="D127" s="42">
        <f t="shared" si="4"/>
        <v>449</v>
      </c>
    </row>
    <row r="128" ht="16.5" spans="1:4">
      <c r="A128" s="10" t="s">
        <v>101</v>
      </c>
      <c r="B128" s="10">
        <v>2</v>
      </c>
      <c r="C128" s="42">
        <v>349</v>
      </c>
      <c r="D128" s="42">
        <f t="shared" si="4"/>
        <v>698</v>
      </c>
    </row>
    <row r="129" ht="16.5" spans="1:4">
      <c r="A129" s="10" t="s">
        <v>101</v>
      </c>
      <c r="B129" s="10">
        <v>4</v>
      </c>
      <c r="C129" s="42">
        <v>349</v>
      </c>
      <c r="D129" s="42">
        <f t="shared" si="4"/>
        <v>1396</v>
      </c>
    </row>
    <row r="130" ht="16.5" spans="1:4">
      <c r="A130" s="10" t="s">
        <v>101</v>
      </c>
      <c r="B130" s="10">
        <v>3</v>
      </c>
      <c r="C130" s="42">
        <v>199</v>
      </c>
      <c r="D130" s="42">
        <f t="shared" ref="D130:D193" si="5">C130*B130</f>
        <v>597</v>
      </c>
    </row>
    <row r="131" ht="16.5" spans="1:4">
      <c r="A131" s="10" t="s">
        <v>101</v>
      </c>
      <c r="B131" s="10">
        <v>3</v>
      </c>
      <c r="C131" s="42">
        <v>199</v>
      </c>
      <c r="D131" s="42">
        <f t="shared" si="5"/>
        <v>597</v>
      </c>
    </row>
    <row r="132" ht="16.5" spans="1:4">
      <c r="A132" s="10" t="s">
        <v>101</v>
      </c>
      <c r="B132" s="10">
        <v>1</v>
      </c>
      <c r="C132" s="42">
        <v>349</v>
      </c>
      <c r="D132" s="42">
        <f t="shared" si="5"/>
        <v>349</v>
      </c>
    </row>
    <row r="133" ht="16.5" spans="1:4">
      <c r="A133" s="10" t="s">
        <v>101</v>
      </c>
      <c r="B133" s="10">
        <v>2</v>
      </c>
      <c r="C133" s="42">
        <v>299</v>
      </c>
      <c r="D133" s="42">
        <f t="shared" si="5"/>
        <v>598</v>
      </c>
    </row>
    <row r="134" ht="16.5" spans="1:4">
      <c r="A134" s="10" t="s">
        <v>101</v>
      </c>
      <c r="B134" s="10">
        <v>1</v>
      </c>
      <c r="C134" s="42">
        <v>349</v>
      </c>
      <c r="D134" s="42">
        <f t="shared" si="5"/>
        <v>349</v>
      </c>
    </row>
    <row r="135" ht="16.5" spans="1:4">
      <c r="A135" s="10" t="s">
        <v>101</v>
      </c>
      <c r="B135" s="10">
        <v>3</v>
      </c>
      <c r="C135" s="42">
        <v>649</v>
      </c>
      <c r="D135" s="42">
        <f t="shared" si="5"/>
        <v>1947</v>
      </c>
    </row>
    <row r="136" ht="16.5" spans="1:4">
      <c r="A136" s="10" t="s">
        <v>101</v>
      </c>
      <c r="B136" s="10">
        <v>5</v>
      </c>
      <c r="C136" s="42">
        <v>299</v>
      </c>
      <c r="D136" s="42">
        <f t="shared" si="5"/>
        <v>1495</v>
      </c>
    </row>
    <row r="137" ht="16.5" spans="1:4">
      <c r="A137" s="10" t="s">
        <v>101</v>
      </c>
      <c r="B137" s="10">
        <v>4</v>
      </c>
      <c r="C137" s="42">
        <v>199</v>
      </c>
      <c r="D137" s="42">
        <f t="shared" si="5"/>
        <v>796</v>
      </c>
    </row>
    <row r="138" ht="16.5" spans="1:4">
      <c r="A138" s="10" t="s">
        <v>101</v>
      </c>
      <c r="B138" s="10">
        <v>4</v>
      </c>
      <c r="C138" s="42">
        <v>649</v>
      </c>
      <c r="D138" s="42">
        <f t="shared" si="5"/>
        <v>2596</v>
      </c>
    </row>
    <row r="139" ht="16.5" spans="1:4">
      <c r="A139" s="10" t="s">
        <v>101</v>
      </c>
      <c r="B139" s="10">
        <v>2</v>
      </c>
      <c r="C139" s="42">
        <v>349</v>
      </c>
      <c r="D139" s="42">
        <f t="shared" si="5"/>
        <v>698</v>
      </c>
    </row>
    <row r="140" ht="16.5" spans="1:4">
      <c r="A140" s="10" t="s">
        <v>101</v>
      </c>
      <c r="B140" s="10">
        <v>4</v>
      </c>
      <c r="C140" s="42">
        <v>349</v>
      </c>
      <c r="D140" s="42">
        <f t="shared" si="5"/>
        <v>1396</v>
      </c>
    </row>
    <row r="141" ht="16.5" spans="1:4">
      <c r="A141" s="10" t="s">
        <v>101</v>
      </c>
      <c r="B141" s="10">
        <v>2</v>
      </c>
      <c r="C141" s="42">
        <v>299</v>
      </c>
      <c r="D141" s="42">
        <f t="shared" si="5"/>
        <v>598</v>
      </c>
    </row>
    <row r="142" ht="16.5" spans="1:4">
      <c r="A142" s="10" t="s">
        <v>38</v>
      </c>
      <c r="B142" s="10">
        <v>2</v>
      </c>
      <c r="C142" s="42">
        <v>2999</v>
      </c>
      <c r="D142" s="42">
        <f t="shared" si="5"/>
        <v>5998</v>
      </c>
    </row>
    <row r="143" ht="16.5" spans="1:4">
      <c r="A143" s="10" t="s">
        <v>38</v>
      </c>
      <c r="B143" s="10">
        <v>2</v>
      </c>
      <c r="C143" s="42">
        <v>499</v>
      </c>
      <c r="D143" s="42">
        <f t="shared" si="5"/>
        <v>998</v>
      </c>
    </row>
    <row r="144" ht="16.5" spans="1:4">
      <c r="A144" s="10" t="s">
        <v>38</v>
      </c>
      <c r="B144" s="10">
        <v>3</v>
      </c>
      <c r="C144" s="42">
        <v>499</v>
      </c>
      <c r="D144" s="42">
        <f t="shared" si="5"/>
        <v>1497</v>
      </c>
    </row>
    <row r="145" ht="16.5" spans="1:4">
      <c r="A145" s="10" t="s">
        <v>38</v>
      </c>
      <c r="B145" s="10">
        <v>1</v>
      </c>
      <c r="C145" s="42">
        <v>349</v>
      </c>
      <c r="D145" s="42">
        <f t="shared" si="5"/>
        <v>349</v>
      </c>
    </row>
    <row r="146" ht="16.5" spans="1:4">
      <c r="A146" s="10" t="s">
        <v>38</v>
      </c>
      <c r="B146" s="10">
        <v>2</v>
      </c>
      <c r="C146" s="42">
        <v>349</v>
      </c>
      <c r="D146" s="42">
        <f t="shared" si="5"/>
        <v>698</v>
      </c>
    </row>
    <row r="147" ht="16.5" spans="1:4">
      <c r="A147" s="10" t="s">
        <v>38</v>
      </c>
      <c r="B147" s="10">
        <v>4</v>
      </c>
      <c r="C147" s="42">
        <v>2999</v>
      </c>
      <c r="D147" s="42">
        <f t="shared" si="5"/>
        <v>11996</v>
      </c>
    </row>
    <row r="148" ht="16.5" spans="1:4">
      <c r="A148" s="10" t="s">
        <v>38</v>
      </c>
      <c r="B148" s="10">
        <v>5</v>
      </c>
      <c r="C148" s="42">
        <v>199</v>
      </c>
      <c r="D148" s="42">
        <f t="shared" si="5"/>
        <v>995</v>
      </c>
    </row>
    <row r="149" ht="16.5" spans="1:4">
      <c r="A149" s="10" t="s">
        <v>38</v>
      </c>
      <c r="B149" s="10">
        <v>4</v>
      </c>
      <c r="C149" s="42">
        <v>349</v>
      </c>
      <c r="D149" s="42">
        <f t="shared" si="5"/>
        <v>1396</v>
      </c>
    </row>
    <row r="150" ht="16.5" spans="1:4">
      <c r="A150" s="10" t="s">
        <v>38</v>
      </c>
      <c r="B150" s="10">
        <v>2</v>
      </c>
      <c r="C150" s="42">
        <v>349</v>
      </c>
      <c r="D150" s="42">
        <f t="shared" si="5"/>
        <v>698</v>
      </c>
    </row>
    <row r="151" ht="16.5" spans="1:4">
      <c r="A151" s="10" t="s">
        <v>38</v>
      </c>
      <c r="B151" s="10">
        <v>1</v>
      </c>
      <c r="C151" s="42">
        <v>499</v>
      </c>
      <c r="D151" s="42">
        <f t="shared" si="5"/>
        <v>499</v>
      </c>
    </row>
    <row r="152" ht="16.5" spans="1:4">
      <c r="A152" s="10" t="s">
        <v>38</v>
      </c>
      <c r="B152" s="10">
        <v>2</v>
      </c>
      <c r="C152" s="42">
        <v>199</v>
      </c>
      <c r="D152" s="42">
        <f t="shared" si="5"/>
        <v>398</v>
      </c>
    </row>
    <row r="153" ht="16.5" spans="1:4">
      <c r="A153" s="10" t="s">
        <v>38</v>
      </c>
      <c r="B153" s="10">
        <v>5</v>
      </c>
      <c r="C153" s="42">
        <v>499</v>
      </c>
      <c r="D153" s="42">
        <f t="shared" si="5"/>
        <v>2495</v>
      </c>
    </row>
    <row r="154" ht="16.5" spans="1:4">
      <c r="A154" s="10" t="s">
        <v>38</v>
      </c>
      <c r="B154" s="10">
        <v>5</v>
      </c>
      <c r="C154" s="42">
        <v>199</v>
      </c>
      <c r="D154" s="42">
        <f t="shared" si="5"/>
        <v>995</v>
      </c>
    </row>
    <row r="155" ht="16.5" spans="1:4">
      <c r="A155" s="10" t="s">
        <v>38</v>
      </c>
      <c r="B155" s="10">
        <v>5</v>
      </c>
      <c r="C155" s="42">
        <v>2999</v>
      </c>
      <c r="D155" s="42">
        <f t="shared" si="5"/>
        <v>14995</v>
      </c>
    </row>
    <row r="156" ht="16.5" spans="1:4">
      <c r="A156" s="10" t="s">
        <v>38</v>
      </c>
      <c r="B156" s="10">
        <v>2</v>
      </c>
      <c r="C156" s="42">
        <v>2999</v>
      </c>
      <c r="D156" s="42">
        <f t="shared" si="5"/>
        <v>5998</v>
      </c>
    </row>
    <row r="157" ht="16.5" spans="1:4">
      <c r="A157" s="10" t="s">
        <v>38</v>
      </c>
      <c r="B157" s="10">
        <v>2</v>
      </c>
      <c r="C157" s="42">
        <v>499</v>
      </c>
      <c r="D157" s="42">
        <f t="shared" si="5"/>
        <v>998</v>
      </c>
    </row>
    <row r="158" ht="16.5" spans="1:4">
      <c r="A158" s="10" t="s">
        <v>38</v>
      </c>
      <c r="B158" s="10">
        <v>5</v>
      </c>
      <c r="C158" s="42">
        <v>2999</v>
      </c>
      <c r="D158" s="42">
        <f t="shared" si="5"/>
        <v>14995</v>
      </c>
    </row>
    <row r="159" ht="16.5" spans="1:4">
      <c r="A159" s="10" t="s">
        <v>38</v>
      </c>
      <c r="B159" s="10">
        <v>5</v>
      </c>
      <c r="C159" s="42">
        <v>799</v>
      </c>
      <c r="D159" s="42">
        <f t="shared" si="5"/>
        <v>3995</v>
      </c>
    </row>
    <row r="160" ht="16.5" spans="1:4">
      <c r="A160" s="10" t="s">
        <v>38</v>
      </c>
      <c r="B160" s="10">
        <v>4</v>
      </c>
      <c r="C160" s="42">
        <v>499</v>
      </c>
      <c r="D160" s="42">
        <f t="shared" si="5"/>
        <v>1996</v>
      </c>
    </row>
    <row r="161" ht="16.5" spans="1:4">
      <c r="A161" s="10" t="s">
        <v>38</v>
      </c>
      <c r="B161" s="10">
        <v>3</v>
      </c>
      <c r="C161" s="42">
        <v>349</v>
      </c>
      <c r="D161" s="42">
        <f t="shared" si="5"/>
        <v>1047</v>
      </c>
    </row>
    <row r="162" ht="16.5" spans="1:4">
      <c r="A162" s="10" t="s">
        <v>38</v>
      </c>
      <c r="B162" s="10">
        <v>3</v>
      </c>
      <c r="C162" s="42">
        <v>199</v>
      </c>
      <c r="D162" s="42">
        <f t="shared" si="5"/>
        <v>597</v>
      </c>
    </row>
    <row r="163" ht="16.5" spans="1:4">
      <c r="A163" s="10" t="s">
        <v>38</v>
      </c>
      <c r="B163" s="10">
        <v>4</v>
      </c>
      <c r="C163" s="42">
        <v>2999</v>
      </c>
      <c r="D163" s="42">
        <f t="shared" si="5"/>
        <v>11996</v>
      </c>
    </row>
    <row r="164" ht="16.5" spans="1:4">
      <c r="A164" s="10" t="s">
        <v>38</v>
      </c>
      <c r="B164" s="10">
        <v>5</v>
      </c>
      <c r="C164" s="42">
        <v>2999</v>
      </c>
      <c r="D164" s="42">
        <f t="shared" si="5"/>
        <v>14995</v>
      </c>
    </row>
    <row r="165" ht="16.5" spans="1:4">
      <c r="A165" s="10" t="s">
        <v>38</v>
      </c>
      <c r="B165" s="10">
        <v>2</v>
      </c>
      <c r="C165" s="42">
        <v>199</v>
      </c>
      <c r="D165" s="42">
        <f t="shared" si="5"/>
        <v>398</v>
      </c>
    </row>
    <row r="166" ht="16.5" spans="1:4">
      <c r="A166" s="10" t="s">
        <v>38</v>
      </c>
      <c r="B166" s="10">
        <v>3</v>
      </c>
      <c r="C166" s="42">
        <v>799</v>
      </c>
      <c r="D166" s="42">
        <f t="shared" si="5"/>
        <v>2397</v>
      </c>
    </row>
    <row r="167" ht="16.5" spans="1:4">
      <c r="A167" s="10" t="s">
        <v>38</v>
      </c>
      <c r="B167" s="10">
        <v>5</v>
      </c>
      <c r="C167" s="42">
        <v>199</v>
      </c>
      <c r="D167" s="42">
        <f t="shared" si="5"/>
        <v>995</v>
      </c>
    </row>
    <row r="168" ht="16.5" spans="1:4">
      <c r="A168" s="10" t="s">
        <v>38</v>
      </c>
      <c r="B168" s="10">
        <v>4</v>
      </c>
      <c r="C168" s="42">
        <v>199</v>
      </c>
      <c r="D168" s="42">
        <f t="shared" si="5"/>
        <v>796</v>
      </c>
    </row>
    <row r="169" ht="16.5" spans="1:4">
      <c r="A169" s="10" t="s">
        <v>38</v>
      </c>
      <c r="B169" s="10">
        <v>2</v>
      </c>
      <c r="C169" s="42">
        <v>499</v>
      </c>
      <c r="D169" s="42">
        <f t="shared" si="5"/>
        <v>998</v>
      </c>
    </row>
    <row r="170" ht="16.5" spans="1:4">
      <c r="A170" s="10" t="s">
        <v>38</v>
      </c>
      <c r="B170" s="10">
        <v>2</v>
      </c>
      <c r="C170" s="42">
        <v>349</v>
      </c>
      <c r="D170" s="42">
        <f t="shared" si="5"/>
        <v>698</v>
      </c>
    </row>
    <row r="171" ht="16.5" spans="1:4">
      <c r="A171" s="10" t="s">
        <v>38</v>
      </c>
      <c r="B171" s="10">
        <v>1</v>
      </c>
      <c r="C171" s="42">
        <v>499</v>
      </c>
      <c r="D171" s="42">
        <f t="shared" si="5"/>
        <v>499</v>
      </c>
    </row>
    <row r="172" ht="16.5" spans="1:4">
      <c r="A172" s="10" t="s">
        <v>38</v>
      </c>
      <c r="B172" s="10">
        <v>3</v>
      </c>
      <c r="C172" s="42">
        <v>799</v>
      </c>
      <c r="D172" s="42">
        <f t="shared" si="5"/>
        <v>2397</v>
      </c>
    </row>
    <row r="173" ht="16.5" spans="1:4">
      <c r="A173" s="10" t="s">
        <v>38</v>
      </c>
      <c r="B173" s="10">
        <v>2</v>
      </c>
      <c r="C173" s="42">
        <v>799</v>
      </c>
      <c r="D173" s="42">
        <f t="shared" si="5"/>
        <v>1598</v>
      </c>
    </row>
    <row r="174" ht="16.5" spans="1:4">
      <c r="A174" s="10" t="s">
        <v>38</v>
      </c>
      <c r="B174" s="10">
        <v>5</v>
      </c>
      <c r="C174" s="42">
        <v>799</v>
      </c>
      <c r="D174" s="42">
        <f t="shared" si="5"/>
        <v>3995</v>
      </c>
    </row>
    <row r="175" ht="16.5" spans="1:4">
      <c r="A175" s="10" t="s">
        <v>38</v>
      </c>
      <c r="B175" s="10">
        <v>4</v>
      </c>
      <c r="C175" s="42">
        <v>799</v>
      </c>
      <c r="D175" s="42">
        <f t="shared" si="5"/>
        <v>3196</v>
      </c>
    </row>
    <row r="176" ht="16.5" spans="1:4">
      <c r="A176" s="10" t="s">
        <v>38</v>
      </c>
      <c r="B176" s="10">
        <v>5</v>
      </c>
      <c r="C176" s="42">
        <v>199</v>
      </c>
      <c r="D176" s="42">
        <f t="shared" si="5"/>
        <v>995</v>
      </c>
    </row>
    <row r="177" ht="16.5" spans="1:4">
      <c r="A177" s="10" t="s">
        <v>38</v>
      </c>
      <c r="B177" s="10">
        <v>1</v>
      </c>
      <c r="C177" s="42">
        <v>499</v>
      </c>
      <c r="D177" s="42">
        <f t="shared" si="5"/>
        <v>499</v>
      </c>
    </row>
    <row r="178" ht="16.5" spans="1:4">
      <c r="A178" s="10" t="s">
        <v>54</v>
      </c>
      <c r="B178" s="10">
        <v>1</v>
      </c>
      <c r="C178" s="42">
        <v>649</v>
      </c>
      <c r="D178" s="42">
        <f t="shared" si="5"/>
        <v>649</v>
      </c>
    </row>
    <row r="179" ht="16.5" spans="1:4">
      <c r="A179" s="10" t="s">
        <v>54</v>
      </c>
      <c r="B179" s="10">
        <v>4</v>
      </c>
      <c r="C179" s="42">
        <v>899</v>
      </c>
      <c r="D179" s="42">
        <f t="shared" si="5"/>
        <v>3596</v>
      </c>
    </row>
    <row r="180" ht="16.5" spans="1:4">
      <c r="A180" s="10" t="s">
        <v>54</v>
      </c>
      <c r="B180" s="10">
        <v>1</v>
      </c>
      <c r="C180" s="42">
        <v>649</v>
      </c>
      <c r="D180" s="42">
        <f t="shared" si="5"/>
        <v>649</v>
      </c>
    </row>
    <row r="181" ht="16.5" spans="1:4">
      <c r="A181" s="10" t="s">
        <v>54</v>
      </c>
      <c r="B181" s="10">
        <v>5</v>
      </c>
      <c r="C181" s="42">
        <v>1199</v>
      </c>
      <c r="D181" s="42">
        <f t="shared" si="5"/>
        <v>5995</v>
      </c>
    </row>
    <row r="182" ht="16.5" spans="1:4">
      <c r="A182" s="10" t="s">
        <v>54</v>
      </c>
      <c r="B182" s="10">
        <v>1</v>
      </c>
      <c r="C182" s="42">
        <v>349</v>
      </c>
      <c r="D182" s="42">
        <f t="shared" si="5"/>
        <v>349</v>
      </c>
    </row>
    <row r="183" ht="16.5" spans="1:4">
      <c r="A183" s="10" t="s">
        <v>54</v>
      </c>
      <c r="B183" s="10">
        <v>5</v>
      </c>
      <c r="C183" s="42">
        <v>349</v>
      </c>
      <c r="D183" s="42">
        <f t="shared" si="5"/>
        <v>1745</v>
      </c>
    </row>
    <row r="184" ht="16.5" spans="1:4">
      <c r="A184" s="10" t="s">
        <v>54</v>
      </c>
      <c r="B184" s="10">
        <v>2</v>
      </c>
      <c r="C184" s="42">
        <v>899</v>
      </c>
      <c r="D184" s="42">
        <f t="shared" si="5"/>
        <v>1798</v>
      </c>
    </row>
    <row r="185" ht="16.5" spans="1:4">
      <c r="A185" s="10" t="s">
        <v>54</v>
      </c>
      <c r="B185" s="10">
        <v>1</v>
      </c>
      <c r="C185" s="42">
        <v>499</v>
      </c>
      <c r="D185" s="42">
        <f t="shared" si="5"/>
        <v>499</v>
      </c>
    </row>
    <row r="186" ht="16.5" spans="1:4">
      <c r="A186" s="10" t="s">
        <v>54</v>
      </c>
      <c r="B186" s="10">
        <v>5</v>
      </c>
      <c r="C186" s="42">
        <v>499</v>
      </c>
      <c r="D186" s="42">
        <f t="shared" si="5"/>
        <v>2495</v>
      </c>
    </row>
    <row r="187" ht="16.5" spans="1:4">
      <c r="A187" s="10" t="s">
        <v>54</v>
      </c>
      <c r="B187" s="10">
        <v>4</v>
      </c>
      <c r="C187" s="42">
        <v>649</v>
      </c>
      <c r="D187" s="42">
        <f t="shared" si="5"/>
        <v>2596</v>
      </c>
    </row>
    <row r="188" ht="16.5" spans="1:4">
      <c r="A188" s="10" t="s">
        <v>54</v>
      </c>
      <c r="B188" s="10">
        <v>3</v>
      </c>
      <c r="C188" s="42">
        <v>1199</v>
      </c>
      <c r="D188" s="42">
        <f t="shared" si="5"/>
        <v>3597</v>
      </c>
    </row>
    <row r="189" ht="16.5" spans="1:4">
      <c r="A189" s="10" t="s">
        <v>54</v>
      </c>
      <c r="B189" s="10">
        <v>4</v>
      </c>
      <c r="C189" s="42">
        <v>499</v>
      </c>
      <c r="D189" s="42">
        <f t="shared" si="5"/>
        <v>1996</v>
      </c>
    </row>
    <row r="190" ht="16.5" spans="1:4">
      <c r="A190" s="10" t="s">
        <v>54</v>
      </c>
      <c r="B190" s="10">
        <v>4</v>
      </c>
      <c r="C190" s="42">
        <v>649</v>
      </c>
      <c r="D190" s="42">
        <f t="shared" si="5"/>
        <v>2596</v>
      </c>
    </row>
    <row r="191" ht="16.5" spans="1:4">
      <c r="A191" s="10" t="s">
        <v>54</v>
      </c>
      <c r="B191" s="10">
        <v>2</v>
      </c>
      <c r="C191" s="42">
        <v>899</v>
      </c>
      <c r="D191" s="42">
        <f t="shared" si="5"/>
        <v>1798</v>
      </c>
    </row>
    <row r="192" ht="16.5" spans="1:4">
      <c r="A192" s="10" t="s">
        <v>54</v>
      </c>
      <c r="B192" s="10">
        <v>4</v>
      </c>
      <c r="C192" s="42">
        <v>499</v>
      </c>
      <c r="D192" s="42">
        <f t="shared" si="5"/>
        <v>1996</v>
      </c>
    </row>
    <row r="193" ht="16.5" spans="1:4">
      <c r="A193" s="10" t="s">
        <v>54</v>
      </c>
      <c r="B193" s="10">
        <v>2</v>
      </c>
      <c r="C193" s="42">
        <v>349</v>
      </c>
      <c r="D193" s="42">
        <f t="shared" si="5"/>
        <v>698</v>
      </c>
    </row>
    <row r="194" ht="16.5" spans="1:4">
      <c r="A194" s="10" t="s">
        <v>54</v>
      </c>
      <c r="B194" s="10">
        <v>3</v>
      </c>
      <c r="C194" s="42">
        <v>499</v>
      </c>
      <c r="D194" s="42">
        <f t="shared" ref="D194:D201" si="6">C194*B194</f>
        <v>1497</v>
      </c>
    </row>
    <row r="195" ht="16.5" spans="1:4">
      <c r="A195" s="10" t="s">
        <v>54</v>
      </c>
      <c r="B195" s="10">
        <v>5</v>
      </c>
      <c r="C195" s="42">
        <v>899</v>
      </c>
      <c r="D195" s="42">
        <f t="shared" si="6"/>
        <v>4495</v>
      </c>
    </row>
    <row r="196" ht="16.5" spans="1:4">
      <c r="A196" s="10" t="s">
        <v>54</v>
      </c>
      <c r="B196" s="10">
        <v>2</v>
      </c>
      <c r="C196" s="42">
        <v>649</v>
      </c>
      <c r="D196" s="42">
        <f t="shared" si="6"/>
        <v>1298</v>
      </c>
    </row>
    <row r="197" ht="16.5" spans="1:4">
      <c r="A197" s="10" t="s">
        <v>54</v>
      </c>
      <c r="B197" s="10">
        <v>1</v>
      </c>
      <c r="C197" s="42">
        <v>499</v>
      </c>
      <c r="D197" s="42">
        <f t="shared" si="6"/>
        <v>499</v>
      </c>
    </row>
    <row r="198" ht="16.5" spans="1:4">
      <c r="A198" s="10" t="s">
        <v>54</v>
      </c>
      <c r="B198" s="10">
        <v>2</v>
      </c>
      <c r="C198" s="42">
        <v>499</v>
      </c>
      <c r="D198" s="42">
        <f t="shared" si="6"/>
        <v>998</v>
      </c>
    </row>
    <row r="199" ht="16.5" spans="1:4">
      <c r="A199" s="10" t="s">
        <v>54</v>
      </c>
      <c r="B199" s="10">
        <v>2</v>
      </c>
      <c r="C199" s="42">
        <v>649</v>
      </c>
      <c r="D199" s="42">
        <f t="shared" si="6"/>
        <v>1298</v>
      </c>
    </row>
    <row r="200" ht="16.5" spans="1:4">
      <c r="A200" s="10" t="s">
        <v>54</v>
      </c>
      <c r="B200" s="10">
        <v>4</v>
      </c>
      <c r="C200" s="42">
        <v>499</v>
      </c>
      <c r="D200" s="42">
        <f t="shared" si="6"/>
        <v>1996</v>
      </c>
    </row>
    <row r="201" ht="16.5" spans="1:4">
      <c r="A201" s="10" t="s">
        <v>54</v>
      </c>
      <c r="B201" s="10">
        <v>1</v>
      </c>
      <c r="C201" s="42">
        <v>349</v>
      </c>
      <c r="D201" s="42">
        <f t="shared" si="6"/>
        <v>349</v>
      </c>
    </row>
  </sheetData>
  <autoFilter xmlns:etc="http://www.wps.cn/officeDocument/2017/etCustomData" ref="A1:D202" etc:filterBottomFollowUsedRange="0">
    <sortState ref="A1:D202">
      <sortCondition ref="A1"/>
    </sortState>
    <extLst/>
  </autoFilter>
  <conditionalFormatting sqref="A1:D201">
    <cfRule type="expression" dxfId="10" priority="3">
      <formula>MOD(ROW(),2)=0</formula>
    </cfRule>
  </conditionalFormatting>
  <conditionalFormatting sqref="F2:I10">
    <cfRule type="expression" dxfId="10" priority="1">
      <formula>MOD(ROW(),2)=0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workbookViewId="0">
      <selection activeCell="E6" sqref="E6"/>
    </sheetView>
  </sheetViews>
  <sheetFormatPr defaultColWidth="9.14285714285714" defaultRowHeight="12.75" outlineLevelCol="6"/>
  <cols>
    <col min="1" max="1" width="21.2857142857143" customWidth="1"/>
    <col min="2" max="2" width="19" customWidth="1"/>
    <col min="3" max="3" width="16.8571428571429" customWidth="1"/>
    <col min="4" max="4" width="82.2857142857143" customWidth="1"/>
    <col min="7" max="7" width="127" customWidth="1"/>
  </cols>
  <sheetData>
    <row r="1" ht="18" spans="1:7">
      <c r="A1" s="4" t="s">
        <v>19</v>
      </c>
      <c r="B1" s="4" t="s">
        <v>21</v>
      </c>
      <c r="C1" s="4" t="s">
        <v>22</v>
      </c>
      <c r="D1" s="4" t="s">
        <v>369</v>
      </c>
    </row>
    <row r="2" ht="17.25" spans="1:7">
      <c r="A2" s="10" t="s">
        <v>29</v>
      </c>
      <c r="B2" s="10" t="s">
        <v>31</v>
      </c>
      <c r="C2" s="10" t="s">
        <v>32</v>
      </c>
      <c r="D2" s="10" t="str">
        <f>_xlfn.TEXTJOIN(" ",TRUE,A2," ordered ",B2,"Item across",C2,"category.")</f>
        <v>SHREYA GHOSH  ordered  Bluetooth Speaker Item across Electronics category.</v>
      </c>
      <c r="G2" s="8" t="s">
        <v>13</v>
      </c>
    </row>
    <row r="3" ht="16.5" spans="1:7">
      <c r="A3" s="10" t="s">
        <v>35</v>
      </c>
      <c r="B3" s="10" t="s">
        <v>37</v>
      </c>
      <c r="C3" s="10" t="s">
        <v>38</v>
      </c>
      <c r="D3" s="10" t="str">
        <f t="shared" ref="D3:D34" si="0">_xlfn.TEXTJOIN(" ",TRUE,A3," ordered ",B3,"Item across",C3,"category.")</f>
        <v>Zara sinha  ordered  Dumbbell Set Item across Sports category.</v>
      </c>
    </row>
    <row r="4" ht="16.5" spans="1:7">
      <c r="A4" s="10" t="s">
        <v>41</v>
      </c>
      <c r="B4" s="10" t="s">
        <v>43</v>
      </c>
      <c r="C4" s="10" t="s">
        <v>44</v>
      </c>
      <c r="D4" s="10" t="str">
        <f t="shared" si="0"/>
        <v>nitin Wagh  ordered  Denim Jeans Item across Clothing category.</v>
      </c>
    </row>
    <row r="5" ht="16.5" spans="1:7">
      <c r="A5" s="10" t="s">
        <v>46</v>
      </c>
      <c r="B5" s="10" t="s">
        <v>48</v>
      </c>
      <c r="C5" s="10" t="s">
        <v>38</v>
      </c>
      <c r="D5" s="10" t="str">
        <f t="shared" si="0"/>
        <v>rekha BOSE  ordered  Resistance Bands Item across Sports category.</v>
      </c>
    </row>
    <row r="6" ht="16.5" spans="1:7">
      <c r="A6" s="10" t="s">
        <v>51</v>
      </c>
      <c r="B6" s="10" t="s">
        <v>53</v>
      </c>
      <c r="C6" s="10" t="s">
        <v>54</v>
      </c>
      <c r="D6" s="10" t="str">
        <f t="shared" si="0"/>
        <v>deepa DESAI  ordered  Puzzle 500pc Item across Toys category.</v>
      </c>
    </row>
    <row r="7" ht="16.5" spans="1:7">
      <c r="A7" s="10" t="s">
        <v>56</v>
      </c>
      <c r="B7" s="10" t="s">
        <v>58</v>
      </c>
      <c r="C7" s="10" t="s">
        <v>54</v>
      </c>
      <c r="D7" s="10" t="str">
        <f t="shared" si="0"/>
        <v>akash MISHRA  ordered  Building Blocks Item across Toys category.</v>
      </c>
    </row>
    <row r="8" ht="16.5" spans="1:7">
      <c r="A8" s="10" t="s">
        <v>60</v>
      </c>
      <c r="B8" s="10" t="s">
        <v>62</v>
      </c>
      <c r="C8" s="10" t="s">
        <v>63</v>
      </c>
      <c r="D8" s="10" t="str">
        <f t="shared" si="0"/>
        <v>nikhil Singh  ordered  Green Tea 50pk Item across Grocery category.</v>
      </c>
    </row>
    <row r="9" ht="16.5" spans="1:7">
      <c r="A9" s="10" t="s">
        <v>65</v>
      </c>
      <c r="B9" s="10" t="s">
        <v>67</v>
      </c>
      <c r="C9" s="10" t="s">
        <v>68</v>
      </c>
      <c r="D9" s="10" t="str">
        <f t="shared" si="0"/>
        <v>raj joshi  ordered  Python Basics Item across Books category.</v>
      </c>
    </row>
    <row r="10" ht="16.5" spans="1:7">
      <c r="A10" s="10" t="s">
        <v>71</v>
      </c>
      <c r="B10" s="10" t="s">
        <v>73</v>
      </c>
      <c r="C10" s="10" t="s">
        <v>63</v>
      </c>
      <c r="D10" s="10" t="str">
        <f t="shared" si="0"/>
        <v>nikhil Shukla  ordered  Honey 500g Item across Grocery category.</v>
      </c>
    </row>
    <row r="11" ht="16.5" spans="1:7">
      <c r="A11" s="10" t="s">
        <v>75</v>
      </c>
      <c r="B11" s="10" t="s">
        <v>77</v>
      </c>
      <c r="C11" s="10" t="s">
        <v>78</v>
      </c>
      <c r="D11" s="10" t="str">
        <f t="shared" si="0"/>
        <v>VARUN Mehta  ordered  Face Wash Item across Beauty category.</v>
      </c>
    </row>
    <row r="12" ht="16.5" spans="1:7">
      <c r="A12" s="10" t="s">
        <v>65</v>
      </c>
      <c r="B12" s="10" t="s">
        <v>48</v>
      </c>
      <c r="C12" s="10" t="s">
        <v>38</v>
      </c>
      <c r="D12" s="10" t="str">
        <f t="shared" si="0"/>
        <v>raj joshi  ordered  Resistance Bands Item across Sports category.</v>
      </c>
    </row>
    <row r="13" ht="16.5" spans="1:7">
      <c r="A13" s="10" t="s">
        <v>81</v>
      </c>
      <c r="B13" s="10" t="s">
        <v>83</v>
      </c>
      <c r="C13" s="10" t="s">
        <v>63</v>
      </c>
      <c r="D13" s="10" t="str">
        <f t="shared" si="0"/>
        <v>leena dubey  ordered  Dark Chocolate Item across Grocery category.</v>
      </c>
    </row>
    <row r="14" ht="16.5" spans="1:7">
      <c r="A14" s="10" t="s">
        <v>85</v>
      </c>
      <c r="B14" s="10" t="s">
        <v>31</v>
      </c>
      <c r="C14" s="10" t="s">
        <v>32</v>
      </c>
      <c r="D14" s="10" t="str">
        <f t="shared" si="0"/>
        <v>Amit SHINDE  ordered  Bluetooth Speaker Item across Electronics category.</v>
      </c>
    </row>
    <row r="15" ht="16.5" spans="1:7">
      <c r="A15" s="10" t="s">
        <v>56</v>
      </c>
      <c r="B15" s="10" t="s">
        <v>88</v>
      </c>
      <c r="C15" s="10" t="s">
        <v>38</v>
      </c>
      <c r="D15" s="10" t="str">
        <f t="shared" si="0"/>
        <v>akash MISHRA  ordered  Water Flask Item across Sports category.</v>
      </c>
    </row>
    <row r="16" ht="16.5" spans="1:7">
      <c r="A16" s="10" t="s">
        <v>46</v>
      </c>
      <c r="B16" s="10" t="s">
        <v>88</v>
      </c>
      <c r="C16" s="10" t="s">
        <v>38</v>
      </c>
      <c r="D16" s="10" t="str">
        <f t="shared" si="0"/>
        <v>rekha BOSE  ordered  Water Flask Item across Sports category.</v>
      </c>
    </row>
    <row r="17" ht="16.5" spans="1:4">
      <c r="A17" s="10" t="s">
        <v>92</v>
      </c>
      <c r="B17" s="10" t="s">
        <v>37</v>
      </c>
      <c r="C17" s="10" t="s">
        <v>38</v>
      </c>
      <c r="D17" s="10" t="str">
        <f t="shared" si="0"/>
        <v>sneha shah  ordered  Dumbbell Set Item across Sports category.</v>
      </c>
    </row>
    <row r="18" ht="16.5" spans="1:4">
      <c r="A18" s="10" t="s">
        <v>94</v>
      </c>
      <c r="B18" s="10" t="s">
        <v>96</v>
      </c>
      <c r="C18" s="10" t="s">
        <v>32</v>
      </c>
      <c r="D18" s="10" t="str">
        <f t="shared" si="0"/>
        <v>KAVYA das  ordered  Wireless Earbuds Item across Electronics category.</v>
      </c>
    </row>
    <row r="19" ht="16.5" spans="1:4">
      <c r="A19" s="10" t="s">
        <v>98</v>
      </c>
      <c r="B19" s="10" t="s">
        <v>100</v>
      </c>
      <c r="C19" s="10" t="s">
        <v>101</v>
      </c>
      <c r="D19" s="10" t="str">
        <f t="shared" si="0"/>
        <v>Preeti BOSE  ordered  Water Bottle Item across Home &amp; Kitchen category.</v>
      </c>
    </row>
    <row r="20" ht="16.5" spans="1:4">
      <c r="A20" s="10" t="s">
        <v>65</v>
      </c>
      <c r="B20" s="10" t="s">
        <v>105</v>
      </c>
      <c r="C20" s="10" t="s">
        <v>44</v>
      </c>
      <c r="D20" s="10" t="str">
        <f t="shared" si="0"/>
        <v>raj joshi  ordered  Cotton T-Shirt Item across Clothing category.</v>
      </c>
    </row>
    <row r="21" ht="16.5" spans="1:4">
      <c r="A21" s="10" t="s">
        <v>107</v>
      </c>
      <c r="B21" s="10" t="s">
        <v>53</v>
      </c>
      <c r="C21" s="10" t="s">
        <v>54</v>
      </c>
      <c r="D21" s="10" t="str">
        <f t="shared" si="0"/>
        <v>anjali Reddy  ordered  Puzzle 500pc Item across Toys category.</v>
      </c>
    </row>
    <row r="22" ht="16.5" spans="1:4">
      <c r="A22" s="10" t="s">
        <v>109</v>
      </c>
      <c r="B22" s="10" t="s">
        <v>111</v>
      </c>
      <c r="C22" s="10" t="s">
        <v>32</v>
      </c>
      <c r="D22" s="10" t="str">
        <f t="shared" si="0"/>
        <v>Tanya Wagh  ordered  Phone Stand Item across Electronics category.</v>
      </c>
    </row>
    <row r="23" ht="16.5" spans="1:4">
      <c r="A23" s="10" t="s">
        <v>113</v>
      </c>
      <c r="B23" s="10" t="s">
        <v>67</v>
      </c>
      <c r="C23" s="10" t="s">
        <v>68</v>
      </c>
      <c r="D23" s="10" t="str">
        <f t="shared" si="0"/>
        <v>Ananya joshi  ordered  Python Basics Item across Books category.</v>
      </c>
    </row>
    <row r="24" ht="16.5" spans="1:4">
      <c r="A24" s="10" t="s">
        <v>115</v>
      </c>
      <c r="B24" s="10" t="s">
        <v>117</v>
      </c>
      <c r="C24" s="10" t="s">
        <v>38</v>
      </c>
      <c r="D24" s="10" t="str">
        <f t="shared" si="0"/>
        <v>manav Singh  ordered  Jump Rope Item across Sports category.</v>
      </c>
    </row>
    <row r="25" ht="16.5" spans="1:4">
      <c r="A25" s="10" t="s">
        <v>119</v>
      </c>
      <c r="B25" s="10" t="s">
        <v>121</v>
      </c>
      <c r="C25" s="10" t="s">
        <v>78</v>
      </c>
      <c r="D25" s="10" t="str">
        <f t="shared" si="0"/>
        <v>tarun pillai  ordered  Sunscreen SPF50 Item across Beauty category.</v>
      </c>
    </row>
    <row r="26" ht="16.5" spans="1:4">
      <c r="A26" s="10" t="s">
        <v>123</v>
      </c>
      <c r="B26" s="10" t="s">
        <v>125</v>
      </c>
      <c r="C26" s="10" t="s">
        <v>68</v>
      </c>
      <c r="D26" s="10" t="str">
        <f t="shared" si="0"/>
        <v>aarav YADAV  ordered  Excel Mastery Item across Books category.</v>
      </c>
    </row>
    <row r="27" ht="16.5" spans="1:4">
      <c r="A27" s="10" t="s">
        <v>127</v>
      </c>
      <c r="B27" s="10" t="s">
        <v>88</v>
      </c>
      <c r="C27" s="10" t="s">
        <v>38</v>
      </c>
      <c r="D27" s="10" t="str">
        <f t="shared" si="0"/>
        <v>Zara GAIKWAD  ordered  Water Flask Item across Sports category.</v>
      </c>
    </row>
    <row r="28" ht="16.5" spans="1:4">
      <c r="A28" s="10" t="s">
        <v>129</v>
      </c>
      <c r="B28" s="10" t="s">
        <v>131</v>
      </c>
      <c r="C28" s="10" t="s">
        <v>78</v>
      </c>
      <c r="D28" s="10" t="str">
        <f t="shared" si="0"/>
        <v>Rohan GUPTA  ordered  Hair Serum Item across Beauty category.</v>
      </c>
    </row>
    <row r="29" ht="16.5" spans="1:4">
      <c r="A29" s="10" t="s">
        <v>65</v>
      </c>
      <c r="B29" s="10" t="s">
        <v>134</v>
      </c>
      <c r="C29" s="10" t="s">
        <v>101</v>
      </c>
      <c r="D29" s="10" t="str">
        <f t="shared" si="0"/>
        <v>raj joshi  ordered  Coffee Mug Item across Home &amp; Kitchen category.</v>
      </c>
    </row>
    <row r="30" ht="16.5" spans="1:4">
      <c r="A30" s="10" t="s">
        <v>115</v>
      </c>
      <c r="B30" s="10" t="s">
        <v>96</v>
      </c>
      <c r="C30" s="10" t="s">
        <v>32</v>
      </c>
      <c r="D30" s="10" t="str">
        <f t="shared" si="0"/>
        <v>manav Singh  ordered  Wireless Earbuds Item across Electronics category.</v>
      </c>
    </row>
    <row r="31" ht="16.5" spans="1:4">
      <c r="A31" s="10" t="s">
        <v>137</v>
      </c>
      <c r="B31" s="10" t="s">
        <v>43</v>
      </c>
      <c r="C31" s="10" t="s">
        <v>44</v>
      </c>
      <c r="D31" s="10" t="str">
        <f t="shared" si="0"/>
        <v>nikhil trivedi  ordered  Denim Jeans Item across Clothing category.</v>
      </c>
    </row>
    <row r="32" ht="16.5" spans="1:4">
      <c r="A32" s="10" t="s">
        <v>60</v>
      </c>
      <c r="B32" s="10" t="s">
        <v>111</v>
      </c>
      <c r="C32" s="10" t="s">
        <v>32</v>
      </c>
      <c r="D32" s="10" t="str">
        <f t="shared" si="0"/>
        <v>nikhil Singh  ordered  Phone Stand Item across Electronics category.</v>
      </c>
    </row>
    <row r="33" ht="16.5" spans="1:4">
      <c r="A33" s="10" t="s">
        <v>115</v>
      </c>
      <c r="B33" s="10" t="s">
        <v>141</v>
      </c>
      <c r="C33" s="10" t="s">
        <v>63</v>
      </c>
      <c r="D33" s="10" t="str">
        <f t="shared" si="0"/>
        <v>manav Singh  ordered  Almonds 200g Item across Grocery category.</v>
      </c>
    </row>
    <row r="34" ht="16.5" spans="1:4">
      <c r="A34" s="10" t="s">
        <v>65</v>
      </c>
      <c r="B34" s="10" t="s">
        <v>144</v>
      </c>
      <c r="C34" s="10" t="s">
        <v>54</v>
      </c>
      <c r="D34" s="10" t="str">
        <f t="shared" si="0"/>
        <v>raj joshi  ordered  Board Game Item across Toys category.</v>
      </c>
    </row>
    <row r="35" ht="16.5" spans="1:4">
      <c r="A35" s="10" t="s">
        <v>146</v>
      </c>
      <c r="B35" s="10" t="s">
        <v>88</v>
      </c>
      <c r="C35" s="10" t="s">
        <v>38</v>
      </c>
      <c r="D35" s="10" t="str">
        <f t="shared" ref="D35:D66" si="1">_xlfn.TEXTJOIN(" ",TRUE,A35," ordered ",B35,"Item across",C35,"category.")</f>
        <v>harsh KULKARNI  ordered  Water Flask Item across Sports category.</v>
      </c>
    </row>
    <row r="36" ht="16.5" spans="1:4">
      <c r="A36" s="10" t="s">
        <v>115</v>
      </c>
      <c r="B36" s="10" t="s">
        <v>67</v>
      </c>
      <c r="C36" s="10" t="s">
        <v>68</v>
      </c>
      <c r="D36" s="10" t="str">
        <f t="shared" si="1"/>
        <v>manav Singh  ordered  Python Basics Item across Books category.</v>
      </c>
    </row>
    <row r="37" ht="16.5" spans="1:4">
      <c r="A37" s="10" t="s">
        <v>94</v>
      </c>
      <c r="B37" s="10" t="s">
        <v>48</v>
      </c>
      <c r="C37" s="10" t="s">
        <v>38</v>
      </c>
      <c r="D37" s="10" t="str">
        <f t="shared" si="1"/>
        <v>KAVYA das  ordered  Resistance Bands Item across Sports category.</v>
      </c>
    </row>
    <row r="38" ht="16.5" spans="1:4">
      <c r="A38" s="10" t="s">
        <v>150</v>
      </c>
      <c r="B38" s="10" t="s">
        <v>31</v>
      </c>
      <c r="C38" s="10" t="s">
        <v>32</v>
      </c>
      <c r="D38" s="10" t="str">
        <f t="shared" si="1"/>
        <v>aditya YADAV  ordered  Bluetooth Speaker Item across Electronics category.</v>
      </c>
    </row>
    <row r="39" ht="16.5" spans="1:4">
      <c r="A39" s="10" t="s">
        <v>46</v>
      </c>
      <c r="B39" s="10" t="s">
        <v>153</v>
      </c>
      <c r="C39" s="10" t="s">
        <v>63</v>
      </c>
      <c r="D39" s="10" t="str">
        <f t="shared" si="1"/>
        <v>rekha BOSE  ordered  Organic Oats Item across Grocery category.</v>
      </c>
    </row>
    <row r="40" ht="16.5" spans="1:4">
      <c r="A40" s="10" t="s">
        <v>155</v>
      </c>
      <c r="B40" s="10" t="s">
        <v>157</v>
      </c>
      <c r="C40" s="10" t="s">
        <v>44</v>
      </c>
      <c r="D40" s="10" t="str">
        <f t="shared" si="1"/>
        <v>KAVYA chauhan  ordered  Track Pants Item across Clothing category.</v>
      </c>
    </row>
    <row r="41" ht="16.5" spans="1:4">
      <c r="A41" s="10" t="s">
        <v>115</v>
      </c>
      <c r="B41" s="10" t="s">
        <v>134</v>
      </c>
      <c r="C41" s="10" t="s">
        <v>101</v>
      </c>
      <c r="D41" s="10" t="str">
        <f t="shared" si="1"/>
        <v>manav Singh  ordered  Coffee Mug Item across Home &amp; Kitchen category.</v>
      </c>
    </row>
    <row r="42" ht="16.5" spans="1:4">
      <c r="A42" s="10" t="s">
        <v>127</v>
      </c>
      <c r="B42" s="10" t="s">
        <v>43</v>
      </c>
      <c r="C42" s="10" t="s">
        <v>44</v>
      </c>
      <c r="D42" s="10" t="str">
        <f t="shared" si="1"/>
        <v>Zara GAIKWAD  ordered  Denim Jeans Item across Clothing category.</v>
      </c>
    </row>
    <row r="43" ht="16.5" spans="1:4">
      <c r="A43" s="10" t="s">
        <v>81</v>
      </c>
      <c r="B43" s="10" t="s">
        <v>153</v>
      </c>
      <c r="C43" s="10" t="s">
        <v>63</v>
      </c>
      <c r="D43" s="10" t="str">
        <f t="shared" si="1"/>
        <v>leena dubey  ordered  Organic Oats Item across Grocery category.</v>
      </c>
    </row>
    <row r="44" ht="16.5" spans="1:4">
      <c r="A44" s="10" t="s">
        <v>150</v>
      </c>
      <c r="B44" s="10" t="s">
        <v>163</v>
      </c>
      <c r="C44" s="10" t="s">
        <v>68</v>
      </c>
      <c r="D44" s="10" t="str">
        <f t="shared" si="1"/>
        <v>aditya YADAV  ordered  Data Science 101 Item across Books category.</v>
      </c>
    </row>
    <row r="45" ht="16.5" spans="1:4">
      <c r="A45" s="10" t="s">
        <v>165</v>
      </c>
      <c r="B45" s="10" t="s">
        <v>105</v>
      </c>
      <c r="C45" s="10" t="s">
        <v>44</v>
      </c>
      <c r="D45" s="10" t="str">
        <f t="shared" si="1"/>
        <v>aarav AGARWAL  ordered  Cotton T-Shirt Item across Clothing category.</v>
      </c>
    </row>
    <row r="46" ht="16.5" spans="1:4">
      <c r="A46" s="10" t="s">
        <v>167</v>
      </c>
      <c r="B46" s="10" t="s">
        <v>169</v>
      </c>
      <c r="C46" s="10" t="s">
        <v>68</v>
      </c>
      <c r="D46" s="10" t="str">
        <f t="shared" si="1"/>
        <v>alok  joshi  ordered  Business Stats Item across Books category.</v>
      </c>
    </row>
    <row r="47" ht="16.5" spans="1:4">
      <c r="A47" s="10" t="s">
        <v>56</v>
      </c>
      <c r="B47" s="10" t="s">
        <v>83</v>
      </c>
      <c r="C47" s="10" t="s">
        <v>63</v>
      </c>
      <c r="D47" s="10" t="str">
        <f t="shared" si="1"/>
        <v>akash MISHRA  ordered  Dark Chocolate Item across Grocery category.</v>
      </c>
    </row>
    <row r="48" ht="16.5" spans="1:4">
      <c r="A48" s="10" t="s">
        <v>137</v>
      </c>
      <c r="B48" s="10" t="s">
        <v>153</v>
      </c>
      <c r="C48" s="10" t="s">
        <v>63</v>
      </c>
      <c r="D48" s="10" t="str">
        <f t="shared" si="1"/>
        <v>nikhil trivedi  ordered  Organic Oats Item across Grocery category.</v>
      </c>
    </row>
    <row r="49" ht="16.5" spans="1:4">
      <c r="A49" s="10" t="s">
        <v>173</v>
      </c>
      <c r="B49" s="10" t="s">
        <v>67</v>
      </c>
      <c r="C49" s="10" t="s">
        <v>68</v>
      </c>
      <c r="D49" s="10" t="str">
        <f t="shared" si="1"/>
        <v>jyoti joshi  ordered  Python Basics Item across Books category.</v>
      </c>
    </row>
    <row r="50" ht="16.5" spans="1:4">
      <c r="A50" s="10" t="s">
        <v>165</v>
      </c>
      <c r="B50" s="10" t="s">
        <v>117</v>
      </c>
      <c r="C50" s="10" t="s">
        <v>38</v>
      </c>
      <c r="D50" s="10" t="str">
        <f t="shared" si="1"/>
        <v>aarav AGARWAL  ordered  Jump Rope Item across Sports category.</v>
      </c>
    </row>
    <row r="51" ht="16.5" spans="1:4">
      <c r="A51" s="10" t="s">
        <v>137</v>
      </c>
      <c r="B51" s="10" t="s">
        <v>77</v>
      </c>
      <c r="C51" s="10" t="s">
        <v>78</v>
      </c>
      <c r="D51" s="10" t="str">
        <f t="shared" si="1"/>
        <v>nikhil trivedi  ordered  Face Wash Item across Beauty category.</v>
      </c>
    </row>
    <row r="52" ht="16.5" spans="1:4">
      <c r="A52" s="10" t="s">
        <v>177</v>
      </c>
      <c r="B52" s="10" t="s">
        <v>179</v>
      </c>
      <c r="C52" s="10" t="s">
        <v>54</v>
      </c>
      <c r="D52" s="10" t="str">
        <f t="shared" si="1"/>
        <v>manav Bajaj  ordered  Drawing Kit Item across Toys category.</v>
      </c>
    </row>
    <row r="53" ht="16.5" spans="1:4">
      <c r="A53" s="10" t="s">
        <v>109</v>
      </c>
      <c r="B53" s="10" t="s">
        <v>111</v>
      </c>
      <c r="C53" s="10" t="s">
        <v>32</v>
      </c>
      <c r="D53" s="10" t="str">
        <f t="shared" si="1"/>
        <v>Tanya Wagh  ordered  Phone Stand Item across Electronics category.</v>
      </c>
    </row>
    <row r="54" ht="16.5" spans="1:4">
      <c r="A54" s="10" t="s">
        <v>182</v>
      </c>
      <c r="B54" s="10" t="s">
        <v>43</v>
      </c>
      <c r="C54" s="10" t="s">
        <v>44</v>
      </c>
      <c r="D54" s="10" t="str">
        <f t="shared" si="1"/>
        <v>SHREYA trivedi  ordered  Denim Jeans Item across Clothing category.</v>
      </c>
    </row>
    <row r="55" ht="16.5" spans="1:4">
      <c r="A55" s="10" t="s">
        <v>184</v>
      </c>
      <c r="B55" s="10" t="s">
        <v>186</v>
      </c>
      <c r="C55" s="10" t="s">
        <v>32</v>
      </c>
      <c r="D55" s="10" t="str">
        <f t="shared" si="1"/>
        <v>RIYA bhatnagar  ordered  USB-C Hub Item across Electronics category.</v>
      </c>
    </row>
    <row r="56" ht="16.5" spans="1:4">
      <c r="A56" s="10" t="s">
        <v>167</v>
      </c>
      <c r="B56" s="10" t="s">
        <v>186</v>
      </c>
      <c r="C56" s="10" t="s">
        <v>32</v>
      </c>
      <c r="D56" s="10" t="str">
        <f t="shared" si="1"/>
        <v>alok  joshi  ordered  USB-C Hub Item across Electronics category.</v>
      </c>
    </row>
    <row r="57" ht="16.5" spans="1:4">
      <c r="A57" s="10" t="s">
        <v>189</v>
      </c>
      <c r="B57" s="10" t="s">
        <v>179</v>
      </c>
      <c r="C57" s="10" t="s">
        <v>54</v>
      </c>
      <c r="D57" s="10" t="str">
        <f t="shared" si="1"/>
        <v>siddharth jadhav  ordered  Drawing Kit Item across Toys category.</v>
      </c>
    </row>
    <row r="58" ht="16.5" spans="1:4">
      <c r="A58" s="10" t="s">
        <v>191</v>
      </c>
      <c r="B58" s="10" t="s">
        <v>48</v>
      </c>
      <c r="C58" s="10" t="s">
        <v>38</v>
      </c>
      <c r="D58" s="10" t="str">
        <f t="shared" si="1"/>
        <v>PRIYA NAIR  ordered  Resistance Bands Item across Sports category.</v>
      </c>
    </row>
    <row r="59" ht="16.5" spans="1:4">
      <c r="A59" s="10" t="s">
        <v>92</v>
      </c>
      <c r="B59" s="10" t="s">
        <v>77</v>
      </c>
      <c r="C59" s="10" t="s">
        <v>78</v>
      </c>
      <c r="D59" s="10" t="str">
        <f t="shared" si="1"/>
        <v>sneha shah  ordered  Face Wash Item across Beauty category.</v>
      </c>
    </row>
    <row r="60" ht="16.5" spans="1:4">
      <c r="A60" s="10" t="s">
        <v>194</v>
      </c>
      <c r="B60" s="10" t="s">
        <v>58</v>
      </c>
      <c r="C60" s="10" t="s">
        <v>54</v>
      </c>
      <c r="D60" s="10" t="str">
        <f t="shared" si="1"/>
        <v>saurav BOSE  ordered  Building Blocks Item across Toys category.</v>
      </c>
    </row>
    <row r="61" ht="16.5" spans="1:4">
      <c r="A61" s="10" t="s">
        <v>51</v>
      </c>
      <c r="B61" s="10" t="s">
        <v>197</v>
      </c>
      <c r="C61" s="10" t="s">
        <v>101</v>
      </c>
      <c r="D61" s="10" t="str">
        <f t="shared" si="1"/>
        <v>deepa DESAI  ordered  Non-stick Pan Item across Home &amp; Kitchen category.</v>
      </c>
    </row>
    <row r="62" ht="16.5" spans="1:4">
      <c r="A62" s="10" t="s">
        <v>119</v>
      </c>
      <c r="B62" s="10" t="s">
        <v>200</v>
      </c>
      <c r="C62" s="10" t="s">
        <v>54</v>
      </c>
      <c r="D62" s="10" t="str">
        <f t="shared" si="1"/>
        <v>tarun pillai  ordered  Soft Toy Bear Item across Toys category.</v>
      </c>
    </row>
    <row r="63" ht="16.5" spans="1:4">
      <c r="A63" s="10" t="s">
        <v>129</v>
      </c>
      <c r="B63" s="10" t="s">
        <v>203</v>
      </c>
      <c r="C63" s="10" t="s">
        <v>101</v>
      </c>
      <c r="D63" s="10" t="str">
        <f t="shared" si="1"/>
        <v>Rohan GUPTA  ordered  Dish Rack Item across Home &amp; Kitchen category.</v>
      </c>
    </row>
    <row r="64" ht="16.5" spans="1:4">
      <c r="A64" s="10" t="s">
        <v>205</v>
      </c>
      <c r="B64" s="10" t="s">
        <v>200</v>
      </c>
      <c r="C64" s="10" t="s">
        <v>54</v>
      </c>
      <c r="D64" s="10" t="str">
        <f t="shared" si="1"/>
        <v>anjali More  ordered  Soft Toy Bear Item across Toys category.</v>
      </c>
    </row>
    <row r="65" ht="16.5" spans="1:4">
      <c r="A65" s="10" t="s">
        <v>207</v>
      </c>
      <c r="B65" s="10" t="s">
        <v>141</v>
      </c>
      <c r="C65" s="10" t="s">
        <v>63</v>
      </c>
      <c r="D65" s="10" t="str">
        <f t="shared" si="1"/>
        <v>leena GAIKWAD  ordered  Almonds 200g Item across Grocery category.</v>
      </c>
    </row>
    <row r="66" ht="16.5" spans="1:4">
      <c r="A66" s="10" t="s">
        <v>60</v>
      </c>
      <c r="B66" s="10" t="s">
        <v>117</v>
      </c>
      <c r="C66" s="10" t="s">
        <v>38</v>
      </c>
      <c r="D66" s="10" t="str">
        <f t="shared" si="1"/>
        <v>nikhil Singh  ordered  Jump Rope Item across Sports category.</v>
      </c>
    </row>
    <row r="67" ht="16.5" spans="1:4">
      <c r="A67" s="10" t="s">
        <v>210</v>
      </c>
      <c r="B67" s="10" t="s">
        <v>62</v>
      </c>
      <c r="C67" s="10" t="s">
        <v>63</v>
      </c>
      <c r="D67" s="10" t="str">
        <f t="shared" ref="D67:D98" si="2">_xlfn.TEXTJOIN(" ",TRUE,A67," ordered ",B67,"Item across",C67,"category.")</f>
        <v>simran Bajaj  ordered  Green Tea 50pk Item across Grocery category.</v>
      </c>
    </row>
    <row r="68" ht="16.5" spans="1:4">
      <c r="A68" s="10" t="s">
        <v>56</v>
      </c>
      <c r="B68" s="10" t="s">
        <v>37</v>
      </c>
      <c r="C68" s="10" t="s">
        <v>38</v>
      </c>
      <c r="D68" s="10" t="str">
        <f t="shared" si="2"/>
        <v>akash MISHRA  ordered  Dumbbell Set Item across Sports category.</v>
      </c>
    </row>
    <row r="69" ht="16.5" spans="1:4">
      <c r="A69" s="10" t="s">
        <v>213</v>
      </c>
      <c r="B69" s="10" t="s">
        <v>215</v>
      </c>
      <c r="C69" s="10" t="s">
        <v>101</v>
      </c>
      <c r="D69" s="10" t="str">
        <f t="shared" si="2"/>
        <v>rekha patil  ordered  Chopping Board Item across Home &amp; Kitchen category.</v>
      </c>
    </row>
    <row r="70" ht="16.5" spans="1:4">
      <c r="A70" s="10" t="s">
        <v>56</v>
      </c>
      <c r="B70" s="10" t="s">
        <v>105</v>
      </c>
      <c r="C70" s="10" t="s">
        <v>44</v>
      </c>
      <c r="D70" s="10" t="str">
        <f t="shared" si="2"/>
        <v>akash MISHRA  ordered  Cotton T-Shirt Item across Clothing category.</v>
      </c>
    </row>
    <row r="71" ht="16.5" spans="1:4">
      <c r="A71" s="10" t="s">
        <v>41</v>
      </c>
      <c r="B71" s="10" t="s">
        <v>131</v>
      </c>
      <c r="C71" s="10" t="s">
        <v>78</v>
      </c>
      <c r="D71" s="10" t="str">
        <f t="shared" si="2"/>
        <v>nitin Wagh  ordered  Hair Serum Item across Beauty category.</v>
      </c>
    </row>
    <row r="72" ht="16.5" spans="1:4">
      <c r="A72" s="10" t="s">
        <v>81</v>
      </c>
      <c r="B72" s="10" t="s">
        <v>53</v>
      </c>
      <c r="C72" s="10" t="s">
        <v>54</v>
      </c>
      <c r="D72" s="10" t="str">
        <f t="shared" si="2"/>
        <v>leena dubey  ordered  Puzzle 500pc Item across Toys category.</v>
      </c>
    </row>
    <row r="73" ht="16.5" spans="1:4">
      <c r="A73" s="10" t="s">
        <v>182</v>
      </c>
      <c r="B73" s="10" t="s">
        <v>73</v>
      </c>
      <c r="C73" s="10" t="s">
        <v>63</v>
      </c>
      <c r="D73" s="10" t="str">
        <f t="shared" si="2"/>
        <v>SHREYA trivedi  ordered  Honey 500g Item across Grocery category.</v>
      </c>
    </row>
    <row r="74" ht="16.5" spans="1:4">
      <c r="A74" s="10" t="s">
        <v>109</v>
      </c>
      <c r="B74" s="10" t="s">
        <v>222</v>
      </c>
      <c r="C74" s="10" t="s">
        <v>78</v>
      </c>
      <c r="D74" s="10" t="str">
        <f t="shared" si="2"/>
        <v>Tanya Wagh  ordered  Moisturizer Item across Beauty category.</v>
      </c>
    </row>
    <row r="75" ht="16.5" spans="1:4">
      <c r="A75" s="10" t="s">
        <v>146</v>
      </c>
      <c r="B75" s="10" t="s">
        <v>43</v>
      </c>
      <c r="C75" s="10" t="s">
        <v>44</v>
      </c>
      <c r="D75" s="10" t="str">
        <f t="shared" si="2"/>
        <v>harsh KULKARNI  ordered  Denim Jeans Item across Clothing category.</v>
      </c>
    </row>
    <row r="76" ht="16.5" spans="1:4">
      <c r="A76" s="10" t="s">
        <v>35</v>
      </c>
      <c r="B76" s="10" t="s">
        <v>37</v>
      </c>
      <c r="C76" s="10" t="s">
        <v>38</v>
      </c>
      <c r="D76" s="10" t="str">
        <f t="shared" si="2"/>
        <v>Zara sinha  ordered  Dumbbell Set Item across Sports category.</v>
      </c>
    </row>
    <row r="77" ht="16.5" spans="1:4">
      <c r="A77" s="10" t="s">
        <v>65</v>
      </c>
      <c r="B77" s="10" t="s">
        <v>96</v>
      </c>
      <c r="C77" s="10" t="s">
        <v>32</v>
      </c>
      <c r="D77" s="10" t="str">
        <f t="shared" si="2"/>
        <v>raj joshi  ordered  Wireless Earbuds Item across Electronics category.</v>
      </c>
    </row>
    <row r="78" ht="16.5" spans="1:4">
      <c r="A78" s="10" t="s">
        <v>35</v>
      </c>
      <c r="B78" s="10" t="s">
        <v>62</v>
      </c>
      <c r="C78" s="10" t="s">
        <v>63</v>
      </c>
      <c r="D78" s="10" t="str">
        <f t="shared" si="2"/>
        <v>Zara sinha  ordered  Green Tea 50pk Item across Grocery category.</v>
      </c>
    </row>
    <row r="79" ht="16.5" spans="1:4">
      <c r="A79" s="10" t="s">
        <v>75</v>
      </c>
      <c r="B79" s="10" t="s">
        <v>121</v>
      </c>
      <c r="C79" s="10" t="s">
        <v>78</v>
      </c>
      <c r="D79" s="10" t="str">
        <f t="shared" si="2"/>
        <v>VARUN Mehta  ordered  Sunscreen SPF50 Item across Beauty category.</v>
      </c>
    </row>
    <row r="80" ht="16.5" spans="1:4">
      <c r="A80" s="10" t="s">
        <v>184</v>
      </c>
      <c r="B80" s="10" t="s">
        <v>100</v>
      </c>
      <c r="C80" s="10" t="s">
        <v>101</v>
      </c>
      <c r="D80" s="10" t="str">
        <f t="shared" si="2"/>
        <v>RIYA bhatnagar  ordered  Water Bottle Item across Home &amp; Kitchen category.</v>
      </c>
    </row>
    <row r="81" ht="16.5" spans="1:4">
      <c r="A81" s="10" t="s">
        <v>230</v>
      </c>
      <c r="B81" s="10" t="s">
        <v>157</v>
      </c>
      <c r="C81" s="10" t="s">
        <v>44</v>
      </c>
      <c r="D81" s="10" t="str">
        <f t="shared" si="2"/>
        <v>raj dubey  ordered  Track Pants Item across Clothing category.</v>
      </c>
    </row>
    <row r="82" ht="16.5" spans="1:4">
      <c r="A82" s="10" t="s">
        <v>165</v>
      </c>
      <c r="B82" s="10" t="s">
        <v>134</v>
      </c>
      <c r="C82" s="10" t="s">
        <v>101</v>
      </c>
      <c r="D82" s="10" t="str">
        <f t="shared" si="2"/>
        <v>aarav AGARWAL  ordered  Coffee Mug Item across Home &amp; Kitchen category.</v>
      </c>
    </row>
    <row r="83" ht="16.5" spans="1:4">
      <c r="A83" s="10" t="s">
        <v>233</v>
      </c>
      <c r="B83" s="10" t="s">
        <v>163</v>
      </c>
      <c r="C83" s="10" t="s">
        <v>68</v>
      </c>
      <c r="D83" s="10" t="str">
        <f t="shared" si="2"/>
        <v>Pooja More  ordered  Data Science 101 Item across Books category.</v>
      </c>
    </row>
    <row r="84" ht="16.5" spans="1:4">
      <c r="A84" s="10" t="s">
        <v>207</v>
      </c>
      <c r="B84" s="10" t="s">
        <v>157</v>
      </c>
      <c r="C84" s="10" t="s">
        <v>44</v>
      </c>
      <c r="D84" s="10" t="str">
        <f t="shared" si="2"/>
        <v>leena GAIKWAD  ordered  Track Pants Item across Clothing category.</v>
      </c>
    </row>
    <row r="85" ht="16.5" spans="1:4">
      <c r="A85" s="10" t="s">
        <v>56</v>
      </c>
      <c r="B85" s="10" t="s">
        <v>62</v>
      </c>
      <c r="C85" s="10" t="s">
        <v>63</v>
      </c>
      <c r="D85" s="10" t="str">
        <f t="shared" si="2"/>
        <v>akash MISHRA  ordered  Green Tea 50pk Item across Grocery category.</v>
      </c>
    </row>
    <row r="86" ht="16.5" spans="1:4">
      <c r="A86" s="10" t="s">
        <v>46</v>
      </c>
      <c r="B86" s="10" t="s">
        <v>238</v>
      </c>
      <c r="C86" s="10" t="s">
        <v>78</v>
      </c>
      <c r="D86" s="10" t="str">
        <f t="shared" si="2"/>
        <v>rekha BOSE  ordered  Lip Balm Item across Beauty category.</v>
      </c>
    </row>
    <row r="87" ht="16.5" spans="1:4">
      <c r="A87" s="10" t="s">
        <v>60</v>
      </c>
      <c r="B87" s="10" t="s">
        <v>144</v>
      </c>
      <c r="C87" s="10" t="s">
        <v>54</v>
      </c>
      <c r="D87" s="10" t="str">
        <f t="shared" si="2"/>
        <v>nikhil Singh  ordered  Board Game Item across Toys category.</v>
      </c>
    </row>
    <row r="88" ht="16.5" spans="1:4">
      <c r="A88" s="10" t="s">
        <v>205</v>
      </c>
      <c r="B88" s="10" t="s">
        <v>169</v>
      </c>
      <c r="C88" s="10" t="s">
        <v>68</v>
      </c>
      <c r="D88" s="10" t="str">
        <f t="shared" si="2"/>
        <v>anjali More  ordered  Business Stats Item across Books category.</v>
      </c>
    </row>
    <row r="89" ht="16.5" spans="1:4">
      <c r="A89" s="10" t="s">
        <v>167</v>
      </c>
      <c r="B89" s="10" t="s">
        <v>121</v>
      </c>
      <c r="C89" s="10" t="s">
        <v>78</v>
      </c>
      <c r="D89" s="10" t="str">
        <f t="shared" si="2"/>
        <v>alok  joshi  ordered  Sunscreen SPF50 Item across Beauty category.</v>
      </c>
    </row>
    <row r="90" ht="16.5" spans="1:4">
      <c r="A90" s="10" t="s">
        <v>243</v>
      </c>
      <c r="B90" s="10" t="s">
        <v>111</v>
      </c>
      <c r="C90" s="10" t="s">
        <v>32</v>
      </c>
      <c r="D90" s="10" t="str">
        <f t="shared" si="2"/>
        <v>Divya Rao  ordered  Phone Stand Item across Electronics category.</v>
      </c>
    </row>
    <row r="91" ht="16.5" spans="1:4">
      <c r="A91" s="10" t="s">
        <v>233</v>
      </c>
      <c r="B91" s="10" t="s">
        <v>48</v>
      </c>
      <c r="C91" s="10" t="s">
        <v>38</v>
      </c>
      <c r="D91" s="10" t="str">
        <f t="shared" si="2"/>
        <v>Pooja More  ordered  Resistance Bands Item across Sports category.</v>
      </c>
    </row>
    <row r="92" ht="16.5" spans="1:4">
      <c r="A92" s="10" t="s">
        <v>194</v>
      </c>
      <c r="B92" s="10" t="s">
        <v>238</v>
      </c>
      <c r="C92" s="10" t="s">
        <v>78</v>
      </c>
      <c r="D92" s="10" t="str">
        <f t="shared" si="2"/>
        <v>saurav BOSE  ordered  Lip Balm Item across Beauty category.</v>
      </c>
    </row>
    <row r="93" ht="16.5" spans="1:4">
      <c r="A93" s="10" t="s">
        <v>119</v>
      </c>
      <c r="B93" s="10" t="s">
        <v>131</v>
      </c>
      <c r="C93" s="10" t="s">
        <v>78</v>
      </c>
      <c r="D93" s="10" t="str">
        <f t="shared" si="2"/>
        <v>tarun pillai  ordered  Hair Serum Item across Beauty category.</v>
      </c>
    </row>
    <row r="94" ht="16.5" spans="1:4">
      <c r="A94" s="10" t="s">
        <v>213</v>
      </c>
      <c r="B94" s="10" t="s">
        <v>200</v>
      </c>
      <c r="C94" s="10" t="s">
        <v>54</v>
      </c>
      <c r="D94" s="10" t="str">
        <f t="shared" si="2"/>
        <v>rekha patil  ordered  Soft Toy Bear Item across Toys category.</v>
      </c>
    </row>
    <row r="95" ht="16.5" spans="1:4">
      <c r="A95" s="10" t="s">
        <v>119</v>
      </c>
      <c r="B95" s="10" t="s">
        <v>83</v>
      </c>
      <c r="C95" s="10" t="s">
        <v>63</v>
      </c>
      <c r="D95" s="10" t="str">
        <f t="shared" si="2"/>
        <v>tarun pillai  ordered  Dark Chocolate Item across Grocery category.</v>
      </c>
    </row>
    <row r="96" ht="16.5" spans="1:4">
      <c r="A96" s="10" t="s">
        <v>92</v>
      </c>
      <c r="B96" s="10" t="s">
        <v>134</v>
      </c>
      <c r="C96" s="10" t="s">
        <v>101</v>
      </c>
      <c r="D96" s="10" t="str">
        <f t="shared" si="2"/>
        <v>sneha shah  ordered  Coffee Mug Item across Home &amp; Kitchen category.</v>
      </c>
    </row>
    <row r="97" ht="16.5" spans="1:4">
      <c r="A97" s="10" t="s">
        <v>210</v>
      </c>
      <c r="B97" s="10" t="s">
        <v>37</v>
      </c>
      <c r="C97" s="10" t="s">
        <v>38</v>
      </c>
      <c r="D97" s="10" t="str">
        <f t="shared" si="2"/>
        <v>simran Bajaj  ordered  Dumbbell Set Item across Sports category.</v>
      </c>
    </row>
    <row r="98" ht="16.5" spans="1:4">
      <c r="A98" s="10" t="s">
        <v>155</v>
      </c>
      <c r="B98" s="10" t="s">
        <v>43</v>
      </c>
      <c r="C98" s="10" t="s">
        <v>44</v>
      </c>
      <c r="D98" s="10" t="str">
        <f t="shared" si="2"/>
        <v>KAVYA chauhan  ordered  Denim Jeans Item across Clothing category.</v>
      </c>
    </row>
    <row r="99" ht="16.5" spans="1:4">
      <c r="A99" s="10" t="s">
        <v>85</v>
      </c>
      <c r="B99" s="10" t="s">
        <v>53</v>
      </c>
      <c r="C99" s="10" t="s">
        <v>54</v>
      </c>
      <c r="D99" s="10" t="str">
        <f t="shared" ref="D99:D130" si="3">_xlfn.TEXTJOIN(" ",TRUE,A99," ordered ",B99,"Item across",C99,"category.")</f>
        <v>Amit SHINDE  ordered  Puzzle 500pc Item across Toys category.</v>
      </c>
    </row>
    <row r="100" ht="16.5" spans="1:4">
      <c r="A100" s="10" t="s">
        <v>75</v>
      </c>
      <c r="B100" s="10" t="s">
        <v>58</v>
      </c>
      <c r="C100" s="10" t="s">
        <v>54</v>
      </c>
      <c r="D100" s="10" t="str">
        <f t="shared" si="3"/>
        <v>VARUN Mehta  ordered  Building Blocks Item across Toys category.</v>
      </c>
    </row>
    <row r="101" ht="16.5" spans="1:4">
      <c r="A101" s="10" t="s">
        <v>173</v>
      </c>
      <c r="B101" s="10" t="s">
        <v>238</v>
      </c>
      <c r="C101" s="10" t="s">
        <v>78</v>
      </c>
      <c r="D101" s="10" t="str">
        <f t="shared" si="3"/>
        <v>jyoti joshi  ordered  Lip Balm Item across Beauty category.</v>
      </c>
    </row>
    <row r="102" ht="16.5" spans="1:4">
      <c r="A102" s="10" t="s">
        <v>191</v>
      </c>
      <c r="B102" s="10" t="s">
        <v>257</v>
      </c>
      <c r="C102" s="10" t="s">
        <v>38</v>
      </c>
      <c r="D102" s="10" t="str">
        <f t="shared" si="3"/>
        <v>PRIYA NAIR  ordered  Yoga Mat Item across Sports category.</v>
      </c>
    </row>
    <row r="103" ht="16.5" spans="1:4">
      <c r="A103" s="10" t="s">
        <v>115</v>
      </c>
      <c r="B103" s="10" t="s">
        <v>105</v>
      </c>
      <c r="C103" s="10" t="s">
        <v>44</v>
      </c>
      <c r="D103" s="10" t="str">
        <f t="shared" si="3"/>
        <v>manav Singh  ordered  Cotton T-Shirt Item across Clothing category.</v>
      </c>
    </row>
    <row r="104" ht="16.5" spans="1:4">
      <c r="A104" s="10" t="s">
        <v>60</v>
      </c>
      <c r="B104" s="10" t="s">
        <v>83</v>
      </c>
      <c r="C104" s="10" t="s">
        <v>63</v>
      </c>
      <c r="D104" s="10" t="str">
        <f t="shared" si="3"/>
        <v>nikhil Singh  ordered  Dark Chocolate Item across Grocery category.</v>
      </c>
    </row>
    <row r="105" ht="16.5" spans="1:4">
      <c r="A105" s="10" t="s">
        <v>46</v>
      </c>
      <c r="B105" s="10" t="s">
        <v>96</v>
      </c>
      <c r="C105" s="10" t="s">
        <v>32</v>
      </c>
      <c r="D105" s="10" t="str">
        <f t="shared" si="3"/>
        <v>rekha BOSE  ordered  Wireless Earbuds Item across Electronics category.</v>
      </c>
    </row>
    <row r="106" ht="16.5" spans="1:4">
      <c r="A106" s="10" t="s">
        <v>29</v>
      </c>
      <c r="B106" s="10" t="s">
        <v>48</v>
      </c>
      <c r="C106" s="10" t="s">
        <v>38</v>
      </c>
      <c r="D106" s="10" t="str">
        <f t="shared" si="3"/>
        <v>SHREYA GHOSH  ordered  Resistance Bands Item across Sports category.</v>
      </c>
    </row>
    <row r="107" ht="16.5" spans="1:4">
      <c r="A107" s="10" t="s">
        <v>119</v>
      </c>
      <c r="B107" s="10" t="s">
        <v>73</v>
      </c>
      <c r="C107" s="10" t="s">
        <v>63</v>
      </c>
      <c r="D107" s="10" t="str">
        <f t="shared" si="3"/>
        <v>tarun pillai  ordered  Honey 500g Item across Grocery category.</v>
      </c>
    </row>
    <row r="108" ht="16.5" spans="1:4">
      <c r="A108" s="10" t="s">
        <v>65</v>
      </c>
      <c r="B108" s="10" t="s">
        <v>88</v>
      </c>
      <c r="C108" s="10" t="s">
        <v>38</v>
      </c>
      <c r="D108" s="10" t="str">
        <f t="shared" si="3"/>
        <v>raj joshi  ordered  Water Flask Item across Sports category.</v>
      </c>
    </row>
    <row r="109" ht="16.5" spans="1:4">
      <c r="A109" s="10" t="s">
        <v>94</v>
      </c>
      <c r="B109" s="10" t="s">
        <v>43</v>
      </c>
      <c r="C109" s="10" t="s">
        <v>44</v>
      </c>
      <c r="D109" s="10" t="str">
        <f t="shared" si="3"/>
        <v>KAVYA das  ordered  Denim Jeans Item across Clothing category.</v>
      </c>
    </row>
    <row r="110" ht="16.5" spans="1:4">
      <c r="A110" s="10" t="s">
        <v>146</v>
      </c>
      <c r="B110" s="10" t="s">
        <v>215</v>
      </c>
      <c r="C110" s="10" t="s">
        <v>101</v>
      </c>
      <c r="D110" s="10" t="str">
        <f t="shared" si="3"/>
        <v>harsh KULKARNI  ordered  Chopping Board Item across Home &amp; Kitchen category.</v>
      </c>
    </row>
    <row r="111" ht="16.5" spans="1:4">
      <c r="A111" s="10" t="s">
        <v>184</v>
      </c>
      <c r="B111" s="10" t="s">
        <v>117</v>
      </c>
      <c r="C111" s="10" t="s">
        <v>38</v>
      </c>
      <c r="D111" s="10" t="str">
        <f t="shared" si="3"/>
        <v>RIYA bhatnagar  ordered  Jump Rope Item across Sports category.</v>
      </c>
    </row>
    <row r="112" ht="16.5" spans="1:4">
      <c r="A112" s="10" t="s">
        <v>267</v>
      </c>
      <c r="B112" s="10" t="s">
        <v>200</v>
      </c>
      <c r="C112" s="10" t="s">
        <v>54</v>
      </c>
      <c r="D112" s="10" t="str">
        <f t="shared" si="3"/>
        <v>VARUN YADAV  ordered  Soft Toy Bear Item across Toys category.</v>
      </c>
    </row>
    <row r="113" ht="16.5" spans="1:4">
      <c r="A113" s="10" t="s">
        <v>94</v>
      </c>
      <c r="B113" s="10" t="s">
        <v>270</v>
      </c>
      <c r="C113" s="10" t="s">
        <v>68</v>
      </c>
      <c r="D113" s="10" t="str">
        <f t="shared" si="3"/>
        <v>KAVYA das  ordered  SQL for Analysts Item across Books category.</v>
      </c>
    </row>
    <row r="114" ht="16.5" spans="1:4">
      <c r="A114" s="10" t="s">
        <v>173</v>
      </c>
      <c r="B114" s="10" t="s">
        <v>37</v>
      </c>
      <c r="C114" s="10" t="s">
        <v>38</v>
      </c>
      <c r="D114" s="10" t="str">
        <f t="shared" si="3"/>
        <v>jyoti joshi  ordered  Dumbbell Set Item across Sports category.</v>
      </c>
    </row>
    <row r="115" ht="16.5" spans="1:4">
      <c r="A115" s="10" t="s">
        <v>230</v>
      </c>
      <c r="B115" s="10" t="s">
        <v>179</v>
      </c>
      <c r="C115" s="10" t="s">
        <v>54</v>
      </c>
      <c r="D115" s="10" t="str">
        <f t="shared" si="3"/>
        <v>raj dubey  ordered  Drawing Kit Item across Toys category.</v>
      </c>
    </row>
    <row r="116" ht="16.5" spans="1:4">
      <c r="A116" s="10" t="s">
        <v>191</v>
      </c>
      <c r="B116" s="10" t="s">
        <v>157</v>
      </c>
      <c r="C116" s="10" t="s">
        <v>44</v>
      </c>
      <c r="D116" s="10" t="str">
        <f t="shared" si="3"/>
        <v>PRIYA NAIR  ordered  Track Pants Item across Clothing category.</v>
      </c>
    </row>
    <row r="117" ht="16.5" spans="1:4">
      <c r="A117" s="10" t="s">
        <v>155</v>
      </c>
      <c r="B117" s="10" t="s">
        <v>276</v>
      </c>
      <c r="C117" s="10" t="s">
        <v>44</v>
      </c>
      <c r="D117" s="10" t="str">
        <f t="shared" si="3"/>
        <v>KAVYA chauhan  ordered  Sports Jacket Item across Clothing category.</v>
      </c>
    </row>
    <row r="118" ht="16.5" spans="1:4">
      <c r="A118" s="10" t="s">
        <v>167</v>
      </c>
      <c r="B118" s="10" t="s">
        <v>37</v>
      </c>
      <c r="C118" s="10" t="s">
        <v>38</v>
      </c>
      <c r="D118" s="10" t="str">
        <f t="shared" si="3"/>
        <v>alok  joshi  ordered  Dumbbell Set Item across Sports category.</v>
      </c>
    </row>
    <row r="119" ht="16.5" spans="1:4">
      <c r="A119" s="10" t="s">
        <v>119</v>
      </c>
      <c r="B119" s="10" t="s">
        <v>105</v>
      </c>
      <c r="C119" s="10" t="s">
        <v>44</v>
      </c>
      <c r="D119" s="10" t="str">
        <f t="shared" si="3"/>
        <v>tarun pillai  ordered  Cotton T-Shirt Item across Clothing category.</v>
      </c>
    </row>
    <row r="120" ht="16.5" spans="1:4">
      <c r="A120" s="10" t="s">
        <v>165</v>
      </c>
      <c r="B120" s="10" t="s">
        <v>281</v>
      </c>
      <c r="C120" s="10" t="s">
        <v>32</v>
      </c>
      <c r="D120" s="10" t="str">
        <f t="shared" si="3"/>
        <v>aarav AGARWAL  ordered  LED Desk Lamp Item across Electronics category.</v>
      </c>
    </row>
    <row r="121" ht="16.5" spans="1:4">
      <c r="A121" s="10" t="s">
        <v>146</v>
      </c>
      <c r="B121" s="10" t="s">
        <v>105</v>
      </c>
      <c r="C121" s="10" t="s">
        <v>44</v>
      </c>
      <c r="D121" s="10" t="str">
        <f t="shared" si="3"/>
        <v>harsh KULKARNI  ordered  Cotton T-Shirt Item across Clothing category.</v>
      </c>
    </row>
    <row r="122" ht="16.5" spans="1:4">
      <c r="A122" s="10" t="s">
        <v>129</v>
      </c>
      <c r="B122" s="10" t="s">
        <v>203</v>
      </c>
      <c r="C122" s="10" t="s">
        <v>101</v>
      </c>
      <c r="D122" s="10" t="str">
        <f t="shared" si="3"/>
        <v>Rohan GUPTA  ordered  Dish Rack Item across Home &amp; Kitchen category.</v>
      </c>
    </row>
    <row r="123" ht="16.5" spans="1:4">
      <c r="A123" s="10" t="s">
        <v>233</v>
      </c>
      <c r="B123" s="10" t="s">
        <v>117</v>
      </c>
      <c r="C123" s="10" t="s">
        <v>38</v>
      </c>
      <c r="D123" s="10" t="str">
        <f t="shared" si="3"/>
        <v>Pooja More  ordered  Jump Rope Item across Sports category.</v>
      </c>
    </row>
    <row r="124" ht="16.5" spans="1:4">
      <c r="A124" s="10" t="s">
        <v>119</v>
      </c>
      <c r="B124" s="10" t="s">
        <v>105</v>
      </c>
      <c r="C124" s="10" t="s">
        <v>44</v>
      </c>
      <c r="D124" s="10" t="str">
        <f t="shared" si="3"/>
        <v>tarun pillai  ordered  Cotton T-Shirt Item across Clothing category.</v>
      </c>
    </row>
    <row r="125" ht="16.5" spans="1:4">
      <c r="A125" s="10" t="s">
        <v>85</v>
      </c>
      <c r="B125" s="10" t="s">
        <v>222</v>
      </c>
      <c r="C125" s="10" t="s">
        <v>78</v>
      </c>
      <c r="D125" s="10" t="str">
        <f t="shared" si="3"/>
        <v>Amit SHINDE  ordered  Moisturizer Item across Beauty category.</v>
      </c>
    </row>
    <row r="126" ht="16.5" spans="1:4">
      <c r="A126" s="10" t="s">
        <v>92</v>
      </c>
      <c r="B126" s="10" t="s">
        <v>169</v>
      </c>
      <c r="C126" s="10" t="s">
        <v>68</v>
      </c>
      <c r="D126" s="10" t="str">
        <f t="shared" si="3"/>
        <v>sneha shah  ordered  Business Stats Item across Books category.</v>
      </c>
    </row>
    <row r="127" ht="16.5" spans="1:4">
      <c r="A127" s="10" t="s">
        <v>173</v>
      </c>
      <c r="B127" s="10" t="s">
        <v>121</v>
      </c>
      <c r="C127" s="10" t="s">
        <v>78</v>
      </c>
      <c r="D127" s="10" t="str">
        <f t="shared" si="3"/>
        <v>jyoti joshi  ordered  Sunscreen SPF50 Item across Beauty category.</v>
      </c>
    </row>
    <row r="128" ht="16.5" spans="1:4">
      <c r="A128" s="10" t="s">
        <v>146</v>
      </c>
      <c r="B128" s="10" t="s">
        <v>200</v>
      </c>
      <c r="C128" s="10" t="s">
        <v>54</v>
      </c>
      <c r="D128" s="10" t="str">
        <f t="shared" si="3"/>
        <v>harsh KULKARNI  ordered  Soft Toy Bear Item across Toys category.</v>
      </c>
    </row>
    <row r="129" ht="16.5" spans="1:4">
      <c r="A129" s="10" t="s">
        <v>56</v>
      </c>
      <c r="B129" s="10" t="s">
        <v>222</v>
      </c>
      <c r="C129" s="10" t="s">
        <v>78</v>
      </c>
      <c r="D129" s="10" t="str">
        <f t="shared" si="3"/>
        <v>akash MISHRA  ordered  Moisturizer Item across Beauty category.</v>
      </c>
    </row>
    <row r="130" ht="16.5" spans="1:4">
      <c r="A130" s="10" t="s">
        <v>109</v>
      </c>
      <c r="B130" s="10" t="s">
        <v>31</v>
      </c>
      <c r="C130" s="10" t="s">
        <v>32</v>
      </c>
      <c r="D130" s="10" t="str">
        <f t="shared" si="3"/>
        <v>Tanya Wagh  ordered  Bluetooth Speaker Item across Electronics category.</v>
      </c>
    </row>
    <row r="131" ht="16.5" spans="1:4">
      <c r="A131" s="10" t="s">
        <v>81</v>
      </c>
      <c r="B131" s="10" t="s">
        <v>186</v>
      </c>
      <c r="C131" s="10" t="s">
        <v>32</v>
      </c>
      <c r="D131" s="10" t="str">
        <f t="shared" ref="D131:D162" si="4">_xlfn.TEXTJOIN(" ",TRUE,A131," ordered ",B131,"Item across",C131,"category.")</f>
        <v>leena dubey  ordered  USB-C Hub Item across Electronics category.</v>
      </c>
    </row>
    <row r="132" ht="16.5" spans="1:4">
      <c r="A132" s="10" t="s">
        <v>71</v>
      </c>
      <c r="B132" s="10" t="s">
        <v>215</v>
      </c>
      <c r="C132" s="10" t="s">
        <v>101</v>
      </c>
      <c r="D132" s="10" t="str">
        <f t="shared" si="4"/>
        <v>nikhil Shukla  ordered  Chopping Board Item across Home &amp; Kitchen category.</v>
      </c>
    </row>
    <row r="133" ht="16.5" spans="1:4">
      <c r="A133" s="10" t="s">
        <v>113</v>
      </c>
      <c r="B133" s="10" t="s">
        <v>257</v>
      </c>
      <c r="C133" s="10" t="s">
        <v>38</v>
      </c>
      <c r="D133" s="10" t="str">
        <f t="shared" si="4"/>
        <v>Ananya joshi  ordered  Yoga Mat Item across Sports category.</v>
      </c>
    </row>
    <row r="134" ht="16.5" spans="1:4">
      <c r="A134" s="10" t="s">
        <v>207</v>
      </c>
      <c r="B134" s="10" t="s">
        <v>58</v>
      </c>
      <c r="C134" s="10" t="s">
        <v>54</v>
      </c>
      <c r="D134" s="10" t="str">
        <f t="shared" si="4"/>
        <v>leena GAIKWAD  ordered  Building Blocks Item across Toys category.</v>
      </c>
    </row>
    <row r="135" ht="16.5" spans="1:4">
      <c r="A135" s="10" t="s">
        <v>213</v>
      </c>
      <c r="B135" s="10" t="s">
        <v>157</v>
      </c>
      <c r="C135" s="10" t="s">
        <v>44</v>
      </c>
      <c r="D135" s="10" t="str">
        <f t="shared" si="4"/>
        <v>rekha patil  ordered  Track Pants Item across Clothing category.</v>
      </c>
    </row>
    <row r="136" ht="16.5" spans="1:4">
      <c r="A136" s="10" t="s">
        <v>113</v>
      </c>
      <c r="B136" s="10" t="s">
        <v>117</v>
      </c>
      <c r="C136" s="10" t="s">
        <v>38</v>
      </c>
      <c r="D136" s="10" t="str">
        <f t="shared" si="4"/>
        <v>Ananya joshi  ordered  Jump Rope Item across Sports category.</v>
      </c>
    </row>
    <row r="137" ht="16.5" spans="1:4">
      <c r="A137" s="10" t="s">
        <v>71</v>
      </c>
      <c r="B137" s="10" t="s">
        <v>186</v>
      </c>
      <c r="C137" s="10" t="s">
        <v>32</v>
      </c>
      <c r="D137" s="10" t="str">
        <f t="shared" si="4"/>
        <v>nikhil Shukla  ordered  USB-C Hub Item across Electronics category.</v>
      </c>
    </row>
    <row r="138" ht="16.5" spans="1:4">
      <c r="A138" s="10" t="s">
        <v>177</v>
      </c>
      <c r="B138" s="10" t="s">
        <v>73</v>
      </c>
      <c r="C138" s="10" t="s">
        <v>63</v>
      </c>
      <c r="D138" s="10" t="str">
        <f t="shared" si="4"/>
        <v>manav Bajaj  ordered  Honey 500g Item across Grocery category.</v>
      </c>
    </row>
    <row r="139" ht="16.5" spans="1:4">
      <c r="A139" s="10" t="s">
        <v>230</v>
      </c>
      <c r="B139" s="10" t="s">
        <v>215</v>
      </c>
      <c r="C139" s="10" t="s">
        <v>101</v>
      </c>
      <c r="D139" s="10" t="str">
        <f t="shared" si="4"/>
        <v>raj dubey  ordered  Chopping Board Item across Home &amp; Kitchen category.</v>
      </c>
    </row>
    <row r="140" ht="16.5" spans="1:4">
      <c r="A140" s="10" t="s">
        <v>230</v>
      </c>
      <c r="B140" s="10" t="s">
        <v>134</v>
      </c>
      <c r="C140" s="10" t="s">
        <v>101</v>
      </c>
      <c r="D140" s="10" t="str">
        <f t="shared" si="4"/>
        <v>raj dubey  ordered  Coffee Mug Item across Home &amp; Kitchen category.</v>
      </c>
    </row>
    <row r="141" ht="16.5" spans="1:4">
      <c r="A141" s="10" t="s">
        <v>65</v>
      </c>
      <c r="B141" s="10" t="s">
        <v>117</v>
      </c>
      <c r="C141" s="10" t="s">
        <v>38</v>
      </c>
      <c r="D141" s="10" t="str">
        <f t="shared" si="4"/>
        <v>raj joshi  ordered  Jump Rope Item across Sports category.</v>
      </c>
    </row>
    <row r="142" ht="16.5" spans="1:4">
      <c r="A142" s="10" t="s">
        <v>119</v>
      </c>
      <c r="B142" s="10" t="s">
        <v>73</v>
      </c>
      <c r="C142" s="10" t="s">
        <v>63</v>
      </c>
      <c r="D142" s="10" t="str">
        <f t="shared" si="4"/>
        <v>tarun pillai  ordered  Honey 500g Item across Grocery category.</v>
      </c>
    </row>
    <row r="143" ht="16.5" spans="1:4">
      <c r="A143" s="10" t="s">
        <v>109</v>
      </c>
      <c r="B143" s="10" t="s">
        <v>48</v>
      </c>
      <c r="C143" s="10" t="s">
        <v>38</v>
      </c>
      <c r="D143" s="10" t="str">
        <f t="shared" si="4"/>
        <v>Tanya Wagh  ordered  Resistance Bands Item across Sports category.</v>
      </c>
    </row>
    <row r="144" ht="16.5" spans="1:4">
      <c r="A144" s="10" t="s">
        <v>213</v>
      </c>
      <c r="B144" s="10" t="s">
        <v>270</v>
      </c>
      <c r="C144" s="10" t="s">
        <v>68</v>
      </c>
      <c r="D144" s="10" t="str">
        <f t="shared" si="4"/>
        <v>rekha patil  ordered  SQL for Analysts Item across Books category.</v>
      </c>
    </row>
    <row r="145" ht="16.5" spans="1:4">
      <c r="A145" s="10" t="s">
        <v>155</v>
      </c>
      <c r="B145" s="10" t="s">
        <v>157</v>
      </c>
      <c r="C145" s="10" t="s">
        <v>44</v>
      </c>
      <c r="D145" s="10" t="str">
        <f t="shared" si="4"/>
        <v>KAVYA chauhan  ordered  Track Pants Item across Clothing category.</v>
      </c>
    </row>
    <row r="146" ht="16.5" spans="1:4">
      <c r="A146" s="10" t="s">
        <v>65</v>
      </c>
      <c r="B146" s="10" t="s">
        <v>134</v>
      </c>
      <c r="C146" s="10" t="s">
        <v>101</v>
      </c>
      <c r="D146" s="10" t="str">
        <f t="shared" si="4"/>
        <v>raj joshi  ordered  Coffee Mug Item across Home &amp; Kitchen category.</v>
      </c>
    </row>
    <row r="147" ht="16.5" spans="1:4">
      <c r="A147" s="10" t="s">
        <v>65</v>
      </c>
      <c r="B147" s="10" t="s">
        <v>77</v>
      </c>
      <c r="C147" s="10" t="s">
        <v>78</v>
      </c>
      <c r="D147" s="10" t="str">
        <f t="shared" si="4"/>
        <v>raj joshi  ordered  Face Wash Item across Beauty category.</v>
      </c>
    </row>
    <row r="148" ht="16.5" spans="1:4">
      <c r="A148" s="10" t="s">
        <v>65</v>
      </c>
      <c r="B148" s="10" t="s">
        <v>121</v>
      </c>
      <c r="C148" s="10" t="s">
        <v>78</v>
      </c>
      <c r="D148" s="10" t="str">
        <f t="shared" si="4"/>
        <v>raj joshi  ordered  Sunscreen SPF50 Item across Beauty category.</v>
      </c>
    </row>
    <row r="149" ht="16.5" spans="1:4">
      <c r="A149" s="10" t="s">
        <v>182</v>
      </c>
      <c r="B149" s="10" t="s">
        <v>131</v>
      </c>
      <c r="C149" s="10" t="s">
        <v>78</v>
      </c>
      <c r="D149" s="10" t="str">
        <f t="shared" si="4"/>
        <v>SHREYA trivedi  ordered  Hair Serum Item across Beauty category.</v>
      </c>
    </row>
    <row r="150" ht="16.5" spans="1:4">
      <c r="A150" s="10" t="s">
        <v>56</v>
      </c>
      <c r="B150" s="10" t="s">
        <v>88</v>
      </c>
      <c r="C150" s="10" t="s">
        <v>38</v>
      </c>
      <c r="D150" s="10" t="str">
        <f t="shared" si="4"/>
        <v>akash MISHRA  ordered  Water Flask Item across Sports category.</v>
      </c>
    </row>
    <row r="151" ht="16.5" spans="1:4">
      <c r="A151" s="10" t="s">
        <v>109</v>
      </c>
      <c r="B151" s="10" t="s">
        <v>96</v>
      </c>
      <c r="C151" s="10" t="s">
        <v>32</v>
      </c>
      <c r="D151" s="10" t="str">
        <f t="shared" si="4"/>
        <v>Tanya Wagh  ordered  Wireless Earbuds Item across Electronics category.</v>
      </c>
    </row>
    <row r="152" ht="16.5" spans="1:4">
      <c r="A152" s="10" t="s">
        <v>94</v>
      </c>
      <c r="B152" s="10" t="s">
        <v>43</v>
      </c>
      <c r="C152" s="10" t="s">
        <v>44</v>
      </c>
      <c r="D152" s="10" t="str">
        <f t="shared" si="4"/>
        <v>KAVYA das  ordered  Denim Jeans Item across Clothing category.</v>
      </c>
    </row>
    <row r="153" ht="16.5" spans="1:4">
      <c r="A153" s="10" t="s">
        <v>194</v>
      </c>
      <c r="B153" s="10" t="s">
        <v>141</v>
      </c>
      <c r="C153" s="10" t="s">
        <v>63</v>
      </c>
      <c r="D153" s="10" t="str">
        <f t="shared" si="4"/>
        <v>saurav BOSE  ordered  Almonds 200g Item across Grocery category.</v>
      </c>
    </row>
    <row r="154" ht="16.5" spans="1:4">
      <c r="A154" s="10" t="s">
        <v>207</v>
      </c>
      <c r="B154" s="10" t="s">
        <v>186</v>
      </c>
      <c r="C154" s="10" t="s">
        <v>32</v>
      </c>
      <c r="D154" s="10" t="str">
        <f t="shared" si="4"/>
        <v>leena GAIKWAD  ordered  USB-C Hub Item across Electronics category.</v>
      </c>
    </row>
    <row r="155" ht="16.5" spans="1:4">
      <c r="A155" s="10" t="s">
        <v>92</v>
      </c>
      <c r="B155" s="10" t="s">
        <v>53</v>
      </c>
      <c r="C155" s="10" t="s">
        <v>54</v>
      </c>
      <c r="D155" s="10" t="str">
        <f t="shared" si="4"/>
        <v>sneha shah  ordered  Puzzle 500pc Item across Toys category.</v>
      </c>
    </row>
    <row r="156" ht="16.5" spans="1:4">
      <c r="A156" s="10" t="s">
        <v>107</v>
      </c>
      <c r="B156" s="10" t="s">
        <v>83</v>
      </c>
      <c r="C156" s="10" t="s">
        <v>63</v>
      </c>
      <c r="D156" s="10" t="str">
        <f t="shared" si="4"/>
        <v>anjali Reddy  ordered  Dark Chocolate Item across Grocery category.</v>
      </c>
    </row>
    <row r="157" ht="16.5" spans="1:4">
      <c r="A157" s="10" t="s">
        <v>113</v>
      </c>
      <c r="B157" s="10" t="s">
        <v>215</v>
      </c>
      <c r="C157" s="10" t="s">
        <v>101</v>
      </c>
      <c r="D157" s="10" t="str">
        <f t="shared" si="4"/>
        <v>Ananya joshi  ordered  Chopping Board Item across Home &amp; Kitchen category.</v>
      </c>
    </row>
    <row r="158" ht="16.5" spans="1:4">
      <c r="A158" s="10" t="s">
        <v>75</v>
      </c>
      <c r="B158" s="10" t="s">
        <v>100</v>
      </c>
      <c r="C158" s="10" t="s">
        <v>101</v>
      </c>
      <c r="D158" s="10" t="str">
        <f t="shared" si="4"/>
        <v>VARUN Mehta  ordered  Water Bottle Item across Home &amp; Kitchen category.</v>
      </c>
    </row>
    <row r="159" ht="16.5" spans="1:4">
      <c r="A159" s="10" t="s">
        <v>123</v>
      </c>
      <c r="B159" s="10" t="s">
        <v>215</v>
      </c>
      <c r="C159" s="10" t="s">
        <v>101</v>
      </c>
      <c r="D159" s="10" t="str">
        <f t="shared" si="4"/>
        <v>aarav YADAV  ordered  Chopping Board Item across Home &amp; Kitchen category.</v>
      </c>
    </row>
    <row r="160" ht="16.5" spans="1:4">
      <c r="A160" s="10" t="s">
        <v>46</v>
      </c>
      <c r="B160" s="10" t="s">
        <v>48</v>
      </c>
      <c r="C160" s="10" t="s">
        <v>38</v>
      </c>
      <c r="D160" s="10" t="str">
        <f t="shared" si="4"/>
        <v>rekha BOSE  ordered  Resistance Bands Item across Sports category.</v>
      </c>
    </row>
    <row r="161" ht="16.5" spans="1:4">
      <c r="A161" s="10" t="s">
        <v>41</v>
      </c>
      <c r="B161" s="10" t="s">
        <v>163</v>
      </c>
      <c r="C161" s="10" t="s">
        <v>68</v>
      </c>
      <c r="D161" s="10" t="str">
        <f t="shared" si="4"/>
        <v>nitin Wagh  ordered  Data Science 101 Item across Books category.</v>
      </c>
    </row>
    <row r="162" ht="16.5" spans="1:4">
      <c r="A162" s="10" t="s">
        <v>113</v>
      </c>
      <c r="B162" s="10" t="s">
        <v>197</v>
      </c>
      <c r="C162" s="10" t="s">
        <v>101</v>
      </c>
      <c r="D162" s="10" t="str">
        <f t="shared" si="4"/>
        <v>Ananya joshi  ordered  Non-stick Pan Item across Home &amp; Kitchen category.</v>
      </c>
    </row>
    <row r="163" ht="16.5" spans="1:4">
      <c r="A163" s="10" t="s">
        <v>243</v>
      </c>
      <c r="B163" s="10" t="s">
        <v>100</v>
      </c>
      <c r="C163" s="10" t="s">
        <v>101</v>
      </c>
      <c r="D163" s="10" t="str">
        <f t="shared" ref="D163:D201" si="5">_xlfn.TEXTJOIN(" ",TRUE,A163," ordered ",B163,"Item across",C163,"category.")</f>
        <v>Divya Rao  ordered  Water Bottle Item across Home &amp; Kitchen category.</v>
      </c>
    </row>
    <row r="164" ht="16.5" spans="1:4">
      <c r="A164" s="10" t="s">
        <v>191</v>
      </c>
      <c r="B164" s="10" t="s">
        <v>67</v>
      </c>
      <c r="C164" s="10" t="s">
        <v>68</v>
      </c>
      <c r="D164" s="10" t="str">
        <f t="shared" si="5"/>
        <v>PRIYA NAIR  ordered  Python Basics Item across Books category.</v>
      </c>
    </row>
    <row r="165" ht="16.5" spans="1:4">
      <c r="A165" s="10" t="s">
        <v>324</v>
      </c>
      <c r="B165" s="10" t="s">
        <v>200</v>
      </c>
      <c r="C165" s="10" t="s">
        <v>54</v>
      </c>
      <c r="D165" s="10" t="str">
        <f t="shared" si="5"/>
        <v>NISHA shah  ordered  Soft Toy Bear Item across Toys category.</v>
      </c>
    </row>
    <row r="166" ht="16.5" spans="1:4">
      <c r="A166" s="10" t="s">
        <v>119</v>
      </c>
      <c r="B166" s="10" t="s">
        <v>134</v>
      </c>
      <c r="C166" s="10" t="s">
        <v>101</v>
      </c>
      <c r="D166" s="10" t="str">
        <f t="shared" si="5"/>
        <v>tarun pillai  ordered  Coffee Mug Item across Home &amp; Kitchen category.</v>
      </c>
    </row>
    <row r="167" ht="16.5" spans="1:4">
      <c r="A167" s="10" t="s">
        <v>127</v>
      </c>
      <c r="B167" s="10" t="s">
        <v>67</v>
      </c>
      <c r="C167" s="10" t="s">
        <v>68</v>
      </c>
      <c r="D167" s="10" t="str">
        <f t="shared" si="5"/>
        <v>Zara GAIKWAD  ordered  Python Basics Item across Books category.</v>
      </c>
    </row>
    <row r="168" ht="16.5" spans="1:4">
      <c r="A168" s="10" t="s">
        <v>119</v>
      </c>
      <c r="B168" s="10" t="s">
        <v>125</v>
      </c>
      <c r="C168" s="10" t="s">
        <v>68</v>
      </c>
      <c r="D168" s="10" t="str">
        <f t="shared" si="5"/>
        <v>tarun pillai  ordered  Excel Mastery Item across Books category.</v>
      </c>
    </row>
    <row r="169" ht="16.5" spans="1:4">
      <c r="A169" s="10" t="s">
        <v>94</v>
      </c>
      <c r="B169" s="10" t="s">
        <v>238</v>
      </c>
      <c r="C169" s="10" t="s">
        <v>78</v>
      </c>
      <c r="D169" s="10" t="str">
        <f t="shared" si="5"/>
        <v>KAVYA das  ordered  Lip Balm Item across Beauty category.</v>
      </c>
    </row>
    <row r="170" ht="16.5" spans="1:4">
      <c r="A170" s="10" t="s">
        <v>127</v>
      </c>
      <c r="B170" s="10" t="s">
        <v>257</v>
      </c>
      <c r="C170" s="10" t="s">
        <v>38</v>
      </c>
      <c r="D170" s="10" t="str">
        <f t="shared" si="5"/>
        <v>Zara GAIKWAD  ordered  Yoga Mat Item across Sports category.</v>
      </c>
    </row>
    <row r="171" ht="16.5" spans="1:4">
      <c r="A171" s="10" t="s">
        <v>65</v>
      </c>
      <c r="B171" s="10" t="s">
        <v>257</v>
      </c>
      <c r="C171" s="10" t="s">
        <v>38</v>
      </c>
      <c r="D171" s="10" t="str">
        <f t="shared" si="5"/>
        <v>raj joshi  ordered  Yoga Mat Item across Sports category.</v>
      </c>
    </row>
    <row r="172" ht="16.5" spans="1:4">
      <c r="A172" s="10" t="s">
        <v>165</v>
      </c>
      <c r="B172" s="10" t="s">
        <v>111</v>
      </c>
      <c r="C172" s="10" t="s">
        <v>32</v>
      </c>
      <c r="D172" s="10" t="str">
        <f t="shared" si="5"/>
        <v>aarav AGARWAL  ordered  Phone Stand Item across Electronics category.</v>
      </c>
    </row>
    <row r="173" ht="16.5" spans="1:4">
      <c r="A173" s="10" t="s">
        <v>29</v>
      </c>
      <c r="B173" s="10" t="s">
        <v>200</v>
      </c>
      <c r="C173" s="10" t="s">
        <v>54</v>
      </c>
      <c r="D173" s="10" t="str">
        <f t="shared" si="5"/>
        <v>SHREYA GHOSH  ordered  Soft Toy Bear Item across Toys category.</v>
      </c>
    </row>
    <row r="174" ht="16.5" spans="1:4">
      <c r="A174" s="10" t="s">
        <v>155</v>
      </c>
      <c r="B174" s="10" t="s">
        <v>257</v>
      </c>
      <c r="C174" s="10" t="s">
        <v>38</v>
      </c>
      <c r="D174" s="10" t="str">
        <f t="shared" si="5"/>
        <v>KAVYA chauhan  ordered  Yoga Mat Item across Sports category.</v>
      </c>
    </row>
    <row r="175" ht="16.5" spans="1:4">
      <c r="A175" s="10" t="s">
        <v>119</v>
      </c>
      <c r="B175" s="10" t="s">
        <v>53</v>
      </c>
      <c r="C175" s="10" t="s">
        <v>54</v>
      </c>
      <c r="D175" s="10" t="str">
        <f t="shared" si="5"/>
        <v>tarun pillai  ordered  Puzzle 500pc Item across Toys category.</v>
      </c>
    </row>
    <row r="176" ht="16.5" spans="1:4">
      <c r="A176" s="10" t="s">
        <v>65</v>
      </c>
      <c r="B176" s="10" t="s">
        <v>111</v>
      </c>
      <c r="C176" s="10" t="s">
        <v>32</v>
      </c>
      <c r="D176" s="10" t="str">
        <f t="shared" si="5"/>
        <v>raj joshi  ordered  Phone Stand Item across Electronics category.</v>
      </c>
    </row>
    <row r="177" ht="16.5" spans="1:4">
      <c r="A177" s="10" t="s">
        <v>113</v>
      </c>
      <c r="B177" s="10" t="s">
        <v>31</v>
      </c>
      <c r="C177" s="10" t="s">
        <v>32</v>
      </c>
      <c r="D177" s="10" t="str">
        <f t="shared" si="5"/>
        <v>Ananya joshi  ordered  Bluetooth Speaker Item across Electronics category.</v>
      </c>
    </row>
    <row r="178" ht="16.5" spans="1:4">
      <c r="A178" s="10" t="s">
        <v>123</v>
      </c>
      <c r="B178" s="10" t="s">
        <v>169</v>
      </c>
      <c r="C178" s="10" t="s">
        <v>68</v>
      </c>
      <c r="D178" s="10" t="str">
        <f t="shared" si="5"/>
        <v>aarav YADAV  ordered  Business Stats Item across Books category.</v>
      </c>
    </row>
    <row r="179" ht="16.5" spans="1:4">
      <c r="A179" s="10" t="s">
        <v>210</v>
      </c>
      <c r="B179" s="10" t="s">
        <v>157</v>
      </c>
      <c r="C179" s="10" t="s">
        <v>44</v>
      </c>
      <c r="D179" s="10" t="str">
        <f t="shared" si="5"/>
        <v>simran Bajaj  ordered  Track Pants Item across Clothing category.</v>
      </c>
    </row>
    <row r="180" ht="16.5" spans="1:4">
      <c r="A180" s="10" t="s">
        <v>56</v>
      </c>
      <c r="B180" s="10" t="s">
        <v>83</v>
      </c>
      <c r="C180" s="10" t="s">
        <v>63</v>
      </c>
      <c r="D180" s="10" t="str">
        <f t="shared" si="5"/>
        <v>akash MISHRA  ordered  Dark Chocolate Item across Grocery category.</v>
      </c>
    </row>
    <row r="181" ht="16.5" spans="1:4">
      <c r="A181" s="10" t="s">
        <v>107</v>
      </c>
      <c r="B181" s="10" t="s">
        <v>125</v>
      </c>
      <c r="C181" s="10" t="s">
        <v>68</v>
      </c>
      <c r="D181" s="10" t="str">
        <f t="shared" si="5"/>
        <v>anjali Reddy  ordered  Excel Mastery Item across Books category.</v>
      </c>
    </row>
    <row r="182" ht="16.5" spans="1:4">
      <c r="A182" s="10" t="s">
        <v>340</v>
      </c>
      <c r="B182" s="10" t="s">
        <v>200</v>
      </c>
      <c r="C182" s="10" t="s">
        <v>54</v>
      </c>
      <c r="D182" s="10" t="str">
        <f t="shared" si="5"/>
        <v>Pooja Tiwari  ordered  Soft Toy Bear Item across Toys category.</v>
      </c>
    </row>
    <row r="183" ht="16.5" spans="1:4">
      <c r="A183" s="10" t="s">
        <v>65</v>
      </c>
      <c r="B183" s="10" t="s">
        <v>179</v>
      </c>
      <c r="C183" s="10" t="s">
        <v>54</v>
      </c>
      <c r="D183" s="10" t="str">
        <f t="shared" si="5"/>
        <v>raj joshi  ordered  Drawing Kit Item across Toys category.</v>
      </c>
    </row>
    <row r="184" ht="16.5" spans="1:4">
      <c r="A184" s="10" t="s">
        <v>324</v>
      </c>
      <c r="B184" s="10" t="s">
        <v>257</v>
      </c>
      <c r="C184" s="10" t="s">
        <v>38</v>
      </c>
      <c r="D184" s="10" t="str">
        <f t="shared" si="5"/>
        <v>NISHA shah  ordered  Yoga Mat Item across Sports category.</v>
      </c>
    </row>
    <row r="185" ht="16.5" spans="1:4">
      <c r="A185" s="10" t="s">
        <v>173</v>
      </c>
      <c r="B185" s="10" t="s">
        <v>117</v>
      </c>
      <c r="C185" s="10" t="s">
        <v>38</v>
      </c>
      <c r="D185" s="10" t="str">
        <f t="shared" si="5"/>
        <v>jyoti joshi  ordered  Jump Rope Item across Sports category.</v>
      </c>
    </row>
    <row r="186" ht="16.5" spans="1:4">
      <c r="A186" s="10" t="s">
        <v>71</v>
      </c>
      <c r="B186" s="10" t="s">
        <v>186</v>
      </c>
      <c r="C186" s="10" t="s">
        <v>32</v>
      </c>
      <c r="D186" s="10" t="str">
        <f t="shared" si="5"/>
        <v>nikhil Shukla  ordered  USB-C Hub Item across Electronics category.</v>
      </c>
    </row>
    <row r="187" ht="16.5" spans="1:4">
      <c r="A187" s="10" t="s">
        <v>167</v>
      </c>
      <c r="B187" s="10" t="s">
        <v>121</v>
      </c>
      <c r="C187" s="10" t="s">
        <v>78</v>
      </c>
      <c r="D187" s="10" t="str">
        <f t="shared" si="5"/>
        <v>alok  joshi  ordered  Sunscreen SPF50 Item across Beauty category.</v>
      </c>
    </row>
    <row r="188" ht="16.5" spans="1:4">
      <c r="A188" s="10" t="s">
        <v>340</v>
      </c>
      <c r="B188" s="10" t="s">
        <v>83</v>
      </c>
      <c r="C188" s="10" t="s">
        <v>63</v>
      </c>
      <c r="D188" s="10" t="str">
        <f t="shared" si="5"/>
        <v>Pooja Tiwari  ordered  Dark Chocolate Item across Grocery category.</v>
      </c>
    </row>
    <row r="189" ht="16.5" spans="1:4">
      <c r="A189" s="10" t="s">
        <v>184</v>
      </c>
      <c r="B189" s="10" t="s">
        <v>197</v>
      </c>
      <c r="C189" s="10" t="s">
        <v>101</v>
      </c>
      <c r="D189" s="10" t="str">
        <f t="shared" si="5"/>
        <v>RIYA bhatnagar  ordered  Non-stick Pan Item across Home &amp; Kitchen category.</v>
      </c>
    </row>
    <row r="190" ht="16.5" spans="1:4">
      <c r="A190" s="10" t="s">
        <v>119</v>
      </c>
      <c r="B190" s="10" t="s">
        <v>215</v>
      </c>
      <c r="C190" s="10" t="s">
        <v>101</v>
      </c>
      <c r="D190" s="10" t="str">
        <f t="shared" si="5"/>
        <v>tarun pillai  ordered  Chopping Board Item across Home &amp; Kitchen category.</v>
      </c>
    </row>
    <row r="191" ht="16.5" spans="1:4">
      <c r="A191" s="10" t="s">
        <v>191</v>
      </c>
      <c r="B191" s="10" t="s">
        <v>62</v>
      </c>
      <c r="C191" s="10" t="s">
        <v>63</v>
      </c>
      <c r="D191" s="10" t="str">
        <f t="shared" si="5"/>
        <v>PRIYA NAIR  ordered  Green Tea 50pk Item across Grocery category.</v>
      </c>
    </row>
    <row r="192" ht="16.5" spans="1:4">
      <c r="A192" s="10" t="s">
        <v>129</v>
      </c>
      <c r="B192" s="10" t="s">
        <v>186</v>
      </c>
      <c r="C192" s="10" t="s">
        <v>32</v>
      </c>
      <c r="D192" s="10" t="str">
        <f t="shared" si="5"/>
        <v>Rohan GUPTA  ordered  USB-C Hub Item across Electronics category.</v>
      </c>
    </row>
    <row r="193" ht="16.5" spans="1:4">
      <c r="A193" s="10" t="s">
        <v>94</v>
      </c>
      <c r="B193" s="10" t="s">
        <v>43</v>
      </c>
      <c r="C193" s="10" t="s">
        <v>44</v>
      </c>
      <c r="D193" s="10" t="str">
        <f t="shared" si="5"/>
        <v>KAVYA das  ordered  Denim Jeans Item across Clothing category.</v>
      </c>
    </row>
    <row r="194" ht="16.5" spans="1:4">
      <c r="A194" s="10" t="s">
        <v>205</v>
      </c>
      <c r="B194" s="10" t="s">
        <v>215</v>
      </c>
      <c r="C194" s="10" t="s">
        <v>101</v>
      </c>
      <c r="D194" s="10" t="str">
        <f t="shared" si="5"/>
        <v>anjali More  ordered  Chopping Board Item across Home &amp; Kitchen category.</v>
      </c>
    </row>
    <row r="195" ht="16.5" spans="1:4">
      <c r="A195" s="10" t="s">
        <v>205</v>
      </c>
      <c r="B195" s="10" t="s">
        <v>100</v>
      </c>
      <c r="C195" s="10" t="s">
        <v>101</v>
      </c>
      <c r="D195" s="10" t="str">
        <f t="shared" si="5"/>
        <v>anjali More  ordered  Water Bottle Item across Home &amp; Kitchen category.</v>
      </c>
    </row>
    <row r="196" ht="16.5" spans="1:4">
      <c r="A196" s="10" t="s">
        <v>177</v>
      </c>
      <c r="B196" s="10" t="s">
        <v>186</v>
      </c>
      <c r="C196" s="10" t="s">
        <v>32</v>
      </c>
      <c r="D196" s="10" t="str">
        <f t="shared" si="5"/>
        <v>manav Bajaj  ordered  USB-C Hub Item across Electronics category.</v>
      </c>
    </row>
    <row r="197" ht="16.5" spans="1:4">
      <c r="A197" s="10" t="s">
        <v>81</v>
      </c>
      <c r="B197" s="10" t="s">
        <v>48</v>
      </c>
      <c r="C197" s="10" t="s">
        <v>38</v>
      </c>
      <c r="D197" s="10" t="str">
        <f t="shared" si="5"/>
        <v>leena dubey  ordered  Resistance Bands Item across Sports category.</v>
      </c>
    </row>
    <row r="198" ht="16.5" spans="1:4">
      <c r="A198" s="10" t="s">
        <v>123</v>
      </c>
      <c r="B198" s="10" t="s">
        <v>169</v>
      </c>
      <c r="C198" s="10" t="s">
        <v>68</v>
      </c>
      <c r="D198" s="10" t="str">
        <f t="shared" si="5"/>
        <v>aarav YADAV  ordered  Business Stats Item across Books category.</v>
      </c>
    </row>
    <row r="199" ht="16.5" spans="1:4">
      <c r="A199" s="10" t="s">
        <v>109</v>
      </c>
      <c r="B199" s="10" t="s">
        <v>238</v>
      </c>
      <c r="C199" s="10" t="s">
        <v>78</v>
      </c>
      <c r="D199" s="10" t="str">
        <f t="shared" si="5"/>
        <v>Tanya Wagh  ordered  Lip Balm Item across Beauty category.</v>
      </c>
    </row>
    <row r="200" ht="16.5" spans="1:4">
      <c r="A200" s="10" t="s">
        <v>94</v>
      </c>
      <c r="B200" s="10" t="s">
        <v>281</v>
      </c>
      <c r="C200" s="10" t="s">
        <v>32</v>
      </c>
      <c r="D200" s="10" t="str">
        <f t="shared" si="5"/>
        <v>KAVYA das  ordered  LED Desk Lamp Item across Electronics category.</v>
      </c>
    </row>
    <row r="201" ht="16.5" spans="1:4">
      <c r="A201" s="10" t="s">
        <v>184</v>
      </c>
      <c r="B201" s="10" t="s">
        <v>157</v>
      </c>
      <c r="C201" s="10" t="s">
        <v>44</v>
      </c>
      <c r="D201" s="10" t="str">
        <f t="shared" si="5"/>
        <v>RIYA bhatnagar  ordered  Track Pants Item across Clothing category.</v>
      </c>
    </row>
  </sheetData>
  <conditionalFormatting sqref="D1:D201">
    <cfRule type="expression" dxfId="10" priority="1">
      <formula>MOD(ROW(),2)=0</formula>
    </cfRule>
  </conditionalFormatting>
  <conditionalFormatting sqref="A1:A201 B1:B201 C1:C201">
    <cfRule type="expression" dxfId="10" priority="2">
      <formula>MOD(ROW(),2)=0</formula>
    </cfRule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1"/>
  <sheetViews>
    <sheetView workbookViewId="0">
      <selection activeCell="E2" sqref="E2"/>
    </sheetView>
  </sheetViews>
  <sheetFormatPr defaultColWidth="9.14285714285714" defaultRowHeight="12.75" outlineLevelCol="7"/>
  <cols>
    <col min="1" max="1" width="20.8571428571429" customWidth="1"/>
    <col min="2" max="2" width="8.85714285714286" style="25" customWidth="1"/>
    <col min="3" max="3" width="15.7142857142857" customWidth="1"/>
    <col min="4" max="4" width="10" style="25" customWidth="1"/>
    <col min="5" max="5" width="14" customWidth="1"/>
    <col min="8" max="8" width="82" customWidth="1"/>
  </cols>
  <sheetData>
    <row r="1" ht="18" spans="1:8">
      <c r="A1" s="4" t="s">
        <v>23</v>
      </c>
      <c r="B1" s="26" t="s">
        <v>370</v>
      </c>
      <c r="C1" s="26" t="s">
        <v>371</v>
      </c>
      <c r="D1" s="26" t="s">
        <v>372</v>
      </c>
      <c r="E1" s="26" t="s">
        <v>373</v>
      </c>
    </row>
    <row r="2" ht="17.25" spans="1:8">
      <c r="A2" s="27">
        <v>45363.75</v>
      </c>
      <c r="B2" s="28">
        <f t="shared" ref="B2:B65" si="0">HOUR(A2)</f>
        <v>18</v>
      </c>
      <c r="C2" s="28">
        <f t="shared" ref="C2:C65" si="1">COUNTIF($B$2:$B$201,B2)</f>
        <v>18</v>
      </c>
      <c r="D2" s="28" cm="1">
        <f t="array" ref="D2:D18">_xlfn.UNIQUE(B2:B201)</f>
        <v>18</v>
      </c>
      <c r="E2" s="28">
        <f>COUNTIF($B$2:$B$201,D2)</f>
        <v>18</v>
      </c>
      <c r="H2" s="8" t="s">
        <v>14</v>
      </c>
    </row>
    <row r="3" ht="16.5" spans="1:8">
      <c r="A3" s="29">
        <v>45352.6666666667</v>
      </c>
      <c r="B3" s="28">
        <f t="shared" si="0"/>
        <v>16</v>
      </c>
      <c r="C3" s="28">
        <f t="shared" si="1"/>
        <v>18</v>
      </c>
      <c r="D3" s="28">
        <v>16</v>
      </c>
      <c r="E3" s="28">
        <f t="shared" ref="E3:E18" si="2">COUNTIF($B$2:$B$201,D3)</f>
        <v>18</v>
      </c>
    </row>
    <row r="4" ht="16.5" spans="1:8">
      <c r="A4" s="30">
        <v>45390.75</v>
      </c>
      <c r="B4" s="28">
        <f t="shared" si="0"/>
        <v>18</v>
      </c>
      <c r="C4" s="28">
        <f t="shared" si="1"/>
        <v>18</v>
      </c>
      <c r="D4" s="28">
        <v>19</v>
      </c>
      <c r="E4" s="28">
        <f t="shared" si="2"/>
        <v>15</v>
      </c>
    </row>
    <row r="5" ht="16.5" spans="1:8">
      <c r="A5" s="31">
        <v>45473.75</v>
      </c>
      <c r="B5" s="32">
        <f t="shared" si="0"/>
        <v>18</v>
      </c>
      <c r="C5" s="32">
        <f t="shared" si="1"/>
        <v>18</v>
      </c>
      <c r="D5" s="32">
        <v>9</v>
      </c>
      <c r="E5" s="32">
        <f t="shared" si="2"/>
        <v>15</v>
      </c>
    </row>
    <row r="6" ht="16.5" spans="1:8">
      <c r="A6" s="31">
        <v>45347.75</v>
      </c>
      <c r="B6" s="32">
        <f t="shared" si="0"/>
        <v>18</v>
      </c>
      <c r="C6" s="32">
        <f t="shared" si="1"/>
        <v>18</v>
      </c>
      <c r="D6" s="32">
        <v>13</v>
      </c>
      <c r="E6" s="32">
        <f t="shared" si="2"/>
        <v>14</v>
      </c>
    </row>
    <row r="7" ht="16.5" spans="1:8">
      <c r="A7" s="31">
        <v>45394.6666666667</v>
      </c>
      <c r="B7" s="32">
        <f t="shared" si="0"/>
        <v>16</v>
      </c>
      <c r="C7" s="32">
        <f t="shared" si="1"/>
        <v>18</v>
      </c>
      <c r="D7" s="32">
        <v>7</v>
      </c>
      <c r="E7" s="32">
        <f t="shared" si="2"/>
        <v>13</v>
      </c>
    </row>
    <row r="8" ht="16.5" spans="1:8">
      <c r="A8" s="29">
        <v>45298.6666666667</v>
      </c>
      <c r="B8" s="28">
        <f t="shared" si="0"/>
        <v>16</v>
      </c>
      <c r="C8" s="28">
        <f t="shared" si="1"/>
        <v>18</v>
      </c>
      <c r="D8" s="28">
        <v>21</v>
      </c>
      <c r="E8" s="28">
        <f t="shared" si="2"/>
        <v>12</v>
      </c>
    </row>
    <row r="9" ht="16.5" spans="1:8">
      <c r="A9" s="27">
        <v>45312.6666666667</v>
      </c>
      <c r="B9" s="28">
        <f t="shared" si="0"/>
        <v>16</v>
      </c>
      <c r="C9" s="28">
        <f t="shared" si="1"/>
        <v>18</v>
      </c>
      <c r="D9" s="28">
        <v>15</v>
      </c>
      <c r="E9" s="28">
        <f t="shared" si="2"/>
        <v>12</v>
      </c>
    </row>
    <row r="10" ht="16.5" spans="1:8">
      <c r="A10" s="31">
        <v>45453.6666666667</v>
      </c>
      <c r="B10" s="32">
        <f t="shared" si="0"/>
        <v>16</v>
      </c>
      <c r="C10" s="32">
        <f t="shared" si="1"/>
        <v>18</v>
      </c>
      <c r="D10" s="32">
        <v>12</v>
      </c>
      <c r="E10" s="32">
        <f t="shared" si="2"/>
        <v>12</v>
      </c>
    </row>
    <row r="11" ht="16.5" spans="1:8">
      <c r="A11" s="31">
        <v>45310.75</v>
      </c>
      <c r="B11" s="32">
        <f t="shared" si="0"/>
        <v>18</v>
      </c>
      <c r="C11" s="32">
        <f t="shared" si="1"/>
        <v>18</v>
      </c>
      <c r="D11" s="32">
        <v>8</v>
      </c>
      <c r="E11" s="32">
        <f t="shared" si="2"/>
        <v>11</v>
      </c>
    </row>
    <row r="12" ht="16.5" spans="1:8">
      <c r="A12" s="31">
        <v>45305.75</v>
      </c>
      <c r="B12" s="32">
        <f t="shared" si="0"/>
        <v>18</v>
      </c>
      <c r="C12" s="32">
        <f t="shared" si="1"/>
        <v>18</v>
      </c>
      <c r="D12" s="32">
        <v>20</v>
      </c>
      <c r="E12" s="32">
        <f t="shared" si="2"/>
        <v>11</v>
      </c>
    </row>
    <row r="13" ht="16.5" spans="1:8">
      <c r="A13" s="31">
        <v>45335.6666666667</v>
      </c>
      <c r="B13" s="32">
        <f t="shared" si="0"/>
        <v>16</v>
      </c>
      <c r="C13" s="32">
        <f t="shared" si="1"/>
        <v>18</v>
      </c>
      <c r="D13" s="32">
        <v>11</v>
      </c>
      <c r="E13" s="32">
        <f t="shared" si="2"/>
        <v>10</v>
      </c>
    </row>
    <row r="14" ht="16.5" spans="1:8">
      <c r="A14" s="33">
        <v>45370.75</v>
      </c>
      <c r="B14" s="28">
        <f t="shared" si="0"/>
        <v>18</v>
      </c>
      <c r="C14" s="28">
        <f t="shared" si="1"/>
        <v>18</v>
      </c>
      <c r="D14" s="28">
        <v>22</v>
      </c>
      <c r="E14" s="28">
        <f t="shared" si="2"/>
        <v>10</v>
      </c>
    </row>
    <row r="15" ht="16.5" spans="1:8">
      <c r="A15" s="34">
        <v>45429.75</v>
      </c>
      <c r="B15" s="28">
        <f t="shared" si="0"/>
        <v>18</v>
      </c>
      <c r="C15" s="28">
        <f t="shared" si="1"/>
        <v>18</v>
      </c>
      <c r="D15" s="28">
        <v>17</v>
      </c>
      <c r="E15" s="28">
        <f t="shared" si="2"/>
        <v>9</v>
      </c>
    </row>
    <row r="16" ht="16.5" spans="1:8">
      <c r="A16" s="27">
        <v>45309.75</v>
      </c>
      <c r="B16" s="28">
        <f t="shared" si="0"/>
        <v>18</v>
      </c>
      <c r="C16" s="28">
        <f t="shared" si="1"/>
        <v>18</v>
      </c>
      <c r="D16" s="28">
        <v>23</v>
      </c>
      <c r="E16" s="28">
        <f t="shared" si="2"/>
        <v>8</v>
      </c>
    </row>
    <row r="17" ht="16.5" spans="1:5">
      <c r="A17" s="29">
        <v>45353.6666666667</v>
      </c>
      <c r="B17" s="28">
        <f t="shared" si="0"/>
        <v>16</v>
      </c>
      <c r="C17" s="28">
        <f t="shared" si="1"/>
        <v>18</v>
      </c>
      <c r="D17" s="28">
        <v>10</v>
      </c>
      <c r="E17" s="28">
        <f t="shared" si="2"/>
        <v>8</v>
      </c>
    </row>
    <row r="18" ht="16.5" spans="1:5">
      <c r="A18" s="33">
        <v>45468.6666666667</v>
      </c>
      <c r="B18" s="28">
        <f t="shared" si="0"/>
        <v>16</v>
      </c>
      <c r="C18" s="28">
        <f t="shared" si="1"/>
        <v>18</v>
      </c>
      <c r="D18" s="28">
        <v>14</v>
      </c>
      <c r="E18" s="28">
        <f t="shared" si="2"/>
        <v>4</v>
      </c>
    </row>
    <row r="19" ht="16.5" spans="1:5">
      <c r="A19" s="31">
        <v>45373.6666666667</v>
      </c>
      <c r="B19" s="32">
        <f t="shared" si="0"/>
        <v>16</v>
      </c>
      <c r="C19" s="32">
        <f t="shared" si="1"/>
        <v>18</v>
      </c>
    </row>
    <row r="20" ht="16.5" spans="1:5">
      <c r="A20" s="30">
        <v>45385.6666666667</v>
      </c>
      <c r="B20" s="28">
        <f t="shared" si="0"/>
        <v>16</v>
      </c>
      <c r="C20" s="28">
        <f t="shared" si="1"/>
        <v>18</v>
      </c>
    </row>
    <row r="21" ht="16.5" spans="1:5">
      <c r="A21" s="35">
        <v>45418.75</v>
      </c>
      <c r="B21" s="28">
        <f t="shared" si="0"/>
        <v>18</v>
      </c>
      <c r="C21" s="28">
        <f t="shared" si="1"/>
        <v>18</v>
      </c>
    </row>
    <row r="22" ht="16.5" spans="1:5">
      <c r="A22" s="35">
        <v>45416.75</v>
      </c>
      <c r="B22" s="28">
        <f t="shared" si="0"/>
        <v>18</v>
      </c>
      <c r="C22" s="28">
        <f t="shared" si="1"/>
        <v>18</v>
      </c>
    </row>
    <row r="23" ht="16.5" spans="1:5">
      <c r="A23" s="36">
        <v>45308.6666666667</v>
      </c>
      <c r="B23" s="32">
        <f t="shared" si="0"/>
        <v>16</v>
      </c>
      <c r="C23" s="32">
        <f t="shared" si="1"/>
        <v>18</v>
      </c>
    </row>
    <row r="24" ht="16.5" spans="1:5">
      <c r="A24" s="29">
        <v>45331.75</v>
      </c>
      <c r="B24" s="28">
        <f t="shared" si="0"/>
        <v>18</v>
      </c>
      <c r="C24" s="28">
        <f t="shared" si="1"/>
        <v>18</v>
      </c>
    </row>
    <row r="25" ht="16.5" spans="1:5">
      <c r="A25" s="36">
        <v>45410.75</v>
      </c>
      <c r="B25" s="32">
        <f t="shared" si="0"/>
        <v>18</v>
      </c>
      <c r="C25" s="32">
        <f t="shared" si="1"/>
        <v>18</v>
      </c>
    </row>
    <row r="26" ht="16.5" spans="1:5">
      <c r="A26" s="27">
        <v>45342.75</v>
      </c>
      <c r="B26" s="28">
        <f t="shared" si="0"/>
        <v>18</v>
      </c>
      <c r="C26" s="28">
        <f t="shared" si="1"/>
        <v>18</v>
      </c>
    </row>
    <row r="27" ht="16.5" spans="1:5">
      <c r="A27" s="31">
        <v>45461.6666666667</v>
      </c>
      <c r="B27" s="32">
        <f t="shared" si="0"/>
        <v>16</v>
      </c>
      <c r="C27" s="32">
        <f t="shared" si="1"/>
        <v>18</v>
      </c>
    </row>
    <row r="28" ht="16.5" spans="1:5">
      <c r="A28" s="31">
        <v>45373.6666666667</v>
      </c>
      <c r="B28" s="32">
        <f t="shared" si="0"/>
        <v>16</v>
      </c>
      <c r="C28" s="32">
        <f t="shared" si="1"/>
        <v>18</v>
      </c>
    </row>
    <row r="29" ht="16.5" spans="1:5">
      <c r="A29" s="27">
        <v>45347.6666666667</v>
      </c>
      <c r="B29" s="28">
        <f t="shared" si="0"/>
        <v>16</v>
      </c>
      <c r="C29" s="28">
        <f t="shared" si="1"/>
        <v>18</v>
      </c>
    </row>
    <row r="30" ht="16.5" spans="1:5">
      <c r="A30" s="31">
        <v>45315.75</v>
      </c>
      <c r="B30" s="32">
        <f t="shared" si="0"/>
        <v>18</v>
      </c>
      <c r="C30" s="32">
        <f t="shared" si="1"/>
        <v>18</v>
      </c>
    </row>
    <row r="31" ht="16.5" spans="1:5">
      <c r="A31" s="34">
        <v>45426.6666666667</v>
      </c>
      <c r="B31" s="28">
        <f t="shared" si="0"/>
        <v>16</v>
      </c>
      <c r="C31" s="28">
        <f t="shared" si="1"/>
        <v>18</v>
      </c>
    </row>
    <row r="32" ht="16.5" spans="1:5">
      <c r="A32" s="36">
        <v>45326.6666666667</v>
      </c>
      <c r="B32" s="32">
        <f t="shared" si="0"/>
        <v>16</v>
      </c>
      <c r="C32" s="32">
        <f t="shared" si="1"/>
        <v>18</v>
      </c>
    </row>
    <row r="33" ht="16.5" spans="1:3">
      <c r="A33" s="33">
        <v>45340.75</v>
      </c>
      <c r="B33" s="28">
        <f t="shared" si="0"/>
        <v>18</v>
      </c>
      <c r="C33" s="28">
        <f t="shared" si="1"/>
        <v>18</v>
      </c>
    </row>
    <row r="34" ht="16.5" spans="1:3">
      <c r="A34" s="37">
        <v>45301.75</v>
      </c>
      <c r="B34" s="32">
        <f t="shared" si="0"/>
        <v>18</v>
      </c>
      <c r="C34" s="32">
        <f t="shared" si="1"/>
        <v>18</v>
      </c>
    </row>
    <row r="35" ht="16.5" spans="1:3">
      <c r="A35" s="29">
        <v>45389.75</v>
      </c>
      <c r="B35" s="28">
        <f t="shared" si="0"/>
        <v>18</v>
      </c>
      <c r="C35" s="28">
        <f t="shared" si="1"/>
        <v>18</v>
      </c>
    </row>
    <row r="36" ht="16.5" spans="1:3">
      <c r="A36" s="38">
        <v>45418.6666666667</v>
      </c>
      <c r="B36" s="32">
        <f t="shared" si="0"/>
        <v>16</v>
      </c>
      <c r="C36" s="32">
        <f t="shared" si="1"/>
        <v>18</v>
      </c>
    </row>
    <row r="37" ht="16.5" spans="1:3">
      <c r="A37" s="31">
        <v>45473.6666666667</v>
      </c>
      <c r="B37" s="32">
        <f t="shared" si="0"/>
        <v>16</v>
      </c>
      <c r="C37" s="32">
        <f t="shared" si="1"/>
        <v>18</v>
      </c>
    </row>
    <row r="38" ht="16.5" spans="1:3">
      <c r="A38" s="33">
        <v>45378.7916666667</v>
      </c>
      <c r="B38" s="28">
        <f t="shared" si="0"/>
        <v>19</v>
      </c>
      <c r="C38" s="28">
        <f t="shared" si="1"/>
        <v>15</v>
      </c>
    </row>
    <row r="39" ht="16.5" spans="1:3">
      <c r="A39" s="37">
        <v>45310.375</v>
      </c>
      <c r="B39" s="32">
        <f t="shared" si="0"/>
        <v>9</v>
      </c>
      <c r="C39" s="32">
        <f t="shared" si="1"/>
        <v>15</v>
      </c>
    </row>
    <row r="40" ht="16.5" spans="1:3">
      <c r="A40" s="29">
        <v>45323.7916666667</v>
      </c>
      <c r="B40" s="28">
        <f t="shared" si="0"/>
        <v>19</v>
      </c>
      <c r="C40" s="28">
        <f t="shared" si="1"/>
        <v>15</v>
      </c>
    </row>
    <row r="41" ht="16.5" spans="1:3">
      <c r="A41" s="37">
        <v>45438.375</v>
      </c>
      <c r="B41" s="32">
        <f t="shared" si="0"/>
        <v>9</v>
      </c>
      <c r="C41" s="32">
        <f t="shared" si="1"/>
        <v>15</v>
      </c>
    </row>
    <row r="42" ht="16.5" spans="1:3">
      <c r="A42" s="36">
        <v>45378.7916666667</v>
      </c>
      <c r="B42" s="32">
        <f t="shared" si="0"/>
        <v>19</v>
      </c>
      <c r="C42" s="32">
        <f t="shared" si="1"/>
        <v>15</v>
      </c>
    </row>
    <row r="43" ht="16.5" spans="1:3">
      <c r="A43" s="34">
        <v>45435.7916666667</v>
      </c>
      <c r="B43" s="28">
        <f t="shared" si="0"/>
        <v>19</v>
      </c>
      <c r="C43" s="28">
        <f t="shared" si="1"/>
        <v>15</v>
      </c>
    </row>
    <row r="44" ht="16.5" spans="1:3">
      <c r="A44" s="39">
        <v>45354.375</v>
      </c>
      <c r="B44" s="32">
        <f t="shared" si="0"/>
        <v>9</v>
      </c>
      <c r="C44" s="32">
        <f t="shared" si="1"/>
        <v>15</v>
      </c>
    </row>
    <row r="45" ht="16.5" spans="1:3">
      <c r="A45" s="31">
        <v>45381.7916666667</v>
      </c>
      <c r="B45" s="32">
        <f t="shared" si="0"/>
        <v>19</v>
      </c>
      <c r="C45" s="32">
        <f t="shared" si="1"/>
        <v>15</v>
      </c>
    </row>
    <row r="46" ht="16.5" spans="1:3">
      <c r="A46" s="27">
        <v>45448.375</v>
      </c>
      <c r="B46" s="28">
        <f t="shared" si="0"/>
        <v>9</v>
      </c>
      <c r="C46" s="28">
        <f t="shared" si="1"/>
        <v>15</v>
      </c>
    </row>
    <row r="47" ht="16.5" spans="1:3">
      <c r="A47" s="36">
        <v>45313.375</v>
      </c>
      <c r="B47" s="32">
        <f t="shared" si="0"/>
        <v>9</v>
      </c>
      <c r="C47" s="32">
        <f t="shared" si="1"/>
        <v>15</v>
      </c>
    </row>
    <row r="48" ht="16.5" spans="1:3">
      <c r="A48" s="34">
        <v>45429.375</v>
      </c>
      <c r="B48" s="28">
        <f t="shared" si="0"/>
        <v>9</v>
      </c>
      <c r="C48" s="28">
        <f t="shared" si="1"/>
        <v>15</v>
      </c>
    </row>
    <row r="49" ht="16.5" spans="1:3">
      <c r="A49" s="33">
        <v>45309.375</v>
      </c>
      <c r="B49" s="28">
        <f t="shared" si="0"/>
        <v>9</v>
      </c>
      <c r="C49" s="28">
        <f t="shared" si="1"/>
        <v>15</v>
      </c>
    </row>
    <row r="50" ht="16.5" spans="1:3">
      <c r="A50" s="37">
        <v>45306.375</v>
      </c>
      <c r="B50" s="32">
        <f t="shared" si="0"/>
        <v>9</v>
      </c>
      <c r="C50" s="32">
        <f t="shared" si="1"/>
        <v>15</v>
      </c>
    </row>
    <row r="51" ht="16.5" spans="1:3">
      <c r="A51" s="29">
        <v>45329.375</v>
      </c>
      <c r="B51" s="28">
        <f t="shared" si="0"/>
        <v>9</v>
      </c>
      <c r="C51" s="28">
        <f t="shared" si="1"/>
        <v>15</v>
      </c>
    </row>
    <row r="52" ht="16.5" spans="1:3">
      <c r="A52" s="40">
        <v>45437.7916666667</v>
      </c>
      <c r="B52" s="32">
        <f t="shared" si="0"/>
        <v>19</v>
      </c>
      <c r="C52" s="32">
        <f t="shared" si="1"/>
        <v>15</v>
      </c>
    </row>
    <row r="53" ht="16.5" spans="1:3">
      <c r="A53" s="38">
        <v>45418.375</v>
      </c>
      <c r="B53" s="32">
        <f t="shared" si="0"/>
        <v>9</v>
      </c>
      <c r="C53" s="32">
        <f t="shared" si="1"/>
        <v>15</v>
      </c>
    </row>
    <row r="54" ht="16.5" spans="1:3">
      <c r="A54" s="33">
        <v>45308.375</v>
      </c>
      <c r="B54" s="28">
        <f t="shared" si="0"/>
        <v>9</v>
      </c>
      <c r="C54" s="28">
        <f t="shared" si="1"/>
        <v>15</v>
      </c>
    </row>
    <row r="55" ht="16.5" spans="1:3">
      <c r="A55" s="30">
        <v>45367.7916666667</v>
      </c>
      <c r="B55" s="28">
        <f t="shared" si="0"/>
        <v>19</v>
      </c>
      <c r="C55" s="28">
        <f t="shared" si="1"/>
        <v>15</v>
      </c>
    </row>
    <row r="56" ht="16.5" spans="1:3">
      <c r="A56" s="33">
        <v>45374.7916666667</v>
      </c>
      <c r="B56" s="28">
        <f t="shared" si="0"/>
        <v>19</v>
      </c>
      <c r="C56" s="28">
        <f t="shared" si="1"/>
        <v>15</v>
      </c>
    </row>
    <row r="57" ht="16.5" spans="1:3">
      <c r="A57" s="38">
        <v>45413.7916666667</v>
      </c>
      <c r="B57" s="32">
        <f t="shared" si="0"/>
        <v>19</v>
      </c>
      <c r="C57" s="32">
        <f t="shared" si="1"/>
        <v>15</v>
      </c>
    </row>
    <row r="58" ht="16.5" spans="1:3">
      <c r="A58" s="27">
        <v>45336.7916666667</v>
      </c>
      <c r="B58" s="28">
        <f t="shared" si="0"/>
        <v>19</v>
      </c>
      <c r="C58" s="28">
        <f t="shared" si="1"/>
        <v>15</v>
      </c>
    </row>
    <row r="59" ht="16.5" spans="1:3">
      <c r="A59" s="36">
        <v>45469.7916666667</v>
      </c>
      <c r="B59" s="32">
        <f t="shared" si="0"/>
        <v>19</v>
      </c>
      <c r="C59" s="32">
        <f t="shared" si="1"/>
        <v>15</v>
      </c>
    </row>
    <row r="60" ht="16.5" spans="1:3">
      <c r="A60" s="27">
        <v>45450.7916666667</v>
      </c>
      <c r="B60" s="28">
        <f t="shared" si="0"/>
        <v>19</v>
      </c>
      <c r="C60" s="28">
        <f t="shared" si="1"/>
        <v>15</v>
      </c>
    </row>
    <row r="61" ht="16.5" spans="1:3">
      <c r="A61" s="37">
        <v>45347.7916666667</v>
      </c>
      <c r="B61" s="32">
        <f t="shared" si="0"/>
        <v>19</v>
      </c>
      <c r="C61" s="32">
        <f t="shared" si="1"/>
        <v>15</v>
      </c>
    </row>
    <row r="62" ht="16.5" spans="1:3">
      <c r="A62" s="40">
        <v>45440.7916666667</v>
      </c>
      <c r="B62" s="32">
        <f t="shared" si="0"/>
        <v>19</v>
      </c>
      <c r="C62" s="32">
        <f t="shared" si="1"/>
        <v>15</v>
      </c>
    </row>
    <row r="63" ht="16.5" spans="1:3">
      <c r="A63" s="34">
        <v>45443.7916666667</v>
      </c>
      <c r="B63" s="28">
        <f t="shared" si="0"/>
        <v>19</v>
      </c>
      <c r="C63" s="28">
        <f t="shared" si="1"/>
        <v>15</v>
      </c>
    </row>
    <row r="64" ht="16.5" spans="1:3">
      <c r="A64" s="39">
        <v>45331.375</v>
      </c>
      <c r="B64" s="32">
        <f t="shared" si="0"/>
        <v>9</v>
      </c>
      <c r="C64" s="32">
        <f t="shared" si="1"/>
        <v>15</v>
      </c>
    </row>
    <row r="65" ht="16.5" spans="1:3">
      <c r="A65" s="27">
        <v>45311.375</v>
      </c>
      <c r="B65" s="28">
        <f t="shared" si="0"/>
        <v>9</v>
      </c>
      <c r="C65" s="28">
        <f t="shared" si="1"/>
        <v>15</v>
      </c>
    </row>
    <row r="66" ht="16.5" spans="1:3">
      <c r="A66" s="39">
        <v>45329.375</v>
      </c>
      <c r="B66" s="32">
        <f t="shared" ref="B66:B129" si="3">HOUR(A66)</f>
        <v>9</v>
      </c>
      <c r="C66" s="32">
        <f t="shared" ref="C66:C129" si="4">COUNTIF($B$2:$B$201,B66)</f>
        <v>15</v>
      </c>
    </row>
    <row r="67" ht="16.5" spans="1:3">
      <c r="A67" s="30">
        <v>45382.375</v>
      </c>
      <c r="B67" s="28">
        <f t="shared" si="3"/>
        <v>9</v>
      </c>
      <c r="C67">
        <f t="shared" si="4"/>
        <v>15</v>
      </c>
    </row>
    <row r="68" ht="16.5" spans="1:3">
      <c r="A68" s="27">
        <v>45398.5416666667</v>
      </c>
      <c r="B68" s="28">
        <f t="shared" si="3"/>
        <v>13</v>
      </c>
      <c r="C68" s="28">
        <f t="shared" si="4"/>
        <v>14</v>
      </c>
    </row>
    <row r="69" ht="16.5" spans="1:3">
      <c r="A69" s="27">
        <v>45303.5416666667</v>
      </c>
      <c r="B69" s="28">
        <f t="shared" si="3"/>
        <v>13</v>
      </c>
      <c r="C69" s="28">
        <f t="shared" si="4"/>
        <v>14</v>
      </c>
    </row>
    <row r="70" ht="16.5" spans="1:3">
      <c r="A70" s="40">
        <v>45426.5416666667</v>
      </c>
      <c r="B70" s="32">
        <f t="shared" si="3"/>
        <v>13</v>
      </c>
      <c r="C70" s="32">
        <f t="shared" si="4"/>
        <v>14</v>
      </c>
    </row>
    <row r="71" ht="16.5" spans="1:3">
      <c r="A71" s="36">
        <v>45368.5416666667</v>
      </c>
      <c r="B71" s="32">
        <f t="shared" si="3"/>
        <v>13</v>
      </c>
      <c r="C71" s="32">
        <f t="shared" si="4"/>
        <v>14</v>
      </c>
    </row>
    <row r="72" ht="16.5" spans="1:3">
      <c r="A72" s="31">
        <v>45335.5416666667</v>
      </c>
      <c r="B72" s="32">
        <f t="shared" si="3"/>
        <v>13</v>
      </c>
      <c r="C72" s="32">
        <f t="shared" si="4"/>
        <v>14</v>
      </c>
    </row>
    <row r="73" ht="16.5" spans="1:3">
      <c r="A73" s="30">
        <v>45400.5416666667</v>
      </c>
      <c r="B73" s="28">
        <f t="shared" si="3"/>
        <v>13</v>
      </c>
      <c r="C73" s="28">
        <f t="shared" si="4"/>
        <v>14</v>
      </c>
    </row>
    <row r="74" ht="16.5" spans="1:3">
      <c r="A74" s="35">
        <v>45413.5416666667</v>
      </c>
      <c r="B74" s="28">
        <f t="shared" si="3"/>
        <v>13</v>
      </c>
      <c r="C74" s="28">
        <f t="shared" si="4"/>
        <v>14</v>
      </c>
    </row>
    <row r="75" ht="16.5" spans="1:3">
      <c r="A75" s="27">
        <v>45329.5416666667</v>
      </c>
      <c r="B75" s="28">
        <f t="shared" si="3"/>
        <v>13</v>
      </c>
      <c r="C75" s="28">
        <f t="shared" si="4"/>
        <v>14</v>
      </c>
    </row>
    <row r="76" ht="16.5" spans="1:3">
      <c r="A76" s="33">
        <v>45467.5416666667</v>
      </c>
      <c r="B76" s="28">
        <f t="shared" si="3"/>
        <v>13</v>
      </c>
      <c r="C76" s="28">
        <f t="shared" si="4"/>
        <v>14</v>
      </c>
    </row>
    <row r="77" ht="16.5" spans="1:3">
      <c r="A77" s="33">
        <v>45467.5416666667</v>
      </c>
      <c r="B77" s="28">
        <f t="shared" si="3"/>
        <v>13</v>
      </c>
      <c r="C77" s="28">
        <f t="shared" si="4"/>
        <v>14</v>
      </c>
    </row>
    <row r="78" ht="16.5" spans="1:3">
      <c r="A78" s="30">
        <v>45374.5416666667</v>
      </c>
      <c r="B78" s="28">
        <f t="shared" si="3"/>
        <v>13</v>
      </c>
      <c r="C78" s="28">
        <f t="shared" si="4"/>
        <v>14</v>
      </c>
    </row>
    <row r="79" ht="16.5" spans="1:3">
      <c r="A79" s="36">
        <v>45300.5416666667</v>
      </c>
      <c r="B79" s="32">
        <f t="shared" si="3"/>
        <v>13</v>
      </c>
      <c r="C79" s="32">
        <f t="shared" si="4"/>
        <v>14</v>
      </c>
    </row>
    <row r="80" ht="16.5" spans="1:3">
      <c r="A80" s="33">
        <v>45373.5416666667</v>
      </c>
      <c r="B80" s="28">
        <f t="shared" si="3"/>
        <v>13</v>
      </c>
      <c r="C80" s="28">
        <f t="shared" si="4"/>
        <v>14</v>
      </c>
    </row>
    <row r="81" ht="16.5" spans="1:3">
      <c r="A81" s="31">
        <v>45350.5416666667</v>
      </c>
      <c r="B81" s="32">
        <f t="shared" si="3"/>
        <v>13</v>
      </c>
      <c r="C81" s="32">
        <f t="shared" si="4"/>
        <v>14</v>
      </c>
    </row>
    <row r="82" ht="16.5" spans="1:3">
      <c r="A82" s="37">
        <v>45447.2916666667</v>
      </c>
      <c r="B82" s="32">
        <f t="shared" si="3"/>
        <v>7</v>
      </c>
      <c r="C82" s="32">
        <f t="shared" si="4"/>
        <v>13</v>
      </c>
    </row>
    <row r="83" ht="16.5" spans="1:3">
      <c r="A83" s="36">
        <v>45459.2916666667</v>
      </c>
      <c r="B83" s="32">
        <f t="shared" si="3"/>
        <v>7</v>
      </c>
      <c r="C83" s="32">
        <f t="shared" si="4"/>
        <v>13</v>
      </c>
    </row>
    <row r="84" ht="16.5" spans="1:3">
      <c r="A84" s="36">
        <v>45449.2916666667</v>
      </c>
      <c r="B84" s="32">
        <f t="shared" si="3"/>
        <v>7</v>
      </c>
      <c r="C84" s="32">
        <f t="shared" si="4"/>
        <v>13</v>
      </c>
    </row>
    <row r="85" ht="16.5" spans="1:3">
      <c r="A85" s="31">
        <v>45306.2916666667</v>
      </c>
      <c r="B85" s="32">
        <f t="shared" si="3"/>
        <v>7</v>
      </c>
      <c r="C85" s="32">
        <f t="shared" si="4"/>
        <v>13</v>
      </c>
    </row>
    <row r="86" ht="16.5" spans="1:3">
      <c r="A86" s="36">
        <v>45342.2916666667</v>
      </c>
      <c r="B86" s="32">
        <f t="shared" si="3"/>
        <v>7</v>
      </c>
      <c r="C86" s="32">
        <f t="shared" si="4"/>
        <v>13</v>
      </c>
    </row>
    <row r="87" ht="16.5" spans="1:3">
      <c r="A87" s="37">
        <v>45429.2916666667</v>
      </c>
      <c r="B87" s="32">
        <f t="shared" si="3"/>
        <v>7</v>
      </c>
      <c r="C87" s="32">
        <f t="shared" si="4"/>
        <v>13</v>
      </c>
    </row>
    <row r="88" ht="16.5" spans="1:3">
      <c r="A88" s="37">
        <v>45336.2916666667</v>
      </c>
      <c r="B88" s="32">
        <f t="shared" si="3"/>
        <v>7</v>
      </c>
      <c r="C88" s="32">
        <f t="shared" si="4"/>
        <v>13</v>
      </c>
    </row>
    <row r="89" ht="16.5" spans="1:3">
      <c r="A89" s="33">
        <v>45404.2916666667</v>
      </c>
      <c r="B89" s="28">
        <f t="shared" si="3"/>
        <v>7</v>
      </c>
      <c r="C89" s="28">
        <f t="shared" si="4"/>
        <v>13</v>
      </c>
    </row>
    <row r="90" ht="16.5" spans="1:3">
      <c r="A90" s="31">
        <v>45460.2916666667</v>
      </c>
      <c r="B90" s="32">
        <f t="shared" si="3"/>
        <v>7</v>
      </c>
      <c r="C90" s="32">
        <f t="shared" si="4"/>
        <v>13</v>
      </c>
    </row>
    <row r="91" ht="16.5" spans="1:3">
      <c r="A91" s="29">
        <v>45326.2916666667</v>
      </c>
      <c r="B91" s="28">
        <f t="shared" si="3"/>
        <v>7</v>
      </c>
      <c r="C91" s="28">
        <f t="shared" si="4"/>
        <v>13</v>
      </c>
    </row>
    <row r="92" ht="16.5" spans="1:3">
      <c r="A92" s="31">
        <v>45351.2916666667</v>
      </c>
      <c r="B92" s="32">
        <f t="shared" si="3"/>
        <v>7</v>
      </c>
      <c r="C92" s="32">
        <f t="shared" si="4"/>
        <v>13</v>
      </c>
    </row>
    <row r="93" ht="16.5" spans="1:3">
      <c r="A93" s="31">
        <v>45466.2916666667</v>
      </c>
      <c r="B93" s="32">
        <f t="shared" si="3"/>
        <v>7</v>
      </c>
      <c r="C93" s="32">
        <f t="shared" si="4"/>
        <v>13</v>
      </c>
    </row>
    <row r="94" ht="16.5" spans="1:3">
      <c r="A94" s="37">
        <v>45312.2916666667</v>
      </c>
      <c r="B94" s="32">
        <f t="shared" si="3"/>
        <v>7</v>
      </c>
      <c r="C94" s="32">
        <f t="shared" si="4"/>
        <v>13</v>
      </c>
    </row>
    <row r="95" ht="16.5" spans="1:3">
      <c r="A95" s="31">
        <v>45313.875</v>
      </c>
      <c r="B95" s="32">
        <f t="shared" si="3"/>
        <v>21</v>
      </c>
      <c r="C95" s="32">
        <f t="shared" si="4"/>
        <v>12</v>
      </c>
    </row>
    <row r="96" ht="16.5" spans="1:3">
      <c r="A96" s="29">
        <v>45353.625</v>
      </c>
      <c r="B96" s="28">
        <f t="shared" si="3"/>
        <v>15</v>
      </c>
      <c r="C96" s="28">
        <f t="shared" si="4"/>
        <v>12</v>
      </c>
    </row>
    <row r="97" ht="16.5" spans="1:3">
      <c r="A97" s="30">
        <v>45322.5</v>
      </c>
      <c r="B97" s="28">
        <f t="shared" si="3"/>
        <v>12</v>
      </c>
      <c r="C97" s="28">
        <f t="shared" si="4"/>
        <v>12</v>
      </c>
    </row>
    <row r="98" ht="16.5" spans="1:3">
      <c r="A98" s="31">
        <v>45351.5</v>
      </c>
      <c r="B98" s="32">
        <f t="shared" si="3"/>
        <v>12</v>
      </c>
      <c r="C98" s="32">
        <f t="shared" si="4"/>
        <v>12</v>
      </c>
    </row>
    <row r="99" ht="16.5" spans="1:3">
      <c r="A99" s="27">
        <v>45462.875</v>
      </c>
      <c r="B99" s="28">
        <f t="shared" si="3"/>
        <v>21</v>
      </c>
      <c r="C99" s="28">
        <f t="shared" si="4"/>
        <v>12</v>
      </c>
    </row>
    <row r="100" ht="16.5" spans="1:3">
      <c r="A100" s="36">
        <v>45359.5</v>
      </c>
      <c r="B100" s="32">
        <f t="shared" si="3"/>
        <v>12</v>
      </c>
      <c r="C100" s="32">
        <f t="shared" si="4"/>
        <v>12</v>
      </c>
    </row>
    <row r="101" ht="16.5" spans="1:3">
      <c r="A101" s="29">
        <v>45450.875</v>
      </c>
      <c r="B101" s="28">
        <f t="shared" si="3"/>
        <v>21</v>
      </c>
      <c r="C101" s="28">
        <f t="shared" si="4"/>
        <v>12</v>
      </c>
    </row>
    <row r="102" ht="16.5" spans="1:3">
      <c r="A102" s="33">
        <v>45343.875</v>
      </c>
      <c r="B102" s="28">
        <f t="shared" si="3"/>
        <v>21</v>
      </c>
      <c r="C102" s="28">
        <f t="shared" si="4"/>
        <v>12</v>
      </c>
    </row>
    <row r="103" ht="16.5" spans="1:3">
      <c r="A103" s="27">
        <v>45452.5</v>
      </c>
      <c r="B103" s="28">
        <f t="shared" si="3"/>
        <v>12</v>
      </c>
      <c r="C103" s="28">
        <f t="shared" si="4"/>
        <v>12</v>
      </c>
    </row>
    <row r="104" ht="16.5" spans="1:3">
      <c r="A104" s="30">
        <v>45410.625</v>
      </c>
      <c r="B104" s="28">
        <f t="shared" si="3"/>
        <v>15</v>
      </c>
      <c r="C104" s="28">
        <f t="shared" si="4"/>
        <v>12</v>
      </c>
    </row>
    <row r="105" ht="16.5" spans="1:3">
      <c r="A105" s="33">
        <v>45463.625</v>
      </c>
      <c r="B105" s="28">
        <f t="shared" si="3"/>
        <v>15</v>
      </c>
      <c r="C105" s="28">
        <f t="shared" si="4"/>
        <v>12</v>
      </c>
    </row>
    <row r="106" ht="16.5" spans="1:3">
      <c r="A106" s="29">
        <v>45383.875</v>
      </c>
      <c r="B106" s="28">
        <f t="shared" si="3"/>
        <v>21</v>
      </c>
      <c r="C106" s="28">
        <f t="shared" si="4"/>
        <v>12</v>
      </c>
    </row>
    <row r="107" ht="16.5" spans="1:3">
      <c r="A107" s="33">
        <v>45378.625</v>
      </c>
      <c r="B107" s="28">
        <f t="shared" si="3"/>
        <v>15</v>
      </c>
      <c r="C107" s="28">
        <f t="shared" si="4"/>
        <v>12</v>
      </c>
    </row>
    <row r="108" ht="16.5" spans="1:3">
      <c r="A108" s="36">
        <v>45426.875</v>
      </c>
      <c r="B108" s="32">
        <f t="shared" si="3"/>
        <v>21</v>
      </c>
      <c r="C108" s="32">
        <f t="shared" si="4"/>
        <v>12</v>
      </c>
    </row>
    <row r="109" ht="16.5" spans="1:3">
      <c r="A109" s="36">
        <v>45329.875</v>
      </c>
      <c r="B109" s="32">
        <f t="shared" si="3"/>
        <v>21</v>
      </c>
      <c r="C109" s="32">
        <f t="shared" si="4"/>
        <v>12</v>
      </c>
    </row>
    <row r="110" ht="16.5" spans="1:3">
      <c r="A110" s="34">
        <v>45422.625</v>
      </c>
      <c r="B110" s="28">
        <f t="shared" si="3"/>
        <v>15</v>
      </c>
      <c r="C110" s="28">
        <f t="shared" si="4"/>
        <v>12</v>
      </c>
    </row>
    <row r="111" ht="16.5" spans="1:3">
      <c r="A111" s="27">
        <v>45324.625</v>
      </c>
      <c r="B111" s="28">
        <f t="shared" si="3"/>
        <v>15</v>
      </c>
      <c r="C111" s="28">
        <f t="shared" si="4"/>
        <v>12</v>
      </c>
    </row>
    <row r="112" ht="16.5" spans="1:3">
      <c r="A112" s="36">
        <v>45378.625</v>
      </c>
      <c r="B112" s="32">
        <f t="shared" si="3"/>
        <v>15</v>
      </c>
      <c r="C112" s="32">
        <f t="shared" si="4"/>
        <v>12</v>
      </c>
    </row>
    <row r="113" ht="16.5" spans="1:3">
      <c r="A113" s="33">
        <v>45341.5</v>
      </c>
      <c r="B113" s="28">
        <f t="shared" si="3"/>
        <v>12</v>
      </c>
      <c r="C113" s="28">
        <f t="shared" si="4"/>
        <v>12</v>
      </c>
    </row>
    <row r="114" ht="16.5" spans="1:3">
      <c r="A114" s="31">
        <v>45301.5</v>
      </c>
      <c r="B114" s="32">
        <f t="shared" si="3"/>
        <v>12</v>
      </c>
      <c r="C114" s="32">
        <f t="shared" si="4"/>
        <v>12</v>
      </c>
    </row>
    <row r="115" ht="16.5" spans="1:3">
      <c r="A115" s="33">
        <v>45335.875</v>
      </c>
      <c r="B115" s="28">
        <f t="shared" si="3"/>
        <v>21</v>
      </c>
      <c r="C115" s="28">
        <f t="shared" si="4"/>
        <v>12</v>
      </c>
    </row>
    <row r="116" ht="16.5" spans="1:3">
      <c r="A116" s="39">
        <v>45357.875</v>
      </c>
      <c r="B116" s="32">
        <f t="shared" si="3"/>
        <v>21</v>
      </c>
      <c r="C116" s="32">
        <f t="shared" si="4"/>
        <v>12</v>
      </c>
    </row>
    <row r="117" ht="16.5" spans="1:3">
      <c r="A117" s="36">
        <v>45309.625</v>
      </c>
      <c r="B117" s="32">
        <f t="shared" si="3"/>
        <v>15</v>
      </c>
      <c r="C117" s="32">
        <f t="shared" si="4"/>
        <v>12</v>
      </c>
    </row>
    <row r="118" ht="16.5" spans="1:3">
      <c r="A118" s="31">
        <v>45339.5</v>
      </c>
      <c r="B118" s="32">
        <f t="shared" si="3"/>
        <v>12</v>
      </c>
      <c r="C118" s="32">
        <f t="shared" si="4"/>
        <v>12</v>
      </c>
    </row>
    <row r="119" ht="16.5" spans="1:3">
      <c r="A119" s="36">
        <v>45415.875</v>
      </c>
      <c r="B119" s="32">
        <f t="shared" si="3"/>
        <v>21</v>
      </c>
      <c r="C119" s="32">
        <f t="shared" si="4"/>
        <v>12</v>
      </c>
    </row>
    <row r="120" ht="16.5" spans="1:3">
      <c r="A120" s="37">
        <v>45391.625</v>
      </c>
      <c r="B120" s="32">
        <f t="shared" si="3"/>
        <v>15</v>
      </c>
      <c r="C120" s="32">
        <f t="shared" si="4"/>
        <v>12</v>
      </c>
    </row>
    <row r="121" ht="16.5" spans="1:3">
      <c r="A121" s="31">
        <v>45392.5</v>
      </c>
      <c r="B121" s="32">
        <f t="shared" si="3"/>
        <v>12</v>
      </c>
      <c r="C121" s="32">
        <f t="shared" si="4"/>
        <v>12</v>
      </c>
    </row>
    <row r="122" ht="16.5" spans="1:3">
      <c r="A122" s="30">
        <v>45360.5</v>
      </c>
      <c r="B122" s="28">
        <f t="shared" si="3"/>
        <v>12</v>
      </c>
      <c r="C122" s="28">
        <f t="shared" si="4"/>
        <v>12</v>
      </c>
    </row>
    <row r="123" ht="16.5" spans="1:3">
      <c r="A123" s="33">
        <v>45464.625</v>
      </c>
      <c r="B123" s="28">
        <f t="shared" si="3"/>
        <v>15</v>
      </c>
      <c r="C123" s="28">
        <f t="shared" si="4"/>
        <v>12</v>
      </c>
    </row>
    <row r="124" ht="16.5" spans="1:3">
      <c r="A124" s="37">
        <v>45410.875</v>
      </c>
      <c r="B124" s="32">
        <f t="shared" si="3"/>
        <v>21</v>
      </c>
      <c r="C124" s="32">
        <f t="shared" si="4"/>
        <v>12</v>
      </c>
    </row>
    <row r="125" ht="16.5" spans="1:3">
      <c r="A125" s="39">
        <v>45328.5</v>
      </c>
      <c r="B125" s="32">
        <f t="shared" si="3"/>
        <v>12</v>
      </c>
      <c r="C125" s="32">
        <f t="shared" si="4"/>
        <v>12</v>
      </c>
    </row>
    <row r="126" ht="16.5" spans="1:3">
      <c r="A126" s="33">
        <v>45322.5</v>
      </c>
      <c r="B126" s="28">
        <f t="shared" si="3"/>
        <v>12</v>
      </c>
      <c r="C126" s="28">
        <f t="shared" si="4"/>
        <v>12</v>
      </c>
    </row>
    <row r="127" ht="16.5" spans="1:3">
      <c r="A127" s="29">
        <v>45331.875</v>
      </c>
      <c r="B127" s="28">
        <f t="shared" si="3"/>
        <v>21</v>
      </c>
      <c r="C127" s="28">
        <f t="shared" si="4"/>
        <v>12</v>
      </c>
    </row>
    <row r="128" ht="16.5" spans="1:3">
      <c r="A128" s="40">
        <v>45436.5</v>
      </c>
      <c r="B128" s="32">
        <f t="shared" si="3"/>
        <v>12</v>
      </c>
      <c r="C128" s="32">
        <f t="shared" si="4"/>
        <v>12</v>
      </c>
    </row>
    <row r="129" ht="16.5" spans="1:3">
      <c r="A129" s="27">
        <v>45441.625</v>
      </c>
      <c r="B129" s="28">
        <f t="shared" si="3"/>
        <v>15</v>
      </c>
      <c r="C129" s="28">
        <f t="shared" si="4"/>
        <v>12</v>
      </c>
    </row>
    <row r="130" ht="16.5" spans="1:3">
      <c r="A130" s="30">
        <v>45455.625</v>
      </c>
      <c r="B130" s="28">
        <f t="shared" ref="B130:B193" si="5">HOUR(A130)</f>
        <v>15</v>
      </c>
      <c r="C130" s="28">
        <f t="shared" ref="C130:C193" si="6">COUNTIF($B$2:$B$201,B130)</f>
        <v>12</v>
      </c>
    </row>
    <row r="131" ht="16.5" spans="1:3">
      <c r="A131" s="31">
        <v>45393.3333333333</v>
      </c>
      <c r="B131" s="32">
        <f t="shared" si="5"/>
        <v>8</v>
      </c>
      <c r="C131" s="32">
        <f t="shared" si="6"/>
        <v>11</v>
      </c>
    </row>
    <row r="132" ht="16.5" spans="1:3">
      <c r="A132" s="33">
        <v>45338.8333333333</v>
      </c>
      <c r="B132" s="28">
        <f t="shared" si="5"/>
        <v>20</v>
      </c>
      <c r="C132" s="28">
        <f t="shared" si="6"/>
        <v>11</v>
      </c>
    </row>
    <row r="133" ht="16.5" spans="1:3">
      <c r="A133" s="30">
        <v>45415.3333333333</v>
      </c>
      <c r="B133" s="28">
        <f t="shared" si="5"/>
        <v>8</v>
      </c>
      <c r="C133" s="28">
        <f t="shared" si="6"/>
        <v>11</v>
      </c>
    </row>
    <row r="134" ht="16.5" spans="1:3">
      <c r="A134" s="36">
        <v>45470.8333333333</v>
      </c>
      <c r="B134" s="32">
        <f t="shared" si="5"/>
        <v>20</v>
      </c>
      <c r="C134" s="32">
        <f t="shared" si="6"/>
        <v>11</v>
      </c>
    </row>
    <row r="135" ht="16.5" spans="1:3">
      <c r="A135" s="36">
        <v>45372.3333333333</v>
      </c>
      <c r="B135" s="32">
        <f t="shared" si="5"/>
        <v>8</v>
      </c>
      <c r="C135" s="32">
        <f t="shared" si="6"/>
        <v>11</v>
      </c>
    </row>
    <row r="136" ht="16.5" spans="1:3">
      <c r="A136" s="33">
        <v>45405.8333333333</v>
      </c>
      <c r="B136" s="28">
        <f t="shared" si="5"/>
        <v>20</v>
      </c>
      <c r="C136" s="28">
        <f t="shared" si="6"/>
        <v>11</v>
      </c>
    </row>
    <row r="137" ht="16.5" spans="1:3">
      <c r="A137" s="36">
        <v>45472.8333333333</v>
      </c>
      <c r="B137" s="32">
        <f t="shared" si="5"/>
        <v>20</v>
      </c>
      <c r="C137" s="32">
        <f t="shared" si="6"/>
        <v>11</v>
      </c>
    </row>
    <row r="138" ht="16.5" spans="1:3">
      <c r="A138" s="29">
        <v>45295.3333333333</v>
      </c>
      <c r="B138" s="28">
        <f t="shared" si="5"/>
        <v>8</v>
      </c>
      <c r="C138" s="28">
        <f t="shared" si="6"/>
        <v>11</v>
      </c>
    </row>
    <row r="139" ht="16.5" spans="1:3">
      <c r="A139" s="27">
        <v>45325.3333333333</v>
      </c>
      <c r="B139" s="28">
        <f t="shared" si="5"/>
        <v>8</v>
      </c>
      <c r="C139" s="28">
        <f t="shared" si="6"/>
        <v>11</v>
      </c>
    </row>
    <row r="140" ht="16.5" spans="1:3">
      <c r="A140" s="36">
        <v>45292.3333333333</v>
      </c>
      <c r="B140" s="32">
        <f t="shared" si="5"/>
        <v>8</v>
      </c>
      <c r="C140" s="32">
        <f t="shared" si="6"/>
        <v>11</v>
      </c>
    </row>
    <row r="141" ht="16.5" spans="1:3">
      <c r="A141" s="29">
        <v>45297.3333333333</v>
      </c>
      <c r="B141" s="28">
        <f t="shared" si="5"/>
        <v>8</v>
      </c>
      <c r="C141" s="28">
        <f t="shared" si="6"/>
        <v>11</v>
      </c>
    </row>
    <row r="142" ht="16.5" spans="1:3">
      <c r="A142" s="30">
        <v>45325.3333333333</v>
      </c>
      <c r="B142" s="28">
        <f t="shared" si="5"/>
        <v>8</v>
      </c>
      <c r="C142" s="28">
        <f t="shared" si="6"/>
        <v>11</v>
      </c>
    </row>
    <row r="143" ht="16.5" spans="1:3">
      <c r="A143" s="27">
        <v>45434.8333333333</v>
      </c>
      <c r="B143" s="28">
        <f t="shared" si="5"/>
        <v>20</v>
      </c>
      <c r="C143" s="28">
        <f t="shared" si="6"/>
        <v>11</v>
      </c>
    </row>
    <row r="144" ht="16.5" spans="1:3">
      <c r="A144" s="27">
        <v>45407.3333333333</v>
      </c>
      <c r="B144" s="28">
        <f t="shared" si="5"/>
        <v>8</v>
      </c>
      <c r="C144" s="28">
        <f t="shared" si="6"/>
        <v>11</v>
      </c>
    </row>
    <row r="145" ht="16.5" spans="1:3">
      <c r="A145" s="27">
        <v>45299.3333333333</v>
      </c>
      <c r="B145" s="28">
        <f t="shared" si="5"/>
        <v>8</v>
      </c>
      <c r="C145" s="28">
        <f t="shared" si="6"/>
        <v>11</v>
      </c>
    </row>
    <row r="146" ht="16.5" spans="1:3">
      <c r="A146" s="33">
        <v>45460.8333333333</v>
      </c>
      <c r="B146" s="28">
        <f t="shared" si="5"/>
        <v>20</v>
      </c>
      <c r="C146" s="28">
        <f t="shared" si="6"/>
        <v>11</v>
      </c>
    </row>
    <row r="147" ht="16.5" spans="1:3">
      <c r="A147" s="31">
        <v>45472.3333333333</v>
      </c>
      <c r="B147" s="32">
        <f t="shared" si="5"/>
        <v>8</v>
      </c>
      <c r="C147" s="32">
        <f t="shared" si="6"/>
        <v>11</v>
      </c>
    </row>
    <row r="148" ht="16.5" spans="1:3">
      <c r="A148" s="36">
        <v>45305.8333333333</v>
      </c>
      <c r="B148" s="32">
        <f t="shared" si="5"/>
        <v>20</v>
      </c>
      <c r="C148" s="32">
        <f t="shared" si="6"/>
        <v>11</v>
      </c>
    </row>
    <row r="149" ht="16.5" spans="1:3">
      <c r="A149" s="38">
        <v>45418.8333333333</v>
      </c>
      <c r="B149" s="32">
        <f t="shared" si="5"/>
        <v>20</v>
      </c>
      <c r="C149" s="32">
        <f t="shared" si="6"/>
        <v>11</v>
      </c>
    </row>
    <row r="150" ht="16.5" spans="1:3">
      <c r="A150" s="29">
        <v>45329.8333333333</v>
      </c>
      <c r="B150" s="28">
        <f t="shared" si="5"/>
        <v>20</v>
      </c>
      <c r="C150" s="28">
        <f t="shared" si="6"/>
        <v>11</v>
      </c>
    </row>
    <row r="151" ht="16.5" spans="1:3">
      <c r="A151" s="27">
        <v>45327.8333333333</v>
      </c>
      <c r="B151" s="28">
        <f t="shared" si="5"/>
        <v>20</v>
      </c>
      <c r="C151" s="28">
        <f t="shared" si="6"/>
        <v>11</v>
      </c>
    </row>
    <row r="152" ht="16.5" spans="1:3">
      <c r="A152" s="38">
        <v>45421.8333333333</v>
      </c>
      <c r="B152" s="32">
        <f t="shared" si="5"/>
        <v>20</v>
      </c>
      <c r="C152" s="32">
        <f t="shared" si="6"/>
        <v>11</v>
      </c>
    </row>
    <row r="153" ht="16.5" spans="1:3">
      <c r="A153" s="33">
        <v>45319.4583333333</v>
      </c>
      <c r="B153" s="28">
        <f t="shared" si="5"/>
        <v>11</v>
      </c>
      <c r="C153" s="28">
        <f t="shared" si="6"/>
        <v>10</v>
      </c>
    </row>
    <row r="154" ht="16.5" spans="1:3">
      <c r="A154" s="36">
        <v>45336.4583333333</v>
      </c>
      <c r="B154" s="32">
        <f t="shared" si="5"/>
        <v>11</v>
      </c>
      <c r="C154" s="32">
        <f t="shared" si="6"/>
        <v>10</v>
      </c>
    </row>
    <row r="155" ht="16.5" spans="1:3">
      <c r="A155" s="31">
        <v>45407.4583333333</v>
      </c>
      <c r="B155" s="32">
        <f t="shared" si="5"/>
        <v>11</v>
      </c>
      <c r="C155" s="32">
        <f t="shared" si="6"/>
        <v>10</v>
      </c>
    </row>
    <row r="156" ht="16.5" spans="1:3">
      <c r="A156" s="31">
        <v>45305.9166666667</v>
      </c>
      <c r="B156" s="32">
        <f t="shared" si="5"/>
        <v>22</v>
      </c>
      <c r="C156" s="32">
        <f t="shared" si="6"/>
        <v>10</v>
      </c>
    </row>
    <row r="157" ht="16.5" spans="1:3">
      <c r="A157" s="37">
        <v>45348.9166666667</v>
      </c>
      <c r="B157" s="32">
        <f t="shared" si="5"/>
        <v>22</v>
      </c>
      <c r="C157" s="32">
        <f t="shared" si="6"/>
        <v>10</v>
      </c>
    </row>
    <row r="158" ht="16.5" spans="1:3">
      <c r="A158" s="27">
        <v>45325.9166666667</v>
      </c>
      <c r="B158" s="28">
        <f t="shared" si="5"/>
        <v>22</v>
      </c>
      <c r="C158" s="28">
        <f t="shared" si="6"/>
        <v>10</v>
      </c>
    </row>
    <row r="159" ht="16.5" spans="1:3">
      <c r="A159" s="37">
        <v>45363.9166666667</v>
      </c>
      <c r="B159" s="32">
        <f t="shared" si="5"/>
        <v>22</v>
      </c>
      <c r="C159" s="32">
        <f t="shared" si="6"/>
        <v>10</v>
      </c>
    </row>
    <row r="160" ht="16.5" spans="1:3">
      <c r="A160" s="30">
        <v>45438.9166666667</v>
      </c>
      <c r="B160" s="28">
        <f t="shared" si="5"/>
        <v>22</v>
      </c>
      <c r="C160" s="28">
        <f t="shared" si="6"/>
        <v>10</v>
      </c>
    </row>
    <row r="161" ht="16.5" spans="1:3">
      <c r="A161" s="36">
        <v>45294.4583333333</v>
      </c>
      <c r="B161" s="32">
        <f t="shared" si="5"/>
        <v>11</v>
      </c>
      <c r="C161" s="32">
        <f t="shared" si="6"/>
        <v>10</v>
      </c>
    </row>
    <row r="162" ht="16.5" spans="1:3">
      <c r="A162" s="33">
        <v>45408.9166666667</v>
      </c>
      <c r="B162" s="28">
        <f t="shared" si="5"/>
        <v>22</v>
      </c>
      <c r="C162" s="28">
        <f t="shared" si="6"/>
        <v>10</v>
      </c>
    </row>
    <row r="163" ht="16.5" spans="1:3">
      <c r="A163" s="39">
        <v>45445.4583333333</v>
      </c>
      <c r="B163" s="32">
        <f t="shared" si="5"/>
        <v>11</v>
      </c>
      <c r="C163" s="32">
        <f t="shared" si="6"/>
        <v>10</v>
      </c>
    </row>
    <row r="164" ht="16.5" spans="1:3">
      <c r="A164" s="31">
        <v>45377.4583333333</v>
      </c>
      <c r="B164" s="32">
        <f t="shared" si="5"/>
        <v>11</v>
      </c>
      <c r="C164" s="32">
        <f t="shared" si="6"/>
        <v>10</v>
      </c>
    </row>
    <row r="165" ht="16.5" spans="1:3">
      <c r="A165" s="39">
        <v>45445.9166666667</v>
      </c>
      <c r="B165" s="32">
        <f t="shared" si="5"/>
        <v>22</v>
      </c>
      <c r="C165" s="32">
        <f t="shared" si="6"/>
        <v>10</v>
      </c>
    </row>
    <row r="166" ht="16.5" spans="1:3">
      <c r="A166" s="29">
        <v>45383.4583333333</v>
      </c>
      <c r="B166" s="28">
        <f t="shared" si="5"/>
        <v>11</v>
      </c>
      <c r="C166" s="28">
        <f t="shared" si="6"/>
        <v>10</v>
      </c>
    </row>
    <row r="167" ht="16.5" spans="1:3">
      <c r="A167" s="33">
        <v>45396.4583333333</v>
      </c>
      <c r="B167" s="28">
        <f t="shared" si="5"/>
        <v>11</v>
      </c>
      <c r="C167" s="28">
        <f t="shared" si="6"/>
        <v>10</v>
      </c>
    </row>
    <row r="168" ht="16.5" spans="1:3">
      <c r="A168" s="36">
        <v>45445.4583333333</v>
      </c>
      <c r="B168" s="32">
        <f t="shared" si="5"/>
        <v>11</v>
      </c>
      <c r="C168" s="32">
        <f t="shared" si="6"/>
        <v>10</v>
      </c>
    </row>
    <row r="169" ht="16.5" spans="1:3">
      <c r="A169" s="29">
        <v>45359.9166666667</v>
      </c>
      <c r="B169" s="28">
        <f t="shared" si="5"/>
        <v>22</v>
      </c>
      <c r="C169" s="28">
        <f t="shared" si="6"/>
        <v>10</v>
      </c>
    </row>
    <row r="170" ht="16.5" spans="1:3">
      <c r="A170" s="27">
        <v>45374.9166666667</v>
      </c>
      <c r="B170" s="28">
        <f t="shared" si="5"/>
        <v>22</v>
      </c>
      <c r="C170" s="28">
        <f t="shared" si="6"/>
        <v>10</v>
      </c>
    </row>
    <row r="171" ht="16.5" spans="1:3">
      <c r="A171" s="36">
        <v>45422.4583333333</v>
      </c>
      <c r="B171" s="32">
        <f t="shared" si="5"/>
        <v>11</v>
      </c>
      <c r="C171" s="32">
        <f t="shared" si="6"/>
        <v>10</v>
      </c>
    </row>
    <row r="172" ht="16.5" spans="1:3">
      <c r="A172" s="31">
        <v>45397.9166666667</v>
      </c>
      <c r="B172" s="32">
        <f t="shared" si="5"/>
        <v>22</v>
      </c>
      <c r="C172" s="32">
        <f t="shared" si="6"/>
        <v>10</v>
      </c>
    </row>
    <row r="173" ht="16.5" spans="1:3">
      <c r="A173" s="27">
        <v>45360.7083333333</v>
      </c>
      <c r="B173" s="28">
        <f t="shared" si="5"/>
        <v>17</v>
      </c>
      <c r="C173" s="28">
        <f t="shared" si="6"/>
        <v>9</v>
      </c>
    </row>
    <row r="174" ht="16.5" spans="1:3">
      <c r="A174" s="30">
        <v>45421.7083333333</v>
      </c>
      <c r="B174" s="28">
        <f t="shared" si="5"/>
        <v>17</v>
      </c>
      <c r="C174" s="28">
        <f t="shared" si="6"/>
        <v>9</v>
      </c>
    </row>
    <row r="175" ht="16.5" spans="1:3">
      <c r="A175" s="39">
        <v>45355.7083333333</v>
      </c>
      <c r="B175" s="32">
        <f t="shared" si="5"/>
        <v>17</v>
      </c>
      <c r="C175" s="32">
        <f t="shared" si="6"/>
        <v>9</v>
      </c>
    </row>
    <row r="176" ht="16.5" spans="1:3">
      <c r="A176" s="31">
        <v>45410.7083333333</v>
      </c>
      <c r="B176" s="32">
        <f t="shared" si="5"/>
        <v>17</v>
      </c>
      <c r="C176" s="32">
        <f t="shared" si="6"/>
        <v>9</v>
      </c>
    </row>
    <row r="177" ht="16.5" spans="1:3">
      <c r="A177" s="30">
        <v>45415.7083333333</v>
      </c>
      <c r="B177" s="28">
        <f t="shared" si="5"/>
        <v>17</v>
      </c>
      <c r="C177" s="28">
        <f t="shared" si="6"/>
        <v>9</v>
      </c>
    </row>
    <row r="178" ht="16.5" spans="1:3">
      <c r="A178" s="37">
        <v>45433.7083333333</v>
      </c>
      <c r="B178" s="32">
        <f t="shared" si="5"/>
        <v>17</v>
      </c>
      <c r="C178" s="32">
        <f t="shared" si="6"/>
        <v>9</v>
      </c>
    </row>
    <row r="179" ht="16.5" spans="1:3">
      <c r="A179" s="37">
        <v>45301.7083333333</v>
      </c>
      <c r="B179" s="32">
        <f t="shared" si="5"/>
        <v>17</v>
      </c>
      <c r="C179" s="32">
        <f t="shared" si="6"/>
        <v>9</v>
      </c>
    </row>
    <row r="180" ht="16.5" spans="1:3">
      <c r="A180" s="33">
        <v>45304.7083333333</v>
      </c>
      <c r="B180" s="28">
        <f t="shared" si="5"/>
        <v>17</v>
      </c>
      <c r="C180" s="28">
        <f t="shared" si="6"/>
        <v>9</v>
      </c>
    </row>
    <row r="181" ht="16.5" spans="1:3">
      <c r="A181" s="27">
        <v>45435.7083333333</v>
      </c>
      <c r="B181" s="28">
        <f t="shared" si="5"/>
        <v>17</v>
      </c>
      <c r="C181" s="28">
        <f t="shared" si="6"/>
        <v>9</v>
      </c>
    </row>
    <row r="182" ht="16.5" spans="1:3">
      <c r="A182" s="36">
        <v>45324.9583333333</v>
      </c>
      <c r="B182" s="32">
        <f t="shared" si="5"/>
        <v>23</v>
      </c>
      <c r="C182" s="32">
        <f t="shared" si="6"/>
        <v>8</v>
      </c>
    </row>
    <row r="183" ht="16.5" spans="1:3">
      <c r="A183" s="31">
        <v>45367.9583333333</v>
      </c>
      <c r="B183" s="32">
        <f t="shared" si="5"/>
        <v>23</v>
      </c>
      <c r="C183" s="32">
        <f t="shared" si="6"/>
        <v>8</v>
      </c>
    </row>
    <row r="184" ht="16.5" spans="1:3">
      <c r="A184" s="31">
        <v>45375.9583333333</v>
      </c>
      <c r="B184" s="32">
        <f t="shared" si="5"/>
        <v>23</v>
      </c>
      <c r="C184" s="32">
        <f t="shared" si="6"/>
        <v>8</v>
      </c>
    </row>
    <row r="185" ht="16.5" spans="1:3">
      <c r="A185" s="27">
        <v>45423.4166666667</v>
      </c>
      <c r="B185" s="28">
        <f t="shared" si="5"/>
        <v>10</v>
      </c>
      <c r="C185" s="28">
        <f t="shared" si="6"/>
        <v>8</v>
      </c>
    </row>
    <row r="186" ht="16.5" spans="1:3">
      <c r="A186" s="27">
        <v>45295.4166666667</v>
      </c>
      <c r="B186" s="28">
        <f t="shared" si="5"/>
        <v>10</v>
      </c>
      <c r="C186" s="28">
        <f t="shared" si="6"/>
        <v>8</v>
      </c>
    </row>
    <row r="187" ht="16.5" spans="1:3">
      <c r="A187" s="31">
        <v>45403.9583333333</v>
      </c>
      <c r="B187" s="32">
        <f t="shared" si="5"/>
        <v>23</v>
      </c>
      <c r="C187" s="32">
        <f t="shared" si="6"/>
        <v>8</v>
      </c>
    </row>
    <row r="188" ht="16.5" spans="1:3">
      <c r="A188" s="39">
        <v>45292.9583333333</v>
      </c>
      <c r="B188" s="32">
        <f t="shared" si="5"/>
        <v>23</v>
      </c>
      <c r="C188" s="32">
        <f t="shared" si="6"/>
        <v>8</v>
      </c>
    </row>
    <row r="189" ht="16.5" spans="1:3">
      <c r="A189" s="36">
        <v>45324.4166666667</v>
      </c>
      <c r="B189" s="32">
        <f t="shared" si="5"/>
        <v>10</v>
      </c>
      <c r="C189" s="32">
        <f t="shared" si="6"/>
        <v>8</v>
      </c>
    </row>
    <row r="190" ht="16.5" spans="1:3">
      <c r="A190" s="33">
        <v>45368.4166666667</v>
      </c>
      <c r="B190" s="28">
        <f t="shared" si="5"/>
        <v>10</v>
      </c>
      <c r="C190" s="28">
        <f t="shared" si="6"/>
        <v>8</v>
      </c>
    </row>
    <row r="191" ht="16.5" spans="1:3">
      <c r="A191" s="36">
        <v>45352.4166666667</v>
      </c>
      <c r="B191" s="32">
        <f t="shared" si="5"/>
        <v>10</v>
      </c>
      <c r="C191" s="32">
        <f t="shared" si="6"/>
        <v>8</v>
      </c>
    </row>
    <row r="192" ht="16.5" spans="1:3">
      <c r="A192" s="37">
        <v>45435.4166666667</v>
      </c>
      <c r="B192" s="32">
        <f t="shared" si="5"/>
        <v>10</v>
      </c>
      <c r="C192" s="32">
        <f t="shared" si="6"/>
        <v>8</v>
      </c>
    </row>
    <row r="193" ht="16.5" spans="1:3">
      <c r="A193" s="36">
        <v>45337.9583333333</v>
      </c>
      <c r="B193" s="32">
        <f t="shared" si="5"/>
        <v>23</v>
      </c>
      <c r="C193" s="32">
        <f t="shared" si="6"/>
        <v>8</v>
      </c>
    </row>
    <row r="194" ht="16.5" spans="1:3">
      <c r="A194" s="34">
        <v>45439.9583333333</v>
      </c>
      <c r="B194" s="28">
        <f t="shared" ref="B194:B201" si="7">HOUR(A194)</f>
        <v>23</v>
      </c>
      <c r="C194" s="28">
        <f t="shared" ref="C194:C201" si="8">COUNTIF($B$2:$B$201,B194)</f>
        <v>8</v>
      </c>
    </row>
    <row r="195" ht="16.5" spans="1:3">
      <c r="A195" s="36">
        <v>45432.9583333333</v>
      </c>
      <c r="B195" s="32">
        <f t="shared" si="7"/>
        <v>23</v>
      </c>
      <c r="C195" s="32">
        <f t="shared" si="8"/>
        <v>8</v>
      </c>
    </row>
    <row r="196" ht="16.5" spans="1:3">
      <c r="A196" s="27">
        <v>45367.4166666667</v>
      </c>
      <c r="B196" s="28">
        <f t="shared" si="7"/>
        <v>10</v>
      </c>
      <c r="C196" s="28">
        <f t="shared" si="8"/>
        <v>8</v>
      </c>
    </row>
    <row r="197" ht="16.5" spans="1:3">
      <c r="A197" s="30">
        <v>45348.4166666667</v>
      </c>
      <c r="B197" s="28">
        <f t="shared" si="7"/>
        <v>10</v>
      </c>
      <c r="C197" s="28">
        <f t="shared" si="8"/>
        <v>8</v>
      </c>
    </row>
    <row r="198" ht="16.5" spans="1:3">
      <c r="A198" s="36">
        <v>45295.5833333333</v>
      </c>
      <c r="B198" s="32">
        <f t="shared" si="7"/>
        <v>14</v>
      </c>
      <c r="C198" s="32">
        <f t="shared" si="8"/>
        <v>4</v>
      </c>
    </row>
    <row r="199" ht="16.5" spans="1:3">
      <c r="A199" s="27">
        <v>45448.5833333333</v>
      </c>
      <c r="B199" s="28">
        <f t="shared" si="7"/>
        <v>14</v>
      </c>
      <c r="C199" s="28">
        <f t="shared" si="8"/>
        <v>4</v>
      </c>
    </row>
    <row r="200" ht="16.5" spans="1:3">
      <c r="A200" s="27">
        <v>45398.5833333333</v>
      </c>
      <c r="B200" s="28">
        <f t="shared" si="7"/>
        <v>14</v>
      </c>
      <c r="C200" s="28">
        <f t="shared" si="8"/>
        <v>4</v>
      </c>
    </row>
    <row r="201" ht="16.5" spans="1:3">
      <c r="A201" s="27">
        <v>45347.5833333333</v>
      </c>
      <c r="B201" s="28">
        <f t="shared" si="7"/>
        <v>14</v>
      </c>
      <c r="C201" s="28">
        <f t="shared" si="8"/>
        <v>4</v>
      </c>
    </row>
  </sheetData>
  <autoFilter xmlns:etc="http://www.wps.cn/officeDocument/2017/etCustomData" ref="A1:C201" etc:filterBottomFollowUsedRange="0">
    <sortState ref="A1:C201">
      <sortCondition ref="C1" descending="1"/>
    </sortState>
    <extLst/>
  </autoFilter>
  <conditionalFormatting sqref="A1:A201">
    <cfRule type="expression" dxfId="10" priority="5">
      <formula>MOD(ROW(),2)=0</formula>
    </cfRule>
  </conditionalFormatting>
  <conditionalFormatting sqref="B1:B201">
    <cfRule type="expression" dxfId="10" priority="4">
      <formula>MOD(ROW(),2)=0</formula>
    </cfRule>
  </conditionalFormatting>
  <conditionalFormatting sqref="C1:C200">
    <cfRule type="expression" dxfId="10" priority="3">
      <formula>MOD(ROW(),2)=0</formula>
    </cfRule>
  </conditionalFormatting>
  <conditionalFormatting sqref="D1:D18">
    <cfRule type="expression" dxfId="10" priority="2">
      <formula>MOD(ROW(),2)=0</formula>
    </cfRule>
  </conditionalFormatting>
  <conditionalFormatting sqref="E1:E18">
    <cfRule type="expression" dxfId="10" priority="1">
      <formula>MOD(ROW(),2)=0</formula>
    </cfRule>
  </conditionalFormatting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2"/>
  <sheetViews>
    <sheetView workbookViewId="0">
      <selection activeCell="G6" sqref="G6"/>
    </sheetView>
  </sheetViews>
  <sheetFormatPr defaultColWidth="9.14285714285714" defaultRowHeight="12.75"/>
  <cols>
    <col min="1" max="1" width="16.8571428571429" style="19" customWidth="1"/>
    <col min="2" max="2" width="20.8571428571429" style="20" customWidth="1"/>
    <col min="3" max="3" width="11.5714285714286" customWidth="1"/>
    <col min="4" max="4" width="6" style="19" customWidth="1"/>
    <col min="5" max="5" width="12.7142857142857" style="19" customWidth="1"/>
    <col min="7" max="7" width="17.4285714285714"/>
    <col min="8" max="8" width="18.1428571428571"/>
    <col min="9" max="9" width="17.4285714285714"/>
    <col min="10" max="10" width="86.2857142857143" customWidth="1"/>
    <col min="11" max="199" width="16.4285714285714"/>
    <col min="200" max="200" width="11.2857142857143"/>
    <col min="201" max="201" width="10.5714285714286"/>
    <col min="202" max="202" width="10.1428571428571"/>
    <col min="203" max="205" width="9.28571428571429"/>
    <col min="206" max="206" width="10.1428571428571"/>
    <col min="207" max="211" width="11.5714285714286"/>
    <col min="212" max="212" width="10.1428571428571"/>
    <col min="213" max="213" width="11.5714285714286"/>
    <col min="214" max="214" width="10.1428571428571"/>
    <col min="215" max="217" width="10.5714285714286"/>
    <col min="218" max="218" width="10.1428571428571"/>
    <col min="219" max="220" width="11.5714285714286"/>
    <col min="221" max="221" width="10.1428571428571"/>
    <col min="222" max="225" width="11.5714285714286"/>
    <col min="226" max="226" width="10.1428571428571"/>
    <col min="227" max="228" width="10.5714285714286"/>
    <col min="229" max="229" width="10.1428571428571"/>
    <col min="230" max="231" width="8"/>
    <col min="232" max="232" width="10.1428571428571"/>
    <col min="233" max="233" width="7.71428571428571"/>
    <col min="234" max="234" width="10.1428571428571"/>
    <col min="235" max="236" width="9.28571428571429"/>
    <col min="237" max="237" width="10.1428571428571"/>
    <col min="238" max="239" width="10.5714285714286"/>
    <col min="240" max="240" width="10.1428571428571"/>
    <col min="241" max="243" width="10.5714285714286"/>
    <col min="244" max="244" width="10.1428571428571"/>
    <col min="245" max="246" width="11.5714285714286"/>
    <col min="247" max="247" width="10.1428571428571"/>
    <col min="248" max="248" width="8"/>
    <col min="249" max="249" width="10.1428571428571"/>
    <col min="250" max="252" width="11.5714285714286"/>
    <col min="253" max="253" width="10.1428571428571"/>
    <col min="254" max="256" width="11.5714285714286"/>
    <col min="257" max="257" width="10.1428571428571"/>
    <col min="258" max="259" width="9.28571428571429"/>
    <col min="260" max="260" width="10.1428571428571"/>
    <col min="261" max="262" width="9.28571428571429"/>
    <col min="263" max="263" width="10.1428571428571"/>
    <col min="264" max="264" width="8"/>
    <col min="265" max="265" width="10.1428571428571"/>
    <col min="266" max="267" width="11.5714285714286"/>
    <col min="268" max="268" width="10.1428571428571"/>
    <col min="269" max="269" width="9.28571428571429"/>
    <col min="270" max="270" width="10.1428571428571"/>
    <col min="271" max="272" width="11.5714285714286"/>
    <col min="273" max="273" width="11.2857142857143"/>
    <col min="274" max="276" width="9.28571428571429"/>
    <col min="277" max="278" width="11.2857142857143"/>
  </cols>
  <sheetData>
    <row r="1" ht="34.5" spans="1:10">
      <c r="A1" s="4" t="s">
        <v>22</v>
      </c>
      <c r="B1" s="21" t="s">
        <v>23</v>
      </c>
      <c r="C1" s="4" t="s">
        <v>374</v>
      </c>
      <c r="D1" s="4" t="s">
        <v>24</v>
      </c>
      <c r="E1" s="4" t="s">
        <v>25</v>
      </c>
      <c r="J1" s="8" t="s">
        <v>15</v>
      </c>
    </row>
    <row r="2" ht="16.5" spans="1:10">
      <c r="A2" s="10" t="s">
        <v>101</v>
      </c>
      <c r="B2" s="22">
        <v>45292.3333333333</v>
      </c>
      <c r="C2" s="10">
        <f t="shared" ref="C2:C65" si="0">D2*E2</f>
        <v>7995</v>
      </c>
      <c r="D2" s="10">
        <v>5</v>
      </c>
      <c r="E2" s="10">
        <v>1599</v>
      </c>
    </row>
    <row r="3" ht="16.5" spans="1:10">
      <c r="A3" s="10" t="s">
        <v>54</v>
      </c>
      <c r="B3" s="22">
        <v>45292.9583333333</v>
      </c>
      <c r="C3" s="10">
        <f t="shared" si="0"/>
        <v>5998</v>
      </c>
      <c r="D3" s="10">
        <v>2</v>
      </c>
      <c r="E3" s="10">
        <v>2999</v>
      </c>
    </row>
    <row r="4" ht="16.5" spans="1:10">
      <c r="A4" s="10" t="s">
        <v>54</v>
      </c>
      <c r="B4" s="22">
        <v>45294.4583333333</v>
      </c>
      <c r="C4" s="10">
        <f t="shared" si="0"/>
        <v>1199</v>
      </c>
      <c r="D4" s="10">
        <v>1</v>
      </c>
      <c r="E4" s="10">
        <v>1199</v>
      </c>
    </row>
    <row r="5" ht="16.5" spans="1:10">
      <c r="A5" s="10" t="s">
        <v>78</v>
      </c>
      <c r="B5" s="22">
        <v>45295.3333333333</v>
      </c>
      <c r="C5" s="10">
        <f t="shared" si="0"/>
        <v>998</v>
      </c>
      <c r="D5" s="10">
        <v>2</v>
      </c>
      <c r="E5" s="10">
        <v>499</v>
      </c>
      <c r="G5" t="s">
        <v>22</v>
      </c>
      <c r="H5" t="s">
        <v>23</v>
      </c>
      <c r="I5" t="s">
        <v>375</v>
      </c>
    </row>
    <row r="6" ht="16.5" spans="1:10">
      <c r="A6" s="10" t="s">
        <v>44</v>
      </c>
      <c r="B6" s="22">
        <v>45295.4166666667</v>
      </c>
      <c r="C6" s="10">
        <f t="shared" si="0"/>
        <v>649</v>
      </c>
      <c r="D6" s="10">
        <v>1</v>
      </c>
      <c r="E6" s="10">
        <v>649</v>
      </c>
      <c r="G6" t="s">
        <v>78</v>
      </c>
      <c r="I6">
        <v>18541</v>
      </c>
    </row>
    <row r="7" ht="16.5" spans="1:10">
      <c r="A7" s="10" t="s">
        <v>44</v>
      </c>
      <c r="B7" s="22">
        <v>45295.5833333333</v>
      </c>
      <c r="C7" s="10">
        <f t="shared" si="0"/>
        <v>3596</v>
      </c>
      <c r="D7" s="10">
        <v>4</v>
      </c>
      <c r="E7" s="10">
        <v>899</v>
      </c>
      <c r="G7" t="s">
        <v>68</v>
      </c>
      <c r="I7">
        <v>21488</v>
      </c>
    </row>
    <row r="8" ht="16.5" spans="1:10">
      <c r="A8" s="10" t="s">
        <v>63</v>
      </c>
      <c r="B8" s="22">
        <v>45297.3333333333</v>
      </c>
      <c r="C8" s="10">
        <f t="shared" si="0"/>
        <v>598</v>
      </c>
      <c r="D8" s="10">
        <v>2</v>
      </c>
      <c r="E8" s="10">
        <v>299</v>
      </c>
      <c r="G8" t="s">
        <v>44</v>
      </c>
      <c r="I8">
        <v>66325</v>
      </c>
    </row>
    <row r="9" ht="16.5" spans="1:10">
      <c r="A9" s="10" t="s">
        <v>78</v>
      </c>
      <c r="B9" s="22">
        <v>45298.6666666667</v>
      </c>
      <c r="C9" s="10">
        <f t="shared" si="0"/>
        <v>1995</v>
      </c>
      <c r="D9" s="10">
        <v>5</v>
      </c>
      <c r="E9" s="10">
        <v>399</v>
      </c>
      <c r="G9" t="s">
        <v>32</v>
      </c>
      <c r="I9">
        <v>69480</v>
      </c>
    </row>
    <row r="10" ht="16.5" spans="1:10">
      <c r="A10" s="10" t="s">
        <v>78</v>
      </c>
      <c r="B10" s="22">
        <v>45299.3333333333</v>
      </c>
      <c r="C10" s="10">
        <f t="shared" si="0"/>
        <v>1745</v>
      </c>
      <c r="D10" s="10">
        <v>5</v>
      </c>
      <c r="E10" s="10">
        <v>349</v>
      </c>
      <c r="G10" t="s">
        <v>63</v>
      </c>
      <c r="I10">
        <v>15398</v>
      </c>
    </row>
    <row r="11" ht="16.5" spans="1:10">
      <c r="A11" s="10" t="s">
        <v>63</v>
      </c>
      <c r="B11" s="22">
        <v>45300.5416666667</v>
      </c>
      <c r="C11" s="10">
        <f t="shared" si="0"/>
        <v>498</v>
      </c>
      <c r="D11" s="10">
        <v>2</v>
      </c>
      <c r="E11" s="10">
        <v>249</v>
      </c>
      <c r="G11" t="s">
        <v>101</v>
      </c>
      <c r="I11">
        <v>20990</v>
      </c>
    </row>
    <row r="12" ht="16.5" spans="1:10">
      <c r="A12" s="10" t="s">
        <v>63</v>
      </c>
      <c r="B12" s="22">
        <v>45301.5</v>
      </c>
      <c r="C12" s="10">
        <f t="shared" si="0"/>
        <v>1497</v>
      </c>
      <c r="D12" s="10">
        <v>3</v>
      </c>
      <c r="E12" s="10">
        <v>499</v>
      </c>
      <c r="G12" t="s">
        <v>38</v>
      </c>
      <c r="I12">
        <v>120085</v>
      </c>
    </row>
    <row r="13" ht="16.5" spans="1:10">
      <c r="A13" s="10" t="s">
        <v>101</v>
      </c>
      <c r="B13" s="22">
        <v>45301.7083333333</v>
      </c>
      <c r="C13" s="10">
        <f t="shared" si="0"/>
        <v>995</v>
      </c>
      <c r="D13" s="10">
        <v>5</v>
      </c>
      <c r="E13" s="10">
        <v>199</v>
      </c>
      <c r="G13" t="s">
        <v>54</v>
      </c>
      <c r="I13">
        <v>45482</v>
      </c>
    </row>
    <row r="14" ht="16.5" spans="1:10">
      <c r="A14" s="10" t="s">
        <v>54</v>
      </c>
      <c r="B14" s="22">
        <v>45301.75</v>
      </c>
      <c r="C14" s="10">
        <f t="shared" si="0"/>
        <v>1599</v>
      </c>
      <c r="D14" s="10">
        <v>1</v>
      </c>
      <c r="E14" s="10">
        <v>1599</v>
      </c>
      <c r="G14" t="s">
        <v>376</v>
      </c>
      <c r="I14">
        <v>377789</v>
      </c>
    </row>
    <row r="15" ht="16.5" spans="1:10">
      <c r="A15" s="10" t="s">
        <v>78</v>
      </c>
      <c r="B15" s="22">
        <v>45303.5416666667</v>
      </c>
      <c r="C15" s="10">
        <f t="shared" si="0"/>
        <v>349</v>
      </c>
      <c r="D15" s="10">
        <v>1</v>
      </c>
      <c r="E15" s="10">
        <v>349</v>
      </c>
    </row>
    <row r="16" ht="16.5" spans="1:10">
      <c r="A16" s="10" t="s">
        <v>101</v>
      </c>
      <c r="B16" s="22">
        <v>45304.7083333333</v>
      </c>
      <c r="C16" s="10">
        <f t="shared" si="0"/>
        <v>698</v>
      </c>
      <c r="D16" s="10">
        <v>2</v>
      </c>
      <c r="E16" s="10">
        <v>349</v>
      </c>
    </row>
    <row r="17" ht="16.5" spans="1:5">
      <c r="A17" s="10" t="s">
        <v>44</v>
      </c>
      <c r="B17" s="22">
        <v>45305.75</v>
      </c>
      <c r="C17" s="10">
        <f t="shared" si="0"/>
        <v>11996</v>
      </c>
      <c r="D17" s="10">
        <v>4</v>
      </c>
      <c r="E17" s="10">
        <v>2999</v>
      </c>
    </row>
    <row r="18" ht="16.5" spans="1:5">
      <c r="A18" s="10" t="s">
        <v>38</v>
      </c>
      <c r="B18" s="22">
        <v>45305.8333333333</v>
      </c>
      <c r="C18" s="10">
        <f t="shared" si="0"/>
        <v>5196</v>
      </c>
      <c r="D18" s="10">
        <v>4</v>
      </c>
      <c r="E18" s="10">
        <v>1299</v>
      </c>
    </row>
    <row r="19" ht="16.5" spans="1:5">
      <c r="A19" s="10" t="s">
        <v>32</v>
      </c>
      <c r="B19" s="22">
        <v>45305.9166666667</v>
      </c>
      <c r="C19" s="10">
        <f t="shared" si="0"/>
        <v>299</v>
      </c>
      <c r="D19" s="10">
        <v>1</v>
      </c>
      <c r="E19" s="10">
        <v>299</v>
      </c>
    </row>
    <row r="20" ht="16.5" spans="1:5">
      <c r="A20" s="10" t="s">
        <v>101</v>
      </c>
      <c r="B20" s="22">
        <v>45306.2916666667</v>
      </c>
      <c r="C20" s="10">
        <f t="shared" si="0"/>
        <v>1596</v>
      </c>
      <c r="D20" s="10">
        <v>4</v>
      </c>
      <c r="E20" s="10">
        <v>399</v>
      </c>
    </row>
    <row r="21" ht="16.5" spans="1:5">
      <c r="A21" s="10" t="s">
        <v>54</v>
      </c>
      <c r="B21" s="22">
        <v>45306.375</v>
      </c>
      <c r="C21" s="10">
        <f t="shared" si="0"/>
        <v>649</v>
      </c>
      <c r="D21" s="10">
        <v>1</v>
      </c>
      <c r="E21" s="10">
        <v>649</v>
      </c>
    </row>
    <row r="22" ht="16.5" spans="1:5">
      <c r="A22" s="10" t="s">
        <v>54</v>
      </c>
      <c r="B22" s="22">
        <v>45308.375</v>
      </c>
      <c r="C22" s="10">
        <f t="shared" si="0"/>
        <v>1745</v>
      </c>
      <c r="D22" s="10">
        <v>5</v>
      </c>
      <c r="E22" s="10">
        <v>349</v>
      </c>
    </row>
    <row r="23" ht="16.5" spans="1:5">
      <c r="A23" s="10" t="s">
        <v>101</v>
      </c>
      <c r="B23" s="22">
        <v>45308.6666666667</v>
      </c>
      <c r="C23" s="10">
        <f t="shared" si="0"/>
        <v>798</v>
      </c>
      <c r="D23" s="10">
        <v>2</v>
      </c>
      <c r="E23" s="10">
        <v>399</v>
      </c>
    </row>
    <row r="24" ht="16.5" spans="1:5">
      <c r="A24" s="10" t="s">
        <v>63</v>
      </c>
      <c r="B24" s="22">
        <v>45309.375</v>
      </c>
      <c r="C24" s="10">
        <f t="shared" si="0"/>
        <v>995</v>
      </c>
      <c r="D24" s="10">
        <v>5</v>
      </c>
      <c r="E24" s="10">
        <v>199</v>
      </c>
    </row>
    <row r="25" ht="16.5" spans="1:5">
      <c r="A25" s="10" t="s">
        <v>38</v>
      </c>
      <c r="B25" s="22">
        <v>45309.625</v>
      </c>
      <c r="C25" s="10">
        <f t="shared" si="0"/>
        <v>1745</v>
      </c>
      <c r="D25" s="10">
        <v>5</v>
      </c>
      <c r="E25" s="10">
        <v>349</v>
      </c>
    </row>
    <row r="26" ht="16.5" spans="1:5">
      <c r="A26" s="10" t="s">
        <v>38</v>
      </c>
      <c r="B26" s="22">
        <v>45309.75</v>
      </c>
      <c r="C26" s="10">
        <f t="shared" si="0"/>
        <v>698</v>
      </c>
      <c r="D26" s="10">
        <v>2</v>
      </c>
      <c r="E26" s="10">
        <v>349</v>
      </c>
    </row>
    <row r="27" ht="16.5" spans="1:5">
      <c r="A27" s="10" t="s">
        <v>38</v>
      </c>
      <c r="B27" s="22">
        <v>45310.375</v>
      </c>
      <c r="C27" s="10">
        <f t="shared" si="0"/>
        <v>1396</v>
      </c>
      <c r="D27" s="10">
        <v>4</v>
      </c>
      <c r="E27" s="10">
        <v>349</v>
      </c>
    </row>
    <row r="28" ht="16.5" spans="1:5">
      <c r="A28" s="10" t="s">
        <v>78</v>
      </c>
      <c r="B28" s="22">
        <v>45310.75</v>
      </c>
      <c r="C28" s="10">
        <f t="shared" si="0"/>
        <v>1797</v>
      </c>
      <c r="D28" s="10">
        <v>3</v>
      </c>
      <c r="E28" s="10">
        <v>599</v>
      </c>
    </row>
    <row r="29" ht="16.5" spans="1:5">
      <c r="A29" s="10" t="s">
        <v>78</v>
      </c>
      <c r="B29" s="22">
        <v>45311.375</v>
      </c>
      <c r="C29" s="10">
        <f t="shared" si="0"/>
        <v>796</v>
      </c>
      <c r="D29" s="10">
        <v>4</v>
      </c>
      <c r="E29" s="10">
        <v>199</v>
      </c>
    </row>
    <row r="30" ht="16.5" spans="1:5">
      <c r="A30" s="10" t="s">
        <v>32</v>
      </c>
      <c r="B30" s="22">
        <v>45312.2916666667</v>
      </c>
      <c r="C30" s="10">
        <f t="shared" si="0"/>
        <v>6495</v>
      </c>
      <c r="D30" s="10">
        <v>5</v>
      </c>
      <c r="E30" s="10">
        <v>1299</v>
      </c>
    </row>
    <row r="31" ht="16.5" spans="1:5">
      <c r="A31" s="10" t="s">
        <v>101</v>
      </c>
      <c r="B31" s="22">
        <v>45312.6666666667</v>
      </c>
      <c r="C31" s="10">
        <f t="shared" si="0"/>
        <v>1199</v>
      </c>
      <c r="D31" s="10">
        <v>1</v>
      </c>
      <c r="E31" s="10">
        <v>1199</v>
      </c>
    </row>
    <row r="32" ht="16.5" spans="1:5">
      <c r="A32" s="10" t="s">
        <v>38</v>
      </c>
      <c r="B32" s="22">
        <v>45313.375</v>
      </c>
      <c r="C32" s="10">
        <f t="shared" si="0"/>
        <v>1745</v>
      </c>
      <c r="D32" s="10">
        <v>5</v>
      </c>
      <c r="E32" s="10">
        <v>349</v>
      </c>
    </row>
    <row r="33" ht="16.5" spans="1:5">
      <c r="A33" s="10" t="s">
        <v>32</v>
      </c>
      <c r="B33" s="22">
        <v>45313.875</v>
      </c>
      <c r="C33" s="10">
        <f t="shared" si="0"/>
        <v>449</v>
      </c>
      <c r="D33" s="10">
        <v>1</v>
      </c>
      <c r="E33" s="10">
        <v>449</v>
      </c>
    </row>
    <row r="34" ht="16.5" spans="1:5">
      <c r="A34" s="10" t="s">
        <v>101</v>
      </c>
      <c r="B34" s="22">
        <v>45315.75</v>
      </c>
      <c r="C34" s="10">
        <f t="shared" si="0"/>
        <v>5995</v>
      </c>
      <c r="D34" s="10">
        <v>5</v>
      </c>
      <c r="E34" s="10">
        <v>1199</v>
      </c>
    </row>
    <row r="35" ht="16.5" spans="1:5">
      <c r="A35" s="10" t="s">
        <v>54</v>
      </c>
      <c r="B35" s="22">
        <v>45319.4583333333</v>
      </c>
      <c r="C35" s="10">
        <f t="shared" si="0"/>
        <v>698</v>
      </c>
      <c r="D35" s="10">
        <v>2</v>
      </c>
      <c r="E35" s="10">
        <v>349</v>
      </c>
    </row>
    <row r="36" ht="16.5" spans="1:5">
      <c r="A36" s="10" t="s">
        <v>78</v>
      </c>
      <c r="B36" s="22">
        <v>45322.5</v>
      </c>
      <c r="C36" s="10">
        <f t="shared" si="0"/>
        <v>1596</v>
      </c>
      <c r="D36" s="10">
        <v>4</v>
      </c>
      <c r="E36" s="10">
        <v>399</v>
      </c>
    </row>
    <row r="37" ht="16.5" spans="1:5">
      <c r="A37" s="10" t="s">
        <v>54</v>
      </c>
      <c r="B37" s="22">
        <v>45322.5</v>
      </c>
      <c r="C37" s="10">
        <f t="shared" si="0"/>
        <v>499</v>
      </c>
      <c r="D37" s="10">
        <v>1</v>
      </c>
      <c r="E37" s="10">
        <v>499</v>
      </c>
    </row>
    <row r="38" ht="16.5" spans="1:5">
      <c r="A38" s="10" t="s">
        <v>38</v>
      </c>
      <c r="B38" s="22">
        <v>45323.7916666667</v>
      </c>
      <c r="C38" s="10">
        <f t="shared" si="0"/>
        <v>1599</v>
      </c>
      <c r="D38" s="10">
        <v>1</v>
      </c>
      <c r="E38" s="10">
        <v>1599</v>
      </c>
    </row>
    <row r="39" ht="16.5" spans="1:5">
      <c r="A39" s="10" t="s">
        <v>54</v>
      </c>
      <c r="B39" s="22">
        <v>45324.4166666667</v>
      </c>
      <c r="C39" s="10">
        <f t="shared" si="0"/>
        <v>199</v>
      </c>
      <c r="D39" s="10">
        <v>1</v>
      </c>
      <c r="E39" s="10">
        <v>199</v>
      </c>
    </row>
    <row r="40" ht="16.5" spans="1:5">
      <c r="A40" s="10" t="s">
        <v>63</v>
      </c>
      <c r="B40" s="22">
        <v>45324.625</v>
      </c>
      <c r="C40" s="10">
        <f t="shared" si="0"/>
        <v>3495</v>
      </c>
      <c r="D40" s="10">
        <v>5</v>
      </c>
      <c r="E40" s="10">
        <v>699</v>
      </c>
    </row>
    <row r="41" ht="16.5" spans="1:5">
      <c r="A41" s="10" t="s">
        <v>44</v>
      </c>
      <c r="B41" s="22">
        <v>45324.9583333333</v>
      </c>
      <c r="C41" s="10">
        <f t="shared" si="0"/>
        <v>398</v>
      </c>
      <c r="D41" s="10">
        <v>2</v>
      </c>
      <c r="E41" s="10">
        <v>199</v>
      </c>
    </row>
    <row r="42" ht="16.5" spans="1:5">
      <c r="A42" s="10" t="s">
        <v>101</v>
      </c>
      <c r="B42" s="22">
        <v>45325.3333333333</v>
      </c>
      <c r="C42" s="10">
        <f t="shared" si="0"/>
        <v>4796</v>
      </c>
      <c r="D42" s="10">
        <v>4</v>
      </c>
      <c r="E42" s="10">
        <v>1199</v>
      </c>
    </row>
    <row r="43" ht="16.5" spans="1:5">
      <c r="A43" s="10" t="s">
        <v>63</v>
      </c>
      <c r="B43" s="22">
        <v>45325.3333333333</v>
      </c>
      <c r="C43" s="10">
        <f t="shared" si="0"/>
        <v>199</v>
      </c>
      <c r="D43" s="10">
        <v>1</v>
      </c>
      <c r="E43" s="10">
        <v>199</v>
      </c>
    </row>
    <row r="44" ht="16.5" spans="1:5">
      <c r="A44" s="10" t="s">
        <v>44</v>
      </c>
      <c r="B44" s="22">
        <v>45325.9166666667</v>
      </c>
      <c r="C44" s="10">
        <f t="shared" si="0"/>
        <v>1497</v>
      </c>
      <c r="D44" s="10">
        <v>3</v>
      </c>
      <c r="E44" s="10">
        <v>499</v>
      </c>
    </row>
    <row r="45" ht="16.5" spans="1:5">
      <c r="A45" s="10" t="s">
        <v>68</v>
      </c>
      <c r="B45" s="22">
        <v>45326.2916666667</v>
      </c>
      <c r="C45" s="10">
        <f t="shared" si="0"/>
        <v>1995</v>
      </c>
      <c r="D45" s="10">
        <v>5</v>
      </c>
      <c r="E45" s="10">
        <v>399</v>
      </c>
    </row>
    <row r="46" ht="16.5" spans="1:5">
      <c r="A46" s="10" t="s">
        <v>68</v>
      </c>
      <c r="B46" s="22">
        <v>45326.6666666667</v>
      </c>
      <c r="C46" s="10">
        <f t="shared" si="0"/>
        <v>379</v>
      </c>
      <c r="D46" s="10">
        <v>1</v>
      </c>
      <c r="E46" s="10">
        <v>379</v>
      </c>
    </row>
    <row r="47" ht="16.5" spans="1:5">
      <c r="A47" s="10" t="s">
        <v>38</v>
      </c>
      <c r="B47" s="22">
        <v>45327.8333333333</v>
      </c>
      <c r="C47" s="10">
        <f t="shared" si="0"/>
        <v>398</v>
      </c>
      <c r="D47" s="10">
        <v>2</v>
      </c>
      <c r="E47" s="10">
        <v>199</v>
      </c>
    </row>
    <row r="48" ht="16.5" spans="1:5">
      <c r="A48" s="10" t="s">
        <v>38</v>
      </c>
      <c r="B48" s="22">
        <v>45328.5</v>
      </c>
      <c r="C48" s="10">
        <f t="shared" si="0"/>
        <v>597</v>
      </c>
      <c r="D48" s="10">
        <v>3</v>
      </c>
      <c r="E48" s="10">
        <v>199</v>
      </c>
    </row>
    <row r="49" ht="16.5" spans="1:5">
      <c r="A49" s="10" t="s">
        <v>78</v>
      </c>
      <c r="B49" s="22">
        <v>45329.375</v>
      </c>
      <c r="C49" s="10">
        <f t="shared" si="0"/>
        <v>399</v>
      </c>
      <c r="D49" s="10">
        <v>1</v>
      </c>
      <c r="E49" s="10">
        <v>399</v>
      </c>
    </row>
    <row r="50" ht="16.5" spans="1:5">
      <c r="A50" s="10" t="s">
        <v>32</v>
      </c>
      <c r="B50" s="22">
        <v>45329.375</v>
      </c>
      <c r="C50" s="10">
        <f t="shared" si="0"/>
        <v>398</v>
      </c>
      <c r="D50" s="10">
        <v>2</v>
      </c>
      <c r="E50" s="10">
        <v>199</v>
      </c>
    </row>
    <row r="51" ht="16.5" spans="1:5">
      <c r="A51" s="10" t="s">
        <v>54</v>
      </c>
      <c r="B51" s="22">
        <v>45329.5416666667</v>
      </c>
      <c r="C51" s="10">
        <f t="shared" si="0"/>
        <v>249</v>
      </c>
      <c r="D51" s="10">
        <v>1</v>
      </c>
      <c r="E51" s="10">
        <v>249</v>
      </c>
    </row>
    <row r="52" ht="16.5" spans="1:5">
      <c r="A52" s="10" t="s">
        <v>38</v>
      </c>
      <c r="B52" s="22">
        <v>45329.8333333333</v>
      </c>
      <c r="C52" s="10">
        <f t="shared" si="0"/>
        <v>349</v>
      </c>
      <c r="D52" s="10">
        <v>1</v>
      </c>
      <c r="E52" s="10">
        <v>349</v>
      </c>
    </row>
    <row r="53" ht="16.5" spans="1:5">
      <c r="A53" s="10" t="s">
        <v>54</v>
      </c>
      <c r="B53" s="22">
        <v>45329.875</v>
      </c>
      <c r="C53" s="10">
        <f t="shared" si="0"/>
        <v>698</v>
      </c>
      <c r="D53" s="10">
        <v>2</v>
      </c>
      <c r="E53" s="10">
        <v>349</v>
      </c>
    </row>
    <row r="54" ht="16.5" spans="1:5">
      <c r="A54" s="10" t="s">
        <v>32</v>
      </c>
      <c r="B54" s="22">
        <v>45331.375</v>
      </c>
      <c r="C54" s="10">
        <f t="shared" si="0"/>
        <v>5995</v>
      </c>
      <c r="D54" s="10">
        <v>5</v>
      </c>
      <c r="E54" s="10">
        <v>1199</v>
      </c>
    </row>
    <row r="55" ht="16.5" spans="1:5">
      <c r="A55" s="10" t="s">
        <v>78</v>
      </c>
      <c r="B55" s="22">
        <v>45331.75</v>
      </c>
      <c r="C55" s="10">
        <f t="shared" si="0"/>
        <v>2697</v>
      </c>
      <c r="D55" s="10">
        <v>3</v>
      </c>
      <c r="E55" s="10">
        <v>899</v>
      </c>
    </row>
    <row r="56" ht="16.5" spans="1:5">
      <c r="A56" s="10" t="s">
        <v>32</v>
      </c>
      <c r="B56" s="22">
        <v>45331.875</v>
      </c>
      <c r="C56" s="10">
        <f t="shared" si="0"/>
        <v>899</v>
      </c>
      <c r="D56" s="10">
        <v>1</v>
      </c>
      <c r="E56" s="10">
        <v>899</v>
      </c>
    </row>
    <row r="57" ht="16.5" spans="1:5">
      <c r="A57" s="10" t="s">
        <v>44</v>
      </c>
      <c r="B57" s="22">
        <v>45335.5416666667</v>
      </c>
      <c r="C57" s="10">
        <f t="shared" si="0"/>
        <v>1745</v>
      </c>
      <c r="D57" s="10">
        <v>5</v>
      </c>
      <c r="E57" s="10">
        <v>349</v>
      </c>
    </row>
    <row r="58" ht="16.5" spans="1:5">
      <c r="A58" s="10" t="s">
        <v>78</v>
      </c>
      <c r="B58" s="22">
        <v>45335.6666666667</v>
      </c>
      <c r="C58" s="10">
        <f t="shared" si="0"/>
        <v>2495</v>
      </c>
      <c r="D58" s="10">
        <v>5</v>
      </c>
      <c r="E58" s="10">
        <v>499</v>
      </c>
    </row>
    <row r="59" ht="16.5" spans="1:5">
      <c r="A59" s="10" t="s">
        <v>78</v>
      </c>
      <c r="B59" s="22">
        <v>45335.875</v>
      </c>
      <c r="C59" s="10">
        <f t="shared" si="0"/>
        <v>996</v>
      </c>
      <c r="D59" s="10">
        <v>4</v>
      </c>
      <c r="E59" s="10">
        <v>249</v>
      </c>
    </row>
    <row r="60" ht="16.5" spans="1:5">
      <c r="A60" s="10" t="s">
        <v>38</v>
      </c>
      <c r="B60" s="22">
        <v>45336.2916666667</v>
      </c>
      <c r="C60" s="10">
        <f t="shared" si="0"/>
        <v>1798</v>
      </c>
      <c r="D60" s="10">
        <v>2</v>
      </c>
      <c r="E60" s="10">
        <v>899</v>
      </c>
    </row>
    <row r="61" ht="16.5" spans="1:5">
      <c r="A61" s="10" t="s">
        <v>63</v>
      </c>
      <c r="B61" s="22">
        <v>45336.4583333333</v>
      </c>
      <c r="C61" s="10">
        <f t="shared" si="0"/>
        <v>2596</v>
      </c>
      <c r="D61" s="10">
        <v>4</v>
      </c>
      <c r="E61" s="10">
        <v>649</v>
      </c>
    </row>
    <row r="62" ht="16.5" spans="1:5">
      <c r="A62" s="10" t="s">
        <v>38</v>
      </c>
      <c r="B62" s="22">
        <v>45336.7916666667</v>
      </c>
      <c r="C62" s="10">
        <f t="shared" si="0"/>
        <v>499</v>
      </c>
      <c r="D62" s="10">
        <v>1</v>
      </c>
      <c r="E62" s="10">
        <v>499</v>
      </c>
    </row>
    <row r="63" ht="16.5" spans="1:5">
      <c r="A63" s="10" t="s">
        <v>54</v>
      </c>
      <c r="B63" s="22">
        <v>45337.9583333333</v>
      </c>
      <c r="C63" s="10">
        <f t="shared" si="0"/>
        <v>449</v>
      </c>
      <c r="D63" s="10">
        <v>1</v>
      </c>
      <c r="E63" s="10">
        <v>449</v>
      </c>
    </row>
    <row r="64" ht="16.5" spans="1:5">
      <c r="A64" s="10" t="s">
        <v>101</v>
      </c>
      <c r="B64" s="22">
        <v>45338.8333333333</v>
      </c>
      <c r="C64" s="10">
        <f t="shared" si="0"/>
        <v>2495</v>
      </c>
      <c r="D64" s="10">
        <v>5</v>
      </c>
      <c r="E64" s="10">
        <v>499</v>
      </c>
    </row>
    <row r="65" ht="16.5" spans="1:5">
      <c r="A65" s="10" t="s">
        <v>38</v>
      </c>
      <c r="B65" s="22">
        <v>45339.5</v>
      </c>
      <c r="C65" s="10">
        <f t="shared" si="0"/>
        <v>449</v>
      </c>
      <c r="D65" s="10">
        <v>1</v>
      </c>
      <c r="E65" s="10">
        <v>449</v>
      </c>
    </row>
    <row r="66" ht="16.5" spans="1:5">
      <c r="A66" s="10" t="s">
        <v>44</v>
      </c>
      <c r="B66" s="22">
        <v>45340.75</v>
      </c>
      <c r="C66" s="10">
        <f t="shared" ref="C66:C129" si="1">D66*E66</f>
        <v>995</v>
      </c>
      <c r="D66" s="10">
        <v>5</v>
      </c>
      <c r="E66" s="10">
        <v>199</v>
      </c>
    </row>
    <row r="67" ht="16.5" spans="1:5">
      <c r="A67" s="10" t="s">
        <v>32</v>
      </c>
      <c r="B67" s="22">
        <v>45341.5</v>
      </c>
      <c r="C67" s="10">
        <f t="shared" si="1"/>
        <v>299</v>
      </c>
      <c r="D67" s="10">
        <v>1</v>
      </c>
      <c r="E67" s="10">
        <v>299</v>
      </c>
    </row>
    <row r="68" ht="16.5" spans="1:5">
      <c r="A68" s="10" t="s">
        <v>68</v>
      </c>
      <c r="B68" s="22">
        <v>45342.2916666667</v>
      </c>
      <c r="C68" s="10">
        <f t="shared" si="1"/>
        <v>14995</v>
      </c>
      <c r="D68" s="10">
        <v>5</v>
      </c>
      <c r="E68" s="10">
        <v>2999</v>
      </c>
    </row>
    <row r="69" ht="16.5" spans="1:5">
      <c r="A69" s="10" t="s">
        <v>32</v>
      </c>
      <c r="B69" s="22">
        <v>45342.75</v>
      </c>
      <c r="C69" s="10">
        <f t="shared" si="1"/>
        <v>349</v>
      </c>
      <c r="D69" s="10">
        <v>1</v>
      </c>
      <c r="E69" s="10">
        <v>349</v>
      </c>
    </row>
    <row r="70" ht="16.5" spans="1:5">
      <c r="A70" s="10" t="s">
        <v>63</v>
      </c>
      <c r="B70" s="22">
        <v>45343.875</v>
      </c>
      <c r="C70" s="10">
        <f t="shared" si="1"/>
        <v>798</v>
      </c>
      <c r="D70" s="10">
        <v>2</v>
      </c>
      <c r="E70" s="10">
        <v>399</v>
      </c>
    </row>
    <row r="71" ht="16.5" spans="1:5">
      <c r="A71" s="10" t="s">
        <v>68</v>
      </c>
      <c r="B71" s="22">
        <v>45347.5833333333</v>
      </c>
      <c r="C71" s="10">
        <f t="shared" si="1"/>
        <v>1198</v>
      </c>
      <c r="D71" s="10">
        <v>2</v>
      </c>
      <c r="E71" s="10">
        <v>599</v>
      </c>
    </row>
    <row r="72" ht="16.5" spans="1:5">
      <c r="A72" s="10" t="s">
        <v>68</v>
      </c>
      <c r="B72" s="22">
        <v>45347.6666666667</v>
      </c>
      <c r="C72" s="10">
        <f t="shared" si="1"/>
        <v>2596</v>
      </c>
      <c r="D72" s="10">
        <v>4</v>
      </c>
      <c r="E72" s="10">
        <v>649</v>
      </c>
    </row>
    <row r="73" ht="16.5" spans="1:5">
      <c r="A73" s="10" t="s">
        <v>68</v>
      </c>
      <c r="B73" s="22">
        <v>45347.75</v>
      </c>
      <c r="C73" s="10">
        <f t="shared" si="1"/>
        <v>349</v>
      </c>
      <c r="D73" s="10">
        <v>1</v>
      </c>
      <c r="E73" s="10">
        <v>349</v>
      </c>
    </row>
    <row r="74" ht="16.5" spans="1:5">
      <c r="A74" s="10" t="s">
        <v>44</v>
      </c>
      <c r="B74" s="22">
        <v>45347.7916666667</v>
      </c>
      <c r="C74" s="10">
        <f t="shared" si="1"/>
        <v>399</v>
      </c>
      <c r="D74" s="10">
        <v>1</v>
      </c>
      <c r="E74" s="10">
        <v>399</v>
      </c>
    </row>
    <row r="75" ht="16.5" spans="1:5">
      <c r="A75" s="10" t="s">
        <v>78</v>
      </c>
      <c r="B75" s="22">
        <v>45348.4166666667</v>
      </c>
      <c r="C75" s="10">
        <f t="shared" si="1"/>
        <v>3597</v>
      </c>
      <c r="D75" s="10">
        <v>3</v>
      </c>
      <c r="E75" s="10">
        <v>1199</v>
      </c>
    </row>
    <row r="76" ht="16.5" spans="1:5">
      <c r="A76" s="10" t="s">
        <v>38</v>
      </c>
      <c r="B76" s="22">
        <v>45348.9166666667</v>
      </c>
      <c r="C76" s="10">
        <f t="shared" si="1"/>
        <v>5998</v>
      </c>
      <c r="D76" s="10">
        <v>2</v>
      </c>
      <c r="E76" s="10">
        <v>2999</v>
      </c>
    </row>
    <row r="77" ht="16.5" spans="1:5">
      <c r="A77" s="10" t="s">
        <v>101</v>
      </c>
      <c r="B77" s="22">
        <v>45350.5416666667</v>
      </c>
      <c r="C77" s="10">
        <f t="shared" si="1"/>
        <v>5196</v>
      </c>
      <c r="D77" s="10">
        <v>4</v>
      </c>
      <c r="E77" s="10">
        <v>1299</v>
      </c>
    </row>
    <row r="78" ht="16.5" spans="1:5">
      <c r="A78" s="10" t="s">
        <v>32</v>
      </c>
      <c r="B78" s="22">
        <v>45351.2916666667</v>
      </c>
      <c r="C78" s="10">
        <f t="shared" si="1"/>
        <v>598</v>
      </c>
      <c r="D78" s="10">
        <v>2</v>
      </c>
      <c r="E78" s="10">
        <v>299</v>
      </c>
    </row>
    <row r="79" ht="16.5" spans="1:5">
      <c r="A79" s="10" t="s">
        <v>32</v>
      </c>
      <c r="B79" s="22">
        <v>45351.5</v>
      </c>
      <c r="C79" s="10">
        <f t="shared" si="1"/>
        <v>349</v>
      </c>
      <c r="D79" s="10">
        <v>1</v>
      </c>
      <c r="E79" s="10">
        <v>349</v>
      </c>
    </row>
    <row r="80" ht="16.5" spans="1:5">
      <c r="A80" s="10" t="s">
        <v>44</v>
      </c>
      <c r="B80" s="22">
        <v>45352.4166666667</v>
      </c>
      <c r="C80" s="10">
        <f t="shared" si="1"/>
        <v>598</v>
      </c>
      <c r="D80" s="10">
        <v>2</v>
      </c>
      <c r="E80" s="10">
        <v>299</v>
      </c>
    </row>
    <row r="81" ht="16.5" spans="1:5">
      <c r="A81" s="10" t="s">
        <v>63</v>
      </c>
      <c r="B81" s="22">
        <v>45352.6666666667</v>
      </c>
      <c r="C81" s="10">
        <f t="shared" si="1"/>
        <v>1398</v>
      </c>
      <c r="D81" s="10">
        <v>2</v>
      </c>
      <c r="E81" s="10">
        <v>699</v>
      </c>
    </row>
    <row r="82" ht="16.5" spans="1:5">
      <c r="A82" s="10" t="s">
        <v>68</v>
      </c>
      <c r="B82" s="22">
        <v>45353.625</v>
      </c>
      <c r="C82" s="10">
        <f t="shared" si="1"/>
        <v>398</v>
      </c>
      <c r="D82" s="10">
        <v>2</v>
      </c>
      <c r="E82" s="10">
        <v>199</v>
      </c>
    </row>
    <row r="83" ht="16.5" spans="1:5">
      <c r="A83" s="10" t="s">
        <v>44</v>
      </c>
      <c r="B83" s="22">
        <v>45353.6666666667</v>
      </c>
      <c r="C83" s="10">
        <f t="shared" si="1"/>
        <v>1996</v>
      </c>
      <c r="D83" s="10">
        <v>4</v>
      </c>
      <c r="E83" s="10">
        <v>499</v>
      </c>
    </row>
    <row r="84" ht="16.5" spans="1:5">
      <c r="A84" s="10" t="s">
        <v>38</v>
      </c>
      <c r="B84" s="22">
        <v>45354.375</v>
      </c>
      <c r="C84" s="10">
        <f t="shared" si="1"/>
        <v>1398</v>
      </c>
      <c r="D84" s="10">
        <v>2</v>
      </c>
      <c r="E84" s="10">
        <v>699</v>
      </c>
    </row>
    <row r="85" ht="16.5" spans="1:5">
      <c r="A85" s="10" t="s">
        <v>101</v>
      </c>
      <c r="B85" s="22">
        <v>45355.7083333333</v>
      </c>
      <c r="C85" s="10">
        <f t="shared" si="1"/>
        <v>299</v>
      </c>
      <c r="D85" s="10">
        <v>1</v>
      </c>
      <c r="E85" s="10">
        <v>299</v>
      </c>
    </row>
    <row r="86" ht="16.5" spans="1:5">
      <c r="A86" s="10" t="s">
        <v>63</v>
      </c>
      <c r="B86" s="22">
        <v>45357.875</v>
      </c>
      <c r="C86" s="10">
        <f t="shared" si="1"/>
        <v>495</v>
      </c>
      <c r="D86" s="10">
        <v>5</v>
      </c>
      <c r="E86" s="10">
        <v>99</v>
      </c>
    </row>
    <row r="87" ht="16.5" spans="1:5">
      <c r="A87" s="10" t="s">
        <v>78</v>
      </c>
      <c r="B87" s="22">
        <v>45359.5</v>
      </c>
      <c r="C87" s="10">
        <f t="shared" si="1"/>
        <v>3597</v>
      </c>
      <c r="D87" s="10">
        <v>3</v>
      </c>
      <c r="E87" s="10">
        <v>1199</v>
      </c>
    </row>
    <row r="88" ht="16.5" spans="1:5">
      <c r="A88" s="10" t="s">
        <v>68</v>
      </c>
      <c r="B88" s="22">
        <v>45359.9166666667</v>
      </c>
      <c r="C88" s="10">
        <f t="shared" si="1"/>
        <v>758</v>
      </c>
      <c r="D88" s="10">
        <v>2</v>
      </c>
      <c r="E88" s="10">
        <v>379</v>
      </c>
    </row>
    <row r="89" ht="16.5" spans="1:5">
      <c r="A89" s="10" t="s">
        <v>101</v>
      </c>
      <c r="B89" s="22">
        <v>45360.5</v>
      </c>
      <c r="C89" s="10">
        <f t="shared" si="1"/>
        <v>1396</v>
      </c>
      <c r="D89" s="10">
        <v>4</v>
      </c>
      <c r="E89" s="10">
        <v>349</v>
      </c>
    </row>
    <row r="90" ht="16.5" spans="1:5">
      <c r="A90" s="10" t="s">
        <v>38</v>
      </c>
      <c r="B90" s="22">
        <v>45360.7083333333</v>
      </c>
      <c r="C90" s="10">
        <f t="shared" si="1"/>
        <v>1047</v>
      </c>
      <c r="D90" s="10">
        <v>3</v>
      </c>
      <c r="E90" s="10">
        <v>349</v>
      </c>
    </row>
    <row r="91" ht="16.5" spans="1:5">
      <c r="A91" s="10" t="s">
        <v>38</v>
      </c>
      <c r="B91" s="22">
        <v>45363.75</v>
      </c>
      <c r="C91" s="10">
        <f t="shared" si="1"/>
        <v>998</v>
      </c>
      <c r="D91" s="10">
        <v>2</v>
      </c>
      <c r="E91" s="10">
        <v>499</v>
      </c>
    </row>
    <row r="92" ht="16.5" spans="1:5">
      <c r="A92" s="10" t="s">
        <v>54</v>
      </c>
      <c r="B92" s="22">
        <v>45363.9166666667</v>
      </c>
      <c r="C92" s="10">
        <f t="shared" si="1"/>
        <v>99</v>
      </c>
      <c r="D92" s="10">
        <v>1</v>
      </c>
      <c r="E92" s="10">
        <v>99</v>
      </c>
    </row>
    <row r="93" ht="16.5" spans="1:5">
      <c r="A93" s="10" t="s">
        <v>101</v>
      </c>
      <c r="B93" s="22">
        <v>45367.4166666667</v>
      </c>
      <c r="C93" s="10">
        <f t="shared" si="1"/>
        <v>1198</v>
      </c>
      <c r="D93" s="10">
        <v>2</v>
      </c>
      <c r="E93" s="10">
        <v>599</v>
      </c>
    </row>
    <row r="94" ht="16.5" spans="1:5">
      <c r="A94" s="10" t="s">
        <v>44</v>
      </c>
      <c r="B94" s="22">
        <v>45367.7916666667</v>
      </c>
      <c r="C94" s="10">
        <f t="shared" si="1"/>
        <v>1996</v>
      </c>
      <c r="D94" s="10">
        <v>4</v>
      </c>
      <c r="E94" s="10">
        <v>499</v>
      </c>
    </row>
    <row r="95" ht="16.5" spans="1:5">
      <c r="A95" s="10" t="s">
        <v>68</v>
      </c>
      <c r="B95" s="22">
        <v>45367.9583333333</v>
      </c>
      <c r="C95" s="10">
        <f t="shared" si="1"/>
        <v>597</v>
      </c>
      <c r="D95" s="10">
        <v>3</v>
      </c>
      <c r="E95" s="10">
        <v>199</v>
      </c>
    </row>
    <row r="96" ht="16.5" spans="1:5">
      <c r="A96" s="10" t="s">
        <v>44</v>
      </c>
      <c r="B96" s="22">
        <v>45368.4166666667</v>
      </c>
      <c r="C96" s="10">
        <f t="shared" si="1"/>
        <v>199</v>
      </c>
      <c r="D96" s="10">
        <v>1</v>
      </c>
      <c r="E96" s="10">
        <v>199</v>
      </c>
    </row>
    <row r="97" ht="16.5" spans="1:5">
      <c r="A97" s="10" t="s">
        <v>38</v>
      </c>
      <c r="B97" s="22">
        <v>45368.5416666667</v>
      </c>
      <c r="C97" s="10">
        <f t="shared" si="1"/>
        <v>14995</v>
      </c>
      <c r="D97" s="10">
        <v>5</v>
      </c>
      <c r="E97" s="10">
        <v>2999</v>
      </c>
    </row>
    <row r="98" ht="16.5" spans="1:5">
      <c r="A98" s="10" t="s">
        <v>54</v>
      </c>
      <c r="B98" s="22">
        <v>45370.75</v>
      </c>
      <c r="C98" s="10">
        <f t="shared" si="1"/>
        <v>3597</v>
      </c>
      <c r="D98" s="10">
        <v>3</v>
      </c>
      <c r="E98" s="10">
        <v>1199</v>
      </c>
    </row>
    <row r="99" ht="16.5" spans="1:5">
      <c r="A99" s="10" t="s">
        <v>44</v>
      </c>
      <c r="B99" s="22">
        <v>45372.3333333333</v>
      </c>
      <c r="C99" s="10">
        <f t="shared" si="1"/>
        <v>2596</v>
      </c>
      <c r="D99" s="10">
        <v>4</v>
      </c>
      <c r="E99" s="10">
        <v>649</v>
      </c>
    </row>
    <row r="100" ht="16.5" spans="1:5">
      <c r="A100" s="10" t="s">
        <v>44</v>
      </c>
      <c r="B100" s="22">
        <v>45373.5416666667</v>
      </c>
      <c r="C100" s="10">
        <f t="shared" si="1"/>
        <v>1798</v>
      </c>
      <c r="D100" s="10">
        <v>2</v>
      </c>
      <c r="E100" s="10">
        <v>899</v>
      </c>
    </row>
    <row r="101" ht="16.5" spans="1:5">
      <c r="A101" s="10" t="s">
        <v>101</v>
      </c>
      <c r="B101" s="22">
        <v>45373.6666666667</v>
      </c>
      <c r="C101" s="10">
        <f t="shared" si="1"/>
        <v>198</v>
      </c>
      <c r="D101" s="10">
        <v>2</v>
      </c>
      <c r="E101" s="10">
        <v>99</v>
      </c>
    </row>
    <row r="102" ht="16.5" spans="1:5">
      <c r="A102" s="10" t="s">
        <v>101</v>
      </c>
      <c r="B102" s="22">
        <v>45373.6666666667</v>
      </c>
      <c r="C102" s="10">
        <f t="shared" si="1"/>
        <v>3995</v>
      </c>
      <c r="D102" s="10">
        <v>5</v>
      </c>
      <c r="E102" s="10">
        <v>799</v>
      </c>
    </row>
    <row r="103" ht="16.5" spans="1:5">
      <c r="A103" s="10" t="s">
        <v>54</v>
      </c>
      <c r="B103" s="22">
        <v>45374.5416666667</v>
      </c>
      <c r="C103" s="10">
        <f t="shared" si="1"/>
        <v>399</v>
      </c>
      <c r="D103" s="10">
        <v>1</v>
      </c>
      <c r="E103" s="10">
        <v>399</v>
      </c>
    </row>
    <row r="104" ht="16.5" spans="1:5">
      <c r="A104" s="10" t="s">
        <v>32</v>
      </c>
      <c r="B104" s="22">
        <v>45374.7916666667</v>
      </c>
      <c r="C104" s="10">
        <f t="shared" si="1"/>
        <v>398</v>
      </c>
      <c r="D104" s="10">
        <v>2</v>
      </c>
      <c r="E104" s="10">
        <v>199</v>
      </c>
    </row>
    <row r="105" ht="16.5" spans="1:5">
      <c r="A105" s="10" t="s">
        <v>38</v>
      </c>
      <c r="B105" s="22">
        <v>45374.9166666667</v>
      </c>
      <c r="C105" s="10">
        <f t="shared" si="1"/>
        <v>1299</v>
      </c>
      <c r="D105" s="10">
        <v>1</v>
      </c>
      <c r="E105" s="10">
        <v>1299</v>
      </c>
    </row>
    <row r="106" ht="16.5" spans="1:5">
      <c r="A106" s="10" t="s">
        <v>68</v>
      </c>
      <c r="B106" s="22">
        <v>45375.9583333333</v>
      </c>
      <c r="C106" s="10">
        <f t="shared" si="1"/>
        <v>1996</v>
      </c>
      <c r="D106" s="10">
        <v>4</v>
      </c>
      <c r="E106" s="10">
        <v>499</v>
      </c>
    </row>
    <row r="107" ht="16.5" spans="1:5">
      <c r="A107" s="10" t="s">
        <v>44</v>
      </c>
      <c r="B107" s="22">
        <v>45377.4583333333</v>
      </c>
      <c r="C107" s="10">
        <f t="shared" si="1"/>
        <v>1396</v>
      </c>
      <c r="D107" s="10">
        <v>4</v>
      </c>
      <c r="E107" s="10">
        <v>349</v>
      </c>
    </row>
    <row r="108" ht="16.5" spans="1:5">
      <c r="A108" s="10" t="s">
        <v>32</v>
      </c>
      <c r="B108" s="22">
        <v>45378.625</v>
      </c>
      <c r="C108" s="10">
        <f t="shared" si="1"/>
        <v>1047</v>
      </c>
      <c r="D108" s="10">
        <v>3</v>
      </c>
      <c r="E108" s="10">
        <v>349</v>
      </c>
    </row>
    <row r="109" ht="16.5" spans="1:5">
      <c r="A109" s="10" t="s">
        <v>38</v>
      </c>
      <c r="B109" s="22">
        <v>45378.625</v>
      </c>
      <c r="C109" s="10">
        <f t="shared" si="1"/>
        <v>1199</v>
      </c>
      <c r="D109" s="10">
        <v>1</v>
      </c>
      <c r="E109" s="10">
        <v>1199</v>
      </c>
    </row>
    <row r="110" ht="16.5" spans="1:5">
      <c r="A110" s="10" t="s">
        <v>38</v>
      </c>
      <c r="B110" s="22">
        <v>45378.7916666667</v>
      </c>
      <c r="C110" s="10">
        <f t="shared" si="1"/>
        <v>349</v>
      </c>
      <c r="D110" s="10">
        <v>1</v>
      </c>
      <c r="E110" s="10">
        <v>349</v>
      </c>
    </row>
    <row r="111" ht="16.5" spans="1:5">
      <c r="A111" s="10" t="s">
        <v>68</v>
      </c>
      <c r="B111" s="22">
        <v>45378.7916666667</v>
      </c>
      <c r="C111" s="10">
        <f t="shared" si="1"/>
        <v>597</v>
      </c>
      <c r="D111" s="10">
        <v>3</v>
      </c>
      <c r="E111" s="10">
        <v>199</v>
      </c>
    </row>
    <row r="112" ht="16.5" spans="1:5">
      <c r="A112" s="10" t="s">
        <v>54</v>
      </c>
      <c r="B112" s="22">
        <v>45381.7916666667</v>
      </c>
      <c r="C112" s="10">
        <f t="shared" si="1"/>
        <v>1996</v>
      </c>
      <c r="D112" s="10">
        <v>4</v>
      </c>
      <c r="E112" s="10">
        <v>499</v>
      </c>
    </row>
    <row r="113" ht="16.5" spans="1:5">
      <c r="A113" s="10" t="s">
        <v>44</v>
      </c>
      <c r="B113" s="22">
        <v>45382.375</v>
      </c>
      <c r="C113" s="10">
        <f t="shared" si="1"/>
        <v>2245</v>
      </c>
      <c r="D113" s="10">
        <v>5</v>
      </c>
      <c r="E113" s="10">
        <v>449</v>
      </c>
    </row>
    <row r="114" ht="16.5" spans="1:5">
      <c r="A114" s="10" t="s">
        <v>38</v>
      </c>
      <c r="B114" s="22">
        <v>45383.4583333333</v>
      </c>
      <c r="C114" s="10">
        <f t="shared" si="1"/>
        <v>11996</v>
      </c>
      <c r="D114" s="10">
        <v>4</v>
      </c>
      <c r="E114" s="10">
        <v>2999</v>
      </c>
    </row>
    <row r="115" ht="16.5" spans="1:5">
      <c r="A115" s="10" t="s">
        <v>63</v>
      </c>
      <c r="B115" s="22">
        <v>45383.875</v>
      </c>
      <c r="C115" s="10">
        <f t="shared" si="1"/>
        <v>698</v>
      </c>
      <c r="D115" s="10">
        <v>2</v>
      </c>
      <c r="E115" s="10">
        <v>349</v>
      </c>
    </row>
    <row r="116" ht="16.5" spans="1:5">
      <c r="A116" s="10" t="s">
        <v>78</v>
      </c>
      <c r="B116" s="22">
        <v>45385.6666666667</v>
      </c>
      <c r="C116" s="10">
        <f t="shared" si="1"/>
        <v>3495</v>
      </c>
      <c r="D116" s="10">
        <v>5</v>
      </c>
      <c r="E116" s="10">
        <v>699</v>
      </c>
    </row>
    <row r="117" ht="16.5" spans="1:5">
      <c r="A117" s="10" t="s">
        <v>54</v>
      </c>
      <c r="B117" s="22">
        <v>45389.75</v>
      </c>
      <c r="C117" s="10">
        <f t="shared" si="1"/>
        <v>9996</v>
      </c>
      <c r="D117" s="10">
        <v>4</v>
      </c>
      <c r="E117" s="10">
        <v>2499</v>
      </c>
    </row>
    <row r="118" ht="16.5" spans="1:5">
      <c r="A118" s="10" t="s">
        <v>54</v>
      </c>
      <c r="B118" s="22">
        <v>45390.75</v>
      </c>
      <c r="C118" s="10">
        <f t="shared" si="1"/>
        <v>14995</v>
      </c>
      <c r="D118" s="10">
        <v>5</v>
      </c>
      <c r="E118" s="10">
        <v>2999</v>
      </c>
    </row>
    <row r="119" ht="16.5" spans="1:5">
      <c r="A119" s="10" t="s">
        <v>38</v>
      </c>
      <c r="B119" s="22">
        <v>45391.625</v>
      </c>
      <c r="C119" s="10">
        <f t="shared" si="1"/>
        <v>798</v>
      </c>
      <c r="D119" s="10">
        <v>2</v>
      </c>
      <c r="E119" s="10">
        <v>399</v>
      </c>
    </row>
    <row r="120" ht="16.5" spans="1:5">
      <c r="A120" s="10" t="s">
        <v>68</v>
      </c>
      <c r="B120" s="22">
        <v>45392.5</v>
      </c>
      <c r="C120" s="10">
        <f t="shared" si="1"/>
        <v>2397</v>
      </c>
      <c r="D120" s="10">
        <v>3</v>
      </c>
      <c r="E120" s="10">
        <v>799</v>
      </c>
    </row>
    <row r="121" ht="16.5" spans="1:5">
      <c r="A121" s="10" t="s">
        <v>38</v>
      </c>
      <c r="B121" s="22">
        <v>45393.3333333333</v>
      </c>
      <c r="C121" s="10">
        <f t="shared" si="1"/>
        <v>1596</v>
      </c>
      <c r="D121" s="10">
        <v>4</v>
      </c>
      <c r="E121" s="10">
        <v>399</v>
      </c>
    </row>
    <row r="122" ht="16.5" spans="1:5">
      <c r="A122" s="10" t="s">
        <v>63</v>
      </c>
      <c r="B122" s="22">
        <v>45394.6666666667</v>
      </c>
      <c r="C122" s="10">
        <f t="shared" si="1"/>
        <v>449</v>
      </c>
      <c r="D122" s="10">
        <v>1</v>
      </c>
      <c r="E122" s="10">
        <v>449</v>
      </c>
    </row>
    <row r="123" ht="16.5" spans="1:5">
      <c r="A123" s="10" t="s">
        <v>44</v>
      </c>
      <c r="B123" s="22">
        <v>45396.4583333333</v>
      </c>
      <c r="C123" s="10">
        <f t="shared" si="1"/>
        <v>398</v>
      </c>
      <c r="D123" s="10">
        <v>2</v>
      </c>
      <c r="E123" s="10">
        <v>199</v>
      </c>
    </row>
    <row r="124" ht="16.5" spans="1:5">
      <c r="A124" s="10" t="s">
        <v>32</v>
      </c>
      <c r="B124" s="22">
        <v>45397.9166666667</v>
      </c>
      <c r="C124" s="10">
        <f t="shared" si="1"/>
        <v>1197</v>
      </c>
      <c r="D124" s="10">
        <v>3</v>
      </c>
      <c r="E124" s="10">
        <v>399</v>
      </c>
    </row>
    <row r="125" ht="16.5" spans="1:5">
      <c r="A125" s="10" t="s">
        <v>68</v>
      </c>
      <c r="B125" s="22">
        <v>45398.5416666667</v>
      </c>
      <c r="C125" s="10">
        <f t="shared" si="1"/>
        <v>1995</v>
      </c>
      <c r="D125" s="10">
        <v>5</v>
      </c>
      <c r="E125" s="10">
        <v>399</v>
      </c>
    </row>
    <row r="126" ht="16.5" spans="1:5">
      <c r="A126" s="10" t="s">
        <v>63</v>
      </c>
      <c r="B126" s="22">
        <v>45398.5833333333</v>
      </c>
      <c r="C126" s="10">
        <f t="shared" si="1"/>
        <v>758</v>
      </c>
      <c r="D126" s="10">
        <v>2</v>
      </c>
      <c r="E126" s="10">
        <v>379</v>
      </c>
    </row>
    <row r="127" ht="16.5" spans="1:5">
      <c r="A127" s="10" t="s">
        <v>44</v>
      </c>
      <c r="B127" s="22">
        <v>45400.5416666667</v>
      </c>
      <c r="C127" s="10">
        <f t="shared" si="1"/>
        <v>349</v>
      </c>
      <c r="D127" s="10">
        <v>1</v>
      </c>
      <c r="E127" s="10">
        <v>349</v>
      </c>
    </row>
    <row r="128" ht="16.5" spans="1:5">
      <c r="A128" s="10" t="s">
        <v>32</v>
      </c>
      <c r="B128" s="22">
        <v>45403.9583333333</v>
      </c>
      <c r="C128" s="10">
        <f t="shared" si="1"/>
        <v>1497</v>
      </c>
      <c r="D128" s="10">
        <v>3</v>
      </c>
      <c r="E128" s="10">
        <v>499</v>
      </c>
    </row>
    <row r="129" ht="16.5" spans="1:5">
      <c r="A129" s="10" t="s">
        <v>44</v>
      </c>
      <c r="B129" s="22">
        <v>45404.2916666667</v>
      </c>
      <c r="C129" s="10">
        <f t="shared" si="1"/>
        <v>399</v>
      </c>
      <c r="D129" s="10">
        <v>1</v>
      </c>
      <c r="E129" s="10">
        <v>399</v>
      </c>
    </row>
    <row r="130" ht="16.5" spans="1:5">
      <c r="A130" s="10" t="s">
        <v>44</v>
      </c>
      <c r="B130" s="22">
        <v>45405.8333333333</v>
      </c>
      <c r="C130" s="10">
        <f t="shared" ref="C130:C193" si="2">D130*E130</f>
        <v>1599</v>
      </c>
      <c r="D130" s="10">
        <v>1</v>
      </c>
      <c r="E130" s="10">
        <v>1599</v>
      </c>
    </row>
    <row r="131" ht="16.5" spans="1:5">
      <c r="A131" s="10" t="s">
        <v>38</v>
      </c>
      <c r="B131" s="22">
        <v>45407.3333333333</v>
      </c>
      <c r="C131" s="10">
        <f t="shared" si="2"/>
        <v>3596</v>
      </c>
      <c r="D131" s="10">
        <v>4</v>
      </c>
      <c r="E131" s="10">
        <v>899</v>
      </c>
    </row>
    <row r="132" ht="16.5" spans="1:5">
      <c r="A132" s="10" t="s">
        <v>63</v>
      </c>
      <c r="B132" s="22">
        <v>45407.4583333333</v>
      </c>
      <c r="C132" s="10">
        <f t="shared" si="2"/>
        <v>698</v>
      </c>
      <c r="D132" s="10">
        <v>2</v>
      </c>
      <c r="E132" s="10">
        <v>349</v>
      </c>
    </row>
    <row r="133" ht="16.5" spans="1:5">
      <c r="A133" s="10" t="s">
        <v>38</v>
      </c>
      <c r="B133" s="22">
        <v>45408.9166666667</v>
      </c>
      <c r="C133" s="10">
        <f t="shared" si="2"/>
        <v>2397</v>
      </c>
      <c r="D133" s="10">
        <v>3</v>
      </c>
      <c r="E133" s="10">
        <v>799</v>
      </c>
    </row>
    <row r="134" ht="16.5" spans="1:5">
      <c r="A134" s="10" t="s">
        <v>63</v>
      </c>
      <c r="B134" s="22">
        <v>45410.625</v>
      </c>
      <c r="C134" s="10">
        <f t="shared" si="2"/>
        <v>4495</v>
      </c>
      <c r="D134" s="10">
        <v>5</v>
      </c>
      <c r="E134" s="10">
        <v>899</v>
      </c>
    </row>
    <row r="135" ht="16.5" spans="1:5">
      <c r="A135" s="10" t="s">
        <v>32</v>
      </c>
      <c r="B135" s="22">
        <v>45410.7083333333</v>
      </c>
      <c r="C135" s="10">
        <f t="shared" si="2"/>
        <v>2796</v>
      </c>
      <c r="D135" s="10">
        <v>4</v>
      </c>
      <c r="E135" s="10">
        <v>699</v>
      </c>
    </row>
    <row r="136" ht="16.5" spans="1:5">
      <c r="A136" s="10" t="s">
        <v>38</v>
      </c>
      <c r="B136" s="22">
        <v>45410.75</v>
      </c>
      <c r="C136" s="10">
        <f t="shared" si="2"/>
        <v>995</v>
      </c>
      <c r="D136" s="10">
        <v>5</v>
      </c>
      <c r="E136" s="10">
        <v>199</v>
      </c>
    </row>
    <row r="137" ht="16.5" spans="1:5">
      <c r="A137" s="10" t="s">
        <v>68</v>
      </c>
      <c r="B137" s="22">
        <v>45410.875</v>
      </c>
      <c r="C137" s="10">
        <f t="shared" si="2"/>
        <v>1798</v>
      </c>
      <c r="D137" s="10">
        <v>2</v>
      </c>
      <c r="E137" s="10">
        <v>899</v>
      </c>
    </row>
    <row r="138" ht="16.5" spans="1:5">
      <c r="A138" s="10" t="s">
        <v>68</v>
      </c>
      <c r="B138" s="22">
        <v>45413.5416666667</v>
      </c>
      <c r="C138" s="10">
        <f t="shared" si="2"/>
        <v>1396</v>
      </c>
      <c r="D138" s="10">
        <v>4</v>
      </c>
      <c r="E138" s="10">
        <v>349</v>
      </c>
    </row>
    <row r="139" ht="16.5" spans="1:5">
      <c r="A139" s="10" t="s">
        <v>63</v>
      </c>
      <c r="B139" s="22">
        <v>45413.7916666667</v>
      </c>
      <c r="C139" s="10">
        <f t="shared" si="2"/>
        <v>1396</v>
      </c>
      <c r="D139" s="10">
        <v>4</v>
      </c>
      <c r="E139" s="10">
        <v>349</v>
      </c>
    </row>
    <row r="140" ht="16.5" spans="1:5">
      <c r="A140" s="10" t="s">
        <v>38</v>
      </c>
      <c r="B140" s="22">
        <v>45415.3333333333</v>
      </c>
      <c r="C140" s="10">
        <f t="shared" si="2"/>
        <v>597</v>
      </c>
      <c r="D140" s="10">
        <v>3</v>
      </c>
      <c r="E140" s="10">
        <v>199</v>
      </c>
    </row>
    <row r="141" ht="16.5" spans="1:5">
      <c r="A141" s="10" t="s">
        <v>32</v>
      </c>
      <c r="B141" s="22">
        <v>45415.7083333333</v>
      </c>
      <c r="C141" s="10">
        <f t="shared" si="2"/>
        <v>796</v>
      </c>
      <c r="D141" s="10">
        <v>4</v>
      </c>
      <c r="E141" s="10">
        <v>199</v>
      </c>
    </row>
    <row r="142" ht="16.5" spans="1:5">
      <c r="A142" s="10" t="s">
        <v>101</v>
      </c>
      <c r="B142" s="22">
        <v>45415.875</v>
      </c>
      <c r="C142" s="10">
        <f t="shared" si="2"/>
        <v>1745</v>
      </c>
      <c r="D142" s="10">
        <v>5</v>
      </c>
      <c r="E142" s="10">
        <v>349</v>
      </c>
    </row>
    <row r="143" ht="16.5" spans="1:5">
      <c r="A143" s="10" t="s">
        <v>101</v>
      </c>
      <c r="B143" s="22">
        <v>45416.75</v>
      </c>
      <c r="C143" s="10">
        <f t="shared" si="2"/>
        <v>998</v>
      </c>
      <c r="D143" s="10">
        <v>2</v>
      </c>
      <c r="E143" s="10">
        <v>499</v>
      </c>
    </row>
    <row r="144" ht="16.5" spans="1:5">
      <c r="A144" s="10" t="s">
        <v>54</v>
      </c>
      <c r="B144" s="22">
        <v>45418.375</v>
      </c>
      <c r="C144" s="10">
        <f t="shared" si="2"/>
        <v>449</v>
      </c>
      <c r="D144" s="10">
        <v>1</v>
      </c>
      <c r="E144" s="10">
        <v>449</v>
      </c>
    </row>
    <row r="145" ht="16.5" spans="1:5">
      <c r="A145" s="10" t="s">
        <v>38</v>
      </c>
      <c r="B145" s="22">
        <v>45418.6666666667</v>
      </c>
      <c r="C145" s="10">
        <f t="shared" si="2"/>
        <v>2796</v>
      </c>
      <c r="D145" s="10">
        <v>4</v>
      </c>
      <c r="E145" s="10">
        <v>699</v>
      </c>
    </row>
    <row r="146" ht="16.5" spans="1:5">
      <c r="A146" s="10" t="s">
        <v>78</v>
      </c>
      <c r="B146" s="22">
        <v>45418.75</v>
      </c>
      <c r="C146" s="10">
        <f t="shared" si="2"/>
        <v>597</v>
      </c>
      <c r="D146" s="10">
        <v>3</v>
      </c>
      <c r="E146" s="10">
        <v>199</v>
      </c>
    </row>
    <row r="147" ht="16.5" spans="1:5">
      <c r="A147" s="10" t="s">
        <v>32</v>
      </c>
      <c r="B147" s="22">
        <v>45418.8333333333</v>
      </c>
      <c r="C147" s="10">
        <f t="shared" si="2"/>
        <v>498</v>
      </c>
      <c r="D147" s="10">
        <v>2</v>
      </c>
      <c r="E147" s="10">
        <v>249</v>
      </c>
    </row>
    <row r="148" ht="16.5" spans="1:5">
      <c r="A148" s="10" t="s">
        <v>32</v>
      </c>
      <c r="B148" s="22">
        <v>45421.7083333333</v>
      </c>
      <c r="C148" s="10">
        <f t="shared" si="2"/>
        <v>1396</v>
      </c>
      <c r="D148" s="10">
        <v>4</v>
      </c>
      <c r="E148" s="10">
        <v>349</v>
      </c>
    </row>
    <row r="149" ht="16.5" spans="1:5">
      <c r="A149" s="10" t="s">
        <v>68</v>
      </c>
      <c r="B149" s="22">
        <v>45421.8333333333</v>
      </c>
      <c r="C149" s="10">
        <f t="shared" si="2"/>
        <v>1797</v>
      </c>
      <c r="D149" s="10">
        <v>3</v>
      </c>
      <c r="E149" s="10">
        <v>599</v>
      </c>
    </row>
    <row r="150" ht="16.5" spans="1:5">
      <c r="A150" s="10" t="s">
        <v>101</v>
      </c>
      <c r="B150" s="22">
        <v>45422.4583333333</v>
      </c>
      <c r="C150" s="10">
        <f t="shared" si="2"/>
        <v>698</v>
      </c>
      <c r="D150" s="10">
        <v>2</v>
      </c>
      <c r="E150" s="10">
        <v>349</v>
      </c>
    </row>
    <row r="151" ht="16.5" spans="1:5">
      <c r="A151" s="10" t="s">
        <v>78</v>
      </c>
      <c r="B151" s="22">
        <v>45422.625</v>
      </c>
      <c r="C151" s="10">
        <f t="shared" si="2"/>
        <v>5196</v>
      </c>
      <c r="D151" s="10">
        <v>4</v>
      </c>
      <c r="E151" s="10">
        <v>1299</v>
      </c>
    </row>
    <row r="152" ht="16.5" spans="1:5">
      <c r="A152" s="10" t="s">
        <v>101</v>
      </c>
      <c r="B152" s="22">
        <v>45423.4166666667</v>
      </c>
      <c r="C152" s="10">
        <f t="shared" si="2"/>
        <v>4796</v>
      </c>
      <c r="D152" s="10">
        <v>4</v>
      </c>
      <c r="E152" s="10">
        <v>1199</v>
      </c>
    </row>
    <row r="153" ht="16.5" spans="1:5">
      <c r="A153" s="10" t="s">
        <v>38</v>
      </c>
      <c r="B153" s="22">
        <v>45426.5416666667</v>
      </c>
      <c r="C153" s="10">
        <f t="shared" si="2"/>
        <v>1796</v>
      </c>
      <c r="D153" s="10">
        <v>4</v>
      </c>
      <c r="E153" s="10">
        <v>449</v>
      </c>
    </row>
    <row r="154" ht="16.5" spans="1:5">
      <c r="A154" s="10" t="s">
        <v>54</v>
      </c>
      <c r="B154" s="22">
        <v>45426.6666666667</v>
      </c>
      <c r="C154" s="10">
        <f t="shared" si="2"/>
        <v>1798</v>
      </c>
      <c r="D154" s="10">
        <v>2</v>
      </c>
      <c r="E154" s="10">
        <v>899</v>
      </c>
    </row>
    <row r="155" ht="16.5" spans="1:5">
      <c r="A155" s="10" t="s">
        <v>32</v>
      </c>
      <c r="B155" s="22">
        <v>45426.875</v>
      </c>
      <c r="C155" s="10">
        <f t="shared" si="2"/>
        <v>1298</v>
      </c>
      <c r="D155" s="10">
        <v>2</v>
      </c>
      <c r="E155" s="10">
        <v>649</v>
      </c>
    </row>
    <row r="156" ht="16.5" spans="1:5">
      <c r="A156" s="10" t="s">
        <v>38</v>
      </c>
      <c r="B156" s="22">
        <v>45429.2916666667</v>
      </c>
      <c r="C156" s="10">
        <f t="shared" si="2"/>
        <v>199</v>
      </c>
      <c r="D156" s="10">
        <v>1</v>
      </c>
      <c r="E156" s="10">
        <v>199</v>
      </c>
    </row>
    <row r="157" ht="16.5" spans="1:5">
      <c r="A157" s="10" t="s">
        <v>63</v>
      </c>
      <c r="B157" s="22">
        <v>45429.375</v>
      </c>
      <c r="C157" s="10">
        <f t="shared" si="2"/>
        <v>349</v>
      </c>
      <c r="D157" s="10">
        <v>1</v>
      </c>
      <c r="E157" s="10">
        <v>349</v>
      </c>
    </row>
    <row r="158" ht="16.5" spans="1:5">
      <c r="A158" s="10" t="s">
        <v>78</v>
      </c>
      <c r="B158" s="22">
        <v>45429.75</v>
      </c>
      <c r="C158" s="10">
        <f t="shared" si="2"/>
        <v>598</v>
      </c>
      <c r="D158" s="10">
        <v>2</v>
      </c>
      <c r="E158" s="10">
        <v>299</v>
      </c>
    </row>
    <row r="159" ht="16.5" spans="1:5">
      <c r="A159" s="10" t="s">
        <v>101</v>
      </c>
      <c r="B159" s="22">
        <v>45432.9583333333</v>
      </c>
      <c r="C159" s="10">
        <f t="shared" si="2"/>
        <v>349</v>
      </c>
      <c r="D159" s="10">
        <v>1</v>
      </c>
      <c r="E159" s="10">
        <v>349</v>
      </c>
    </row>
    <row r="160" ht="16.5" spans="1:5">
      <c r="A160" s="10" t="s">
        <v>32</v>
      </c>
      <c r="B160" s="22">
        <v>45433.7083333333</v>
      </c>
      <c r="C160" s="10">
        <f t="shared" si="2"/>
        <v>499</v>
      </c>
      <c r="D160" s="10">
        <v>1</v>
      </c>
      <c r="E160" s="10">
        <v>499</v>
      </c>
    </row>
    <row r="161" ht="16.5" spans="1:5">
      <c r="A161" s="10" t="s">
        <v>63</v>
      </c>
      <c r="B161" s="22">
        <v>45434.8333333333</v>
      </c>
      <c r="C161" s="10">
        <f t="shared" si="2"/>
        <v>1497</v>
      </c>
      <c r="D161" s="10">
        <v>3</v>
      </c>
      <c r="E161" s="10">
        <v>499</v>
      </c>
    </row>
    <row r="162" ht="16.5" spans="1:5">
      <c r="A162" s="10" t="s">
        <v>68</v>
      </c>
      <c r="B162" s="22">
        <v>45435.4166666667</v>
      </c>
      <c r="C162" s="10">
        <f t="shared" si="2"/>
        <v>1947</v>
      </c>
      <c r="D162" s="10">
        <v>3</v>
      </c>
      <c r="E162" s="10">
        <v>649</v>
      </c>
    </row>
    <row r="163" ht="16.5" spans="1:5">
      <c r="A163" s="10" t="s">
        <v>101</v>
      </c>
      <c r="B163" s="22">
        <v>45435.7083333333</v>
      </c>
      <c r="C163" s="10">
        <f t="shared" si="2"/>
        <v>1495</v>
      </c>
      <c r="D163" s="10">
        <v>5</v>
      </c>
      <c r="E163" s="10">
        <v>299</v>
      </c>
    </row>
    <row r="164" ht="16.5" spans="1:5">
      <c r="A164" s="10" t="s">
        <v>68</v>
      </c>
      <c r="B164" s="22">
        <v>45435.7916666667</v>
      </c>
      <c r="C164" s="10">
        <f t="shared" si="2"/>
        <v>798</v>
      </c>
      <c r="D164" s="10">
        <v>2</v>
      </c>
      <c r="E164" s="10">
        <v>399</v>
      </c>
    </row>
    <row r="165" ht="16.5" spans="1:5">
      <c r="A165" s="10" t="s">
        <v>63</v>
      </c>
      <c r="B165" s="22">
        <v>45436.5</v>
      </c>
      <c r="C165" s="10">
        <f t="shared" si="2"/>
        <v>499</v>
      </c>
      <c r="D165" s="10">
        <v>1</v>
      </c>
      <c r="E165" s="10">
        <v>499</v>
      </c>
    </row>
    <row r="166" ht="16.5" spans="1:5">
      <c r="A166" s="10" t="s">
        <v>78</v>
      </c>
      <c r="B166" s="22">
        <v>45437.7916666667</v>
      </c>
      <c r="C166" s="10">
        <f t="shared" si="2"/>
        <v>796</v>
      </c>
      <c r="D166" s="10">
        <v>4</v>
      </c>
      <c r="E166" s="10">
        <v>199</v>
      </c>
    </row>
    <row r="167" ht="16.5" spans="1:5">
      <c r="A167" s="10" t="s">
        <v>32</v>
      </c>
      <c r="B167" s="22">
        <v>45438.375</v>
      </c>
      <c r="C167" s="10">
        <f t="shared" si="2"/>
        <v>1197</v>
      </c>
      <c r="D167" s="10">
        <v>3</v>
      </c>
      <c r="E167" s="10">
        <v>399</v>
      </c>
    </row>
    <row r="168" ht="16.5" spans="1:5">
      <c r="A168" s="10" t="s">
        <v>63</v>
      </c>
      <c r="B168" s="22">
        <v>45438.9166666667</v>
      </c>
      <c r="C168" s="10">
        <f t="shared" si="2"/>
        <v>349</v>
      </c>
      <c r="D168" s="10">
        <v>1</v>
      </c>
      <c r="E168" s="10">
        <v>349</v>
      </c>
    </row>
    <row r="169" ht="16.5" spans="1:5">
      <c r="A169" s="10" t="s">
        <v>38</v>
      </c>
      <c r="B169" s="22">
        <v>45439.9583333333</v>
      </c>
      <c r="C169" s="10">
        <f t="shared" si="2"/>
        <v>396</v>
      </c>
      <c r="D169" s="10">
        <v>4</v>
      </c>
      <c r="E169" s="10">
        <v>99</v>
      </c>
    </row>
    <row r="170" ht="16.5" spans="1:5">
      <c r="A170" s="10" t="s">
        <v>38</v>
      </c>
      <c r="B170" s="22">
        <v>45440.7916666667</v>
      </c>
      <c r="C170" s="10">
        <f t="shared" si="2"/>
        <v>2397</v>
      </c>
      <c r="D170" s="10">
        <v>3</v>
      </c>
      <c r="E170" s="10">
        <v>799</v>
      </c>
    </row>
    <row r="171" ht="16.5" spans="1:5">
      <c r="A171" s="10" t="s">
        <v>63</v>
      </c>
      <c r="B171" s="22">
        <v>45441.625</v>
      </c>
      <c r="C171" s="10">
        <f t="shared" si="2"/>
        <v>1598</v>
      </c>
      <c r="D171" s="10">
        <v>2</v>
      </c>
      <c r="E171" s="10">
        <v>799</v>
      </c>
    </row>
    <row r="172" ht="16.5" spans="1:5">
      <c r="A172" s="10" t="s">
        <v>54</v>
      </c>
      <c r="B172" s="22">
        <v>45443.7916666667</v>
      </c>
      <c r="C172" s="10">
        <f t="shared" si="2"/>
        <v>349</v>
      </c>
      <c r="D172" s="10">
        <v>1</v>
      </c>
      <c r="E172" s="10">
        <v>349</v>
      </c>
    </row>
    <row r="173" ht="16.5" spans="1:5">
      <c r="A173" s="10" t="s">
        <v>44</v>
      </c>
      <c r="B173" s="22">
        <v>45445.4583333333</v>
      </c>
      <c r="C173" s="10">
        <f t="shared" si="2"/>
        <v>998</v>
      </c>
      <c r="D173" s="10">
        <v>2</v>
      </c>
      <c r="E173" s="10">
        <v>499</v>
      </c>
    </row>
    <row r="174" ht="16.5" spans="1:5">
      <c r="A174" s="10" t="s">
        <v>78</v>
      </c>
      <c r="B174" s="22">
        <v>45445.4583333333</v>
      </c>
      <c r="C174" s="10">
        <f t="shared" si="2"/>
        <v>3995</v>
      </c>
      <c r="D174" s="10">
        <v>5</v>
      </c>
      <c r="E174" s="10">
        <v>799</v>
      </c>
    </row>
    <row r="175" ht="16.5" spans="1:5">
      <c r="A175" s="10" t="s">
        <v>38</v>
      </c>
      <c r="B175" s="22">
        <v>45445.9166666667</v>
      </c>
      <c r="C175" s="10">
        <f t="shared" si="2"/>
        <v>1298</v>
      </c>
      <c r="D175" s="10">
        <v>2</v>
      </c>
      <c r="E175" s="10">
        <v>649</v>
      </c>
    </row>
    <row r="176" ht="16.5" spans="1:5">
      <c r="A176" s="10" t="s">
        <v>54</v>
      </c>
      <c r="B176" s="22">
        <v>45447.2916666667</v>
      </c>
      <c r="C176" s="10">
        <f t="shared" si="2"/>
        <v>349</v>
      </c>
      <c r="D176" s="10">
        <v>1</v>
      </c>
      <c r="E176" s="10">
        <v>349</v>
      </c>
    </row>
    <row r="177" ht="16.5" spans="1:5">
      <c r="A177" s="10" t="s">
        <v>54</v>
      </c>
      <c r="B177" s="22">
        <v>45448.375</v>
      </c>
      <c r="C177" s="10">
        <f t="shared" si="2"/>
        <v>7995</v>
      </c>
      <c r="D177" s="10">
        <v>5</v>
      </c>
      <c r="E177" s="10">
        <v>1599</v>
      </c>
    </row>
    <row r="178" ht="16.5" spans="1:5">
      <c r="A178" s="10" t="s">
        <v>78</v>
      </c>
      <c r="B178" s="22">
        <v>45448.5833333333</v>
      </c>
      <c r="C178" s="10">
        <f t="shared" si="2"/>
        <v>1137</v>
      </c>
      <c r="D178" s="10">
        <v>3</v>
      </c>
      <c r="E178" s="10">
        <v>379</v>
      </c>
    </row>
    <row r="179" ht="16.5" spans="1:5">
      <c r="A179" s="10" t="s">
        <v>44</v>
      </c>
      <c r="B179" s="22">
        <v>45449.2916666667</v>
      </c>
      <c r="C179" s="10">
        <f t="shared" si="2"/>
        <v>699</v>
      </c>
      <c r="D179" s="10">
        <v>1</v>
      </c>
      <c r="E179" s="10">
        <v>699</v>
      </c>
    </row>
    <row r="180" ht="16.5" spans="1:5">
      <c r="A180" s="10" t="s">
        <v>78</v>
      </c>
      <c r="B180" s="22">
        <v>45450.7916666667</v>
      </c>
      <c r="C180" s="10">
        <f t="shared" si="2"/>
        <v>199</v>
      </c>
      <c r="D180" s="10">
        <v>1</v>
      </c>
      <c r="E180" s="10">
        <v>199</v>
      </c>
    </row>
    <row r="181" ht="16.5" spans="1:5">
      <c r="A181" s="10" t="s">
        <v>101</v>
      </c>
      <c r="B181" s="22">
        <v>45450.875</v>
      </c>
      <c r="C181" s="10">
        <f t="shared" si="2"/>
        <v>1047</v>
      </c>
      <c r="D181" s="10">
        <v>3</v>
      </c>
      <c r="E181" s="10">
        <v>349</v>
      </c>
    </row>
    <row r="182" ht="16.5" spans="1:5">
      <c r="A182" s="10" t="s">
        <v>38</v>
      </c>
      <c r="B182" s="22">
        <v>45452.5</v>
      </c>
      <c r="C182" s="10">
        <f t="shared" si="2"/>
        <v>1996</v>
      </c>
      <c r="D182" s="10">
        <v>4</v>
      </c>
      <c r="E182" s="10">
        <v>499</v>
      </c>
    </row>
    <row r="183" ht="16.5" spans="1:5">
      <c r="A183" s="10" t="s">
        <v>54</v>
      </c>
      <c r="B183" s="22">
        <v>45453.6666666667</v>
      </c>
      <c r="C183" s="10">
        <f t="shared" si="2"/>
        <v>349</v>
      </c>
      <c r="D183" s="10">
        <v>1</v>
      </c>
      <c r="E183" s="10">
        <v>349</v>
      </c>
    </row>
    <row r="184" ht="16.5" spans="1:5">
      <c r="A184" s="10" t="s">
        <v>78</v>
      </c>
      <c r="B184" s="22">
        <v>45455.625</v>
      </c>
      <c r="C184" s="10">
        <f t="shared" si="2"/>
        <v>3196</v>
      </c>
      <c r="D184" s="10">
        <v>4</v>
      </c>
      <c r="E184" s="10">
        <v>799</v>
      </c>
    </row>
    <row r="185" ht="16.5" spans="1:5">
      <c r="A185" s="10" t="s">
        <v>32</v>
      </c>
      <c r="B185" s="22">
        <v>45459.2916666667</v>
      </c>
      <c r="C185" s="10">
        <f t="shared" si="2"/>
        <v>995</v>
      </c>
      <c r="D185" s="10">
        <v>5</v>
      </c>
      <c r="E185" s="10">
        <v>199</v>
      </c>
    </row>
    <row r="186" ht="16.5" spans="1:5">
      <c r="A186" s="10" t="s">
        <v>101</v>
      </c>
      <c r="B186" s="22">
        <v>45460.2916666667</v>
      </c>
      <c r="C186" s="10">
        <f t="shared" si="2"/>
        <v>2697</v>
      </c>
      <c r="D186" s="10">
        <v>3</v>
      </c>
      <c r="E186" s="10">
        <v>899</v>
      </c>
    </row>
    <row r="187" ht="16.5" spans="1:5">
      <c r="A187" s="10" t="s">
        <v>38</v>
      </c>
      <c r="B187" s="22">
        <v>45460.8333333333</v>
      </c>
      <c r="C187" s="10">
        <f t="shared" si="2"/>
        <v>698</v>
      </c>
      <c r="D187" s="10">
        <v>2</v>
      </c>
      <c r="E187" s="10">
        <v>349</v>
      </c>
    </row>
    <row r="188" ht="16.5" spans="1:5">
      <c r="A188" s="10" t="s">
        <v>63</v>
      </c>
      <c r="B188" s="22">
        <v>45461.6666666667</v>
      </c>
      <c r="C188" s="10">
        <f t="shared" si="2"/>
        <v>199</v>
      </c>
      <c r="D188" s="10">
        <v>1</v>
      </c>
      <c r="E188" s="10">
        <v>199</v>
      </c>
    </row>
    <row r="189" ht="16.5" spans="1:5">
      <c r="A189" s="10" t="s">
        <v>38</v>
      </c>
      <c r="B189" s="22">
        <v>45462.875</v>
      </c>
      <c r="C189" s="10">
        <f t="shared" si="2"/>
        <v>2596</v>
      </c>
      <c r="D189" s="10">
        <v>4</v>
      </c>
      <c r="E189" s="10">
        <v>649</v>
      </c>
    </row>
    <row r="190" ht="16.5" spans="1:5">
      <c r="A190" s="10" t="s">
        <v>101</v>
      </c>
      <c r="B190" s="22">
        <v>45463.625</v>
      </c>
      <c r="C190" s="10">
        <f t="shared" si="2"/>
        <v>698</v>
      </c>
      <c r="D190" s="10">
        <v>2</v>
      </c>
      <c r="E190" s="10">
        <v>349</v>
      </c>
    </row>
    <row r="191" ht="16.5" spans="1:5">
      <c r="A191" s="10" t="s">
        <v>101</v>
      </c>
      <c r="B191" s="22">
        <v>45464.625</v>
      </c>
      <c r="C191" s="10">
        <f t="shared" si="2"/>
        <v>299</v>
      </c>
      <c r="D191" s="10">
        <v>1</v>
      </c>
      <c r="E191" s="10">
        <v>299</v>
      </c>
    </row>
    <row r="192" ht="16.5" spans="1:5">
      <c r="A192" s="10" t="s">
        <v>54</v>
      </c>
      <c r="B192" s="22">
        <v>45466.2916666667</v>
      </c>
      <c r="C192" s="10">
        <f t="shared" si="2"/>
        <v>899</v>
      </c>
      <c r="D192" s="10">
        <v>1</v>
      </c>
      <c r="E192" s="10">
        <v>899</v>
      </c>
    </row>
    <row r="193" ht="16.5" spans="1:5">
      <c r="A193" s="10" t="s">
        <v>32</v>
      </c>
      <c r="B193" s="22">
        <v>45467.5416666667</v>
      </c>
      <c r="C193" s="10">
        <f t="shared" si="2"/>
        <v>4796</v>
      </c>
      <c r="D193" s="10">
        <v>4</v>
      </c>
      <c r="E193" s="10">
        <v>1199</v>
      </c>
    </row>
    <row r="194" ht="16.5" spans="1:5">
      <c r="A194" s="10" t="s">
        <v>44</v>
      </c>
      <c r="B194" s="22">
        <v>45467.5416666667</v>
      </c>
      <c r="C194" s="10">
        <f t="shared" ref="C194:C201" si="3">D194*E194</f>
        <v>1396</v>
      </c>
      <c r="D194" s="10">
        <v>4</v>
      </c>
      <c r="E194" s="10">
        <v>349</v>
      </c>
    </row>
    <row r="195" ht="16.5" spans="1:5">
      <c r="A195" s="10" t="s">
        <v>44</v>
      </c>
      <c r="B195" s="22">
        <v>45468.6666666667</v>
      </c>
      <c r="C195" s="10">
        <f t="shared" si="3"/>
        <v>598</v>
      </c>
      <c r="D195" s="10">
        <v>2</v>
      </c>
      <c r="E195" s="10">
        <v>299</v>
      </c>
    </row>
    <row r="196" ht="16.5" spans="1:5">
      <c r="A196" s="10" t="s">
        <v>63</v>
      </c>
      <c r="B196" s="22">
        <v>45469.7916666667</v>
      </c>
      <c r="C196" s="10">
        <f t="shared" si="3"/>
        <v>1798</v>
      </c>
      <c r="D196" s="10">
        <v>2</v>
      </c>
      <c r="E196" s="10">
        <v>899</v>
      </c>
    </row>
    <row r="197" ht="16.5" spans="1:5">
      <c r="A197" s="10" t="s">
        <v>32</v>
      </c>
      <c r="B197" s="22">
        <v>45470.8333333333</v>
      </c>
      <c r="C197" s="10">
        <f t="shared" si="3"/>
        <v>499</v>
      </c>
      <c r="D197" s="10">
        <v>1</v>
      </c>
      <c r="E197" s="10">
        <v>499</v>
      </c>
    </row>
    <row r="198" ht="16.5" spans="1:5">
      <c r="A198" s="10" t="s">
        <v>68</v>
      </c>
      <c r="B198" s="22">
        <v>45472.3333333333</v>
      </c>
      <c r="C198" s="10">
        <f t="shared" si="3"/>
        <v>1895</v>
      </c>
      <c r="D198" s="10">
        <v>5</v>
      </c>
      <c r="E198" s="10">
        <v>379</v>
      </c>
    </row>
    <row r="199" ht="16.5" spans="1:5">
      <c r="A199" s="10" t="s">
        <v>44</v>
      </c>
      <c r="B199" s="22">
        <v>45472.8333333333</v>
      </c>
      <c r="C199" s="10">
        <f t="shared" si="3"/>
        <v>396</v>
      </c>
      <c r="D199" s="10">
        <v>4</v>
      </c>
      <c r="E199" s="10">
        <v>99</v>
      </c>
    </row>
    <row r="200" ht="16.5" spans="1:5">
      <c r="A200" s="10" t="s">
        <v>32</v>
      </c>
      <c r="B200" s="22">
        <v>45473.6666666667</v>
      </c>
      <c r="C200" s="10">
        <f t="shared" si="3"/>
        <v>799</v>
      </c>
      <c r="D200" s="10">
        <v>1</v>
      </c>
      <c r="E200" s="10">
        <v>799</v>
      </c>
    </row>
    <row r="201" ht="16.5" spans="1:5">
      <c r="A201" s="10" t="s">
        <v>32</v>
      </c>
      <c r="B201" s="22">
        <v>45473.75</v>
      </c>
      <c r="C201" s="10">
        <f t="shared" si="3"/>
        <v>699</v>
      </c>
      <c r="D201" s="10">
        <v>1</v>
      </c>
      <c r="E201" s="10">
        <v>699</v>
      </c>
    </row>
    <row r="202" spans="1:5">
      <c r="A202" s="23"/>
      <c r="B202" s="24"/>
      <c r="D202" s="23"/>
      <c r="E202" s="23"/>
    </row>
  </sheetData>
  <autoFilter xmlns:etc="http://www.wps.cn/officeDocument/2017/etCustomData" ref="A1:C213" etc:filterBottomFollowUsedRange="0">
    <sortState ref="A1:C213">
      <sortCondition ref="B1"/>
    </sortState>
    <extLst/>
  </autoFilter>
  <conditionalFormatting sqref="C1:C201">
    <cfRule type="expression" dxfId="10" priority="1">
      <formula>MOD(ROW(),2)=0</formula>
    </cfRule>
  </conditionalFormatting>
  <conditionalFormatting sqref="A1:B201 D1:E201">
    <cfRule type="expression" dxfId="10" priority="2">
      <formula>MOD(ROW(),2)=0</formula>
    </cfRule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7" sqref="A7"/>
    </sheetView>
  </sheetViews>
  <sheetFormatPr defaultColWidth="9.14285714285714" defaultRowHeight="12.75"/>
  <cols>
    <col min="1" max="1" width="124" customWidth="1"/>
  </cols>
  <sheetData>
    <row r="1" ht="17.25" spans="1:1">
      <c r="A1" s="8" t="s">
        <v>16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workbookViewId="0">
      <selection activeCell="F18" sqref="F18"/>
    </sheetView>
  </sheetViews>
  <sheetFormatPr defaultColWidth="9.14285714285714" defaultRowHeight="12.75" outlineLevelCol="6"/>
  <cols>
    <col min="1" max="1" width="20.8571428571429" style="1" customWidth="1"/>
    <col min="2" max="2" width="6" customWidth="1"/>
    <col min="3" max="3" width="12.7142857142857" customWidth="1"/>
    <col min="4" max="4" width="20.5714285714286" customWidth="1"/>
    <col min="5" max="5" width="13.1428571428571" style="1" customWidth="1"/>
    <col min="6" max="6" width="14.5714285714286" style="2" customWidth="1"/>
    <col min="7" max="7" width="102.142857142857" customWidth="1"/>
  </cols>
  <sheetData>
    <row r="1" ht="18" spans="1:7">
      <c r="A1" s="3" t="s">
        <v>23</v>
      </c>
      <c r="B1" s="4" t="s">
        <v>24</v>
      </c>
      <c r="C1" s="4" t="s">
        <v>25</v>
      </c>
      <c r="D1" s="5" t="s">
        <v>374</v>
      </c>
      <c r="E1" s="6" t="s">
        <v>377</v>
      </c>
      <c r="F1" s="7"/>
      <c r="G1" s="8" t="s">
        <v>17</v>
      </c>
    </row>
    <row r="2" ht="16.5" spans="1:7">
      <c r="A2" s="9">
        <v>45292.3333333333</v>
      </c>
      <c r="B2" s="10">
        <v>2</v>
      </c>
      <c r="C2" s="10">
        <v>299</v>
      </c>
      <c r="D2" s="11">
        <f>C2*B2</f>
        <v>598</v>
      </c>
      <c r="E2" s="9">
        <v>45292</v>
      </c>
      <c r="F2" s="12">
        <f>SUM(D2:D37)</f>
        <v>56852</v>
      </c>
    </row>
    <row r="3" ht="16.5" spans="1:7">
      <c r="A3" s="9">
        <v>45292.9583333333</v>
      </c>
      <c r="B3" s="10">
        <v>2</v>
      </c>
      <c r="C3" s="10">
        <v>899</v>
      </c>
      <c r="D3" s="11">
        <f>C3*B3</f>
        <v>1798</v>
      </c>
      <c r="E3" s="9">
        <v>45323</v>
      </c>
      <c r="F3" s="12">
        <f>SUM(D38:D79)</f>
        <v>89277</v>
      </c>
    </row>
    <row r="4" ht="16.5" spans="1:7">
      <c r="A4" s="9">
        <v>45294.4583333333</v>
      </c>
      <c r="B4" s="10">
        <v>2</v>
      </c>
      <c r="C4" s="10">
        <v>899</v>
      </c>
      <c r="D4" s="11">
        <f>C4*B4</f>
        <v>1798</v>
      </c>
      <c r="E4" s="9">
        <v>45352</v>
      </c>
      <c r="F4" s="12">
        <f>SUM(D80:D113)</f>
        <v>85390</v>
      </c>
    </row>
    <row r="5" ht="16.5" spans="1:7">
      <c r="A5" s="9">
        <v>45295.3333333333</v>
      </c>
      <c r="B5" s="10">
        <v>4</v>
      </c>
      <c r="C5" s="10">
        <v>249</v>
      </c>
      <c r="D5" s="11">
        <f>C5*B5</f>
        <v>996</v>
      </c>
      <c r="E5" s="9">
        <v>45383</v>
      </c>
      <c r="F5" s="12">
        <f>SUM(D114:D137)</f>
        <v>40935</v>
      </c>
    </row>
    <row r="6" ht="16.5" spans="1:7">
      <c r="A6" s="9">
        <v>45295.4166666667</v>
      </c>
      <c r="B6" s="10">
        <v>3</v>
      </c>
      <c r="C6" s="10">
        <v>1199</v>
      </c>
      <c r="D6" s="11">
        <f>C6*B6</f>
        <v>3597</v>
      </c>
      <c r="E6" s="9">
        <v>45413</v>
      </c>
      <c r="F6" s="12">
        <f>SUM(D138:D172)</f>
        <v>42023</v>
      </c>
    </row>
    <row r="7" ht="17.25" spans="1:7">
      <c r="A7" s="9">
        <v>45295.5833333333</v>
      </c>
      <c r="B7" s="10">
        <v>1</v>
      </c>
      <c r="C7" s="10">
        <v>1199</v>
      </c>
      <c r="D7" s="11">
        <f>C7*B7</f>
        <v>1199</v>
      </c>
      <c r="E7" s="9">
        <v>45444</v>
      </c>
      <c r="F7" s="12">
        <f>SUM(D173:D201)</f>
        <v>63312</v>
      </c>
    </row>
    <row r="8" ht="16.5" spans="1:7">
      <c r="A8" s="9">
        <v>45297.3333333333</v>
      </c>
      <c r="B8" s="10">
        <v>1</v>
      </c>
      <c r="C8" s="10">
        <v>299</v>
      </c>
      <c r="D8" s="11">
        <f>C8*B8</f>
        <v>299</v>
      </c>
      <c r="E8" s="13">
        <v>45474</v>
      </c>
      <c r="F8" s="14" cm="1">
        <f t="array" ref="F8">FORECAST(E8,$F$2:$F$7,$E$2:$E$7)</f>
        <v>47618.7941179518</v>
      </c>
    </row>
    <row r="9" ht="16.5" spans="1:7">
      <c r="A9" s="9">
        <v>45298.6666666667</v>
      </c>
      <c r="B9" s="10">
        <v>1</v>
      </c>
      <c r="C9" s="10">
        <v>249</v>
      </c>
      <c r="D9" s="11">
        <f>C9*B9</f>
        <v>249</v>
      </c>
      <c r="E9" s="15">
        <v>45505</v>
      </c>
      <c r="F9" s="16" cm="1">
        <f t="array" ref="F9">FORECAST(E9,$F$2:$F$7,$E$2:$E$7)</f>
        <v>43137.8470315142</v>
      </c>
    </row>
    <row r="10" ht="17.25" spans="1:7">
      <c r="A10" s="9">
        <v>45299.3333333333</v>
      </c>
      <c r="B10" s="10">
        <v>1</v>
      </c>
      <c r="C10" s="10">
        <v>349</v>
      </c>
      <c r="D10" s="11">
        <f>C10*B10</f>
        <v>349</v>
      </c>
      <c r="E10" s="17">
        <v>45536</v>
      </c>
      <c r="F10" s="18" cm="1">
        <f t="array" ref="F10">FORECAST(E10,$F$2:$F$7,$E$2:$E$7)</f>
        <v>38656.8999450756</v>
      </c>
    </row>
    <row r="11" ht="16.5" spans="1:7">
      <c r="A11" s="9">
        <v>45300.5416666667</v>
      </c>
      <c r="B11" s="10">
        <v>1</v>
      </c>
      <c r="C11" s="10">
        <v>199</v>
      </c>
      <c r="D11" s="11">
        <f>C11*B11</f>
        <v>199</v>
      </c>
    </row>
    <row r="12" ht="16.5" spans="1:7">
      <c r="A12" s="9">
        <v>45301.5</v>
      </c>
      <c r="B12" s="10">
        <v>2</v>
      </c>
      <c r="C12" s="10">
        <v>299</v>
      </c>
      <c r="D12" s="11">
        <f>C12*B12</f>
        <v>598</v>
      </c>
    </row>
    <row r="13" ht="16.5" spans="1:7">
      <c r="A13" s="9">
        <v>45301.7083333333</v>
      </c>
      <c r="B13" s="10">
        <v>3</v>
      </c>
      <c r="C13" s="10">
        <v>649</v>
      </c>
      <c r="D13" s="11">
        <f>C13*B13</f>
        <v>1947</v>
      </c>
    </row>
    <row r="14" ht="16.5" spans="1:7">
      <c r="A14" s="9">
        <v>45301.75</v>
      </c>
      <c r="B14" s="10">
        <v>4</v>
      </c>
      <c r="C14" s="10">
        <v>499</v>
      </c>
      <c r="D14" s="11">
        <f>C14*B14</f>
        <v>1996</v>
      </c>
    </row>
    <row r="15" ht="16.5" spans="1:7">
      <c r="A15" s="9">
        <v>45303.5416666667</v>
      </c>
      <c r="B15" s="10">
        <v>5</v>
      </c>
      <c r="C15" s="10">
        <v>349</v>
      </c>
      <c r="D15" s="11">
        <f>C15*B15</f>
        <v>1745</v>
      </c>
    </row>
    <row r="16" ht="16.5" spans="1:7">
      <c r="A16" s="9">
        <v>45304.7083333333</v>
      </c>
      <c r="B16" s="10">
        <v>4</v>
      </c>
      <c r="C16" s="10">
        <v>649</v>
      </c>
      <c r="D16" s="11">
        <f>C16*B16</f>
        <v>2596</v>
      </c>
    </row>
    <row r="17" ht="16.5" spans="1:4">
      <c r="A17" s="9">
        <v>45305.75</v>
      </c>
      <c r="B17" s="10">
        <v>2</v>
      </c>
      <c r="C17" s="10">
        <v>699</v>
      </c>
      <c r="D17" s="11">
        <f>C17*B17</f>
        <v>1398</v>
      </c>
    </row>
    <row r="18" ht="16.5" spans="1:4">
      <c r="A18" s="9">
        <v>45305.8333333333</v>
      </c>
      <c r="B18" s="10">
        <v>3</v>
      </c>
      <c r="C18" s="10">
        <v>799</v>
      </c>
      <c r="D18" s="11">
        <f>C18*B18</f>
        <v>2397</v>
      </c>
    </row>
    <row r="19" ht="16.5" spans="1:4">
      <c r="A19" s="9">
        <v>45305.9166666667</v>
      </c>
      <c r="B19" s="10">
        <v>5</v>
      </c>
      <c r="C19" s="10">
        <v>349</v>
      </c>
      <c r="D19" s="11">
        <f>C19*B19</f>
        <v>1745</v>
      </c>
    </row>
    <row r="20" ht="16.5" spans="1:4">
      <c r="A20" s="9">
        <v>45306.2916666667</v>
      </c>
      <c r="B20" s="10">
        <v>2</v>
      </c>
      <c r="C20" s="10">
        <v>199</v>
      </c>
      <c r="D20" s="11">
        <f>C20*B20</f>
        <v>398</v>
      </c>
    </row>
    <row r="21" ht="16.5" spans="1:4">
      <c r="A21" s="9">
        <v>45306.375</v>
      </c>
      <c r="B21" s="10">
        <v>4</v>
      </c>
      <c r="C21" s="10">
        <v>649</v>
      </c>
      <c r="D21" s="11">
        <f>C21*B21</f>
        <v>2596</v>
      </c>
    </row>
    <row r="22" ht="16.5" spans="1:4">
      <c r="A22" s="9">
        <v>45308.375</v>
      </c>
      <c r="B22" s="10">
        <v>2</v>
      </c>
      <c r="C22" s="10">
        <v>349</v>
      </c>
      <c r="D22" s="11">
        <f>C22*B22</f>
        <v>698</v>
      </c>
    </row>
    <row r="23" ht="16.5" spans="1:4">
      <c r="A23" s="9">
        <v>45308.6666666667</v>
      </c>
      <c r="B23" s="10">
        <v>3</v>
      </c>
      <c r="C23" s="10">
        <v>199</v>
      </c>
      <c r="D23" s="11">
        <f>C23*B23</f>
        <v>597</v>
      </c>
    </row>
    <row r="24" ht="16.5" spans="1:4">
      <c r="A24" s="9">
        <v>45309.375</v>
      </c>
      <c r="B24" s="10">
        <v>1</v>
      </c>
      <c r="C24" s="10">
        <v>299</v>
      </c>
      <c r="D24" s="11">
        <f>C24*B24</f>
        <v>299</v>
      </c>
    </row>
    <row r="25" ht="16.5" spans="1:4">
      <c r="A25" s="9">
        <v>45309.625</v>
      </c>
      <c r="B25" s="10">
        <v>4</v>
      </c>
      <c r="C25" s="10">
        <v>499</v>
      </c>
      <c r="D25" s="11">
        <f>C25*B25</f>
        <v>1996</v>
      </c>
    </row>
    <row r="26" ht="16.5" spans="1:4">
      <c r="A26" s="9">
        <v>45309.75</v>
      </c>
      <c r="B26" s="10">
        <v>2</v>
      </c>
      <c r="C26" s="10">
        <v>499</v>
      </c>
      <c r="D26" s="11">
        <f>C26*B26</f>
        <v>998</v>
      </c>
    </row>
    <row r="27" ht="16.5" spans="1:4">
      <c r="A27" s="9">
        <v>45310.375</v>
      </c>
      <c r="B27" s="10">
        <v>2</v>
      </c>
      <c r="C27" s="10">
        <v>349</v>
      </c>
      <c r="D27" s="11">
        <f>C27*B27</f>
        <v>698</v>
      </c>
    </row>
    <row r="28" ht="16.5" spans="1:4">
      <c r="A28" s="9">
        <v>45310.75</v>
      </c>
      <c r="B28" s="10">
        <v>1</v>
      </c>
      <c r="C28" s="10">
        <v>399</v>
      </c>
      <c r="D28" s="11">
        <f>C28*B28</f>
        <v>399</v>
      </c>
    </row>
    <row r="29" ht="16.5" spans="1:4">
      <c r="A29" s="9">
        <v>45311.375</v>
      </c>
      <c r="B29" s="10">
        <v>2</v>
      </c>
      <c r="C29" s="10">
        <v>349</v>
      </c>
      <c r="D29" s="11">
        <f>C29*B29</f>
        <v>698</v>
      </c>
    </row>
    <row r="30" ht="16.5" spans="1:4">
      <c r="A30" s="9">
        <v>45312.2916666667</v>
      </c>
      <c r="B30" s="10">
        <v>3</v>
      </c>
      <c r="C30" s="10">
        <v>899</v>
      </c>
      <c r="D30" s="11">
        <f>C30*B30</f>
        <v>2697</v>
      </c>
    </row>
    <row r="31" ht="16.5" spans="1:4">
      <c r="A31" s="9">
        <v>45312.6666666667</v>
      </c>
      <c r="B31" s="10">
        <v>4</v>
      </c>
      <c r="C31" s="10">
        <v>649</v>
      </c>
      <c r="D31" s="11">
        <f>C31*B31</f>
        <v>2596</v>
      </c>
    </row>
    <row r="32" ht="16.5" spans="1:4">
      <c r="A32" s="9">
        <v>45313.375</v>
      </c>
      <c r="B32" s="10">
        <v>5</v>
      </c>
      <c r="C32" s="10">
        <v>499</v>
      </c>
      <c r="D32" s="11">
        <f>C32*B32</f>
        <v>2495</v>
      </c>
    </row>
    <row r="33" ht="16.5" spans="1:4">
      <c r="A33" s="9">
        <v>45313.875</v>
      </c>
      <c r="B33" s="10">
        <v>5</v>
      </c>
      <c r="C33" s="10">
        <v>1599</v>
      </c>
      <c r="D33" s="11">
        <f>C33*B33</f>
        <v>7995</v>
      </c>
    </row>
    <row r="34" ht="16.5" spans="1:4">
      <c r="A34" s="9">
        <v>45315.75</v>
      </c>
      <c r="B34" s="10">
        <v>4</v>
      </c>
      <c r="C34" s="10">
        <v>199</v>
      </c>
      <c r="D34" s="11">
        <f>C34*B34</f>
        <v>796</v>
      </c>
    </row>
    <row r="35" ht="16.5" spans="1:4">
      <c r="A35" s="9">
        <v>45319.4583333333</v>
      </c>
      <c r="B35" s="10">
        <v>4</v>
      </c>
      <c r="C35" s="10">
        <v>899</v>
      </c>
      <c r="D35" s="11">
        <f>C35*B35</f>
        <v>3596</v>
      </c>
    </row>
    <row r="36" ht="16.5" spans="1:4">
      <c r="A36" s="9">
        <v>45322.5</v>
      </c>
      <c r="B36" s="10">
        <v>2</v>
      </c>
      <c r="C36" s="10">
        <v>249</v>
      </c>
      <c r="D36" s="11">
        <f>C36*B36</f>
        <v>498</v>
      </c>
    </row>
    <row r="37" ht="16.5" spans="1:4">
      <c r="A37" s="9">
        <v>45322.5</v>
      </c>
      <c r="B37" s="10">
        <v>2</v>
      </c>
      <c r="C37" s="10">
        <v>649</v>
      </c>
      <c r="D37" s="11">
        <f>C37*B37</f>
        <v>1298</v>
      </c>
    </row>
    <row r="38" ht="16.5" spans="1:4">
      <c r="A38" s="9">
        <v>45323.7916666667</v>
      </c>
      <c r="B38" s="10">
        <v>4</v>
      </c>
      <c r="C38" s="10">
        <v>2999</v>
      </c>
      <c r="D38" s="11">
        <f>C38*B38</f>
        <v>11996</v>
      </c>
    </row>
    <row r="39" ht="16.5" spans="1:4">
      <c r="A39" s="9">
        <v>45324.4166666667</v>
      </c>
      <c r="B39" s="10">
        <v>4</v>
      </c>
      <c r="C39" s="10">
        <v>499</v>
      </c>
      <c r="D39" s="11">
        <f>C39*B39</f>
        <v>1996</v>
      </c>
    </row>
    <row r="40" ht="16.5" spans="1:4">
      <c r="A40" s="9">
        <v>45324.625</v>
      </c>
      <c r="B40" s="10">
        <v>1</v>
      </c>
      <c r="C40" s="10">
        <v>349</v>
      </c>
      <c r="D40" s="11">
        <f>C40*B40</f>
        <v>349</v>
      </c>
    </row>
    <row r="41" ht="16.5" spans="1:4">
      <c r="A41" s="9">
        <v>45324.9583333333</v>
      </c>
      <c r="B41" s="10">
        <v>4</v>
      </c>
      <c r="C41" s="10">
        <v>399</v>
      </c>
      <c r="D41" s="11">
        <f>C41*B41</f>
        <v>1596</v>
      </c>
    </row>
    <row r="42" ht="16.5" spans="1:4">
      <c r="A42" s="9">
        <v>45325.3333333333</v>
      </c>
      <c r="B42" s="10">
        <v>1</v>
      </c>
      <c r="C42" s="10">
        <v>349</v>
      </c>
      <c r="D42" s="11">
        <f>C42*B42</f>
        <v>349</v>
      </c>
    </row>
    <row r="43" ht="16.5" spans="1:4">
      <c r="A43" s="9">
        <v>45325.3333333333</v>
      </c>
      <c r="B43" s="10">
        <v>3</v>
      </c>
      <c r="C43" s="10">
        <v>199</v>
      </c>
      <c r="D43" s="11">
        <f>C43*B43</f>
        <v>597</v>
      </c>
    </row>
    <row r="44" ht="16.5" spans="1:4">
      <c r="A44" s="9">
        <v>45325.9166666667</v>
      </c>
      <c r="B44" s="10">
        <v>1</v>
      </c>
      <c r="C44" s="10">
        <v>1199</v>
      </c>
      <c r="D44" s="11">
        <f>C44*B44</f>
        <v>1199</v>
      </c>
    </row>
    <row r="45" ht="16.5" spans="1:4">
      <c r="A45" s="9">
        <v>45326.2916666667</v>
      </c>
      <c r="B45" s="10">
        <v>5</v>
      </c>
      <c r="C45" s="10">
        <v>449</v>
      </c>
      <c r="D45" s="11">
        <f>C45*B45</f>
        <v>2245</v>
      </c>
    </row>
    <row r="46" ht="16.5" spans="1:4">
      <c r="A46" s="9">
        <v>45326.6666666667</v>
      </c>
      <c r="B46" s="10">
        <v>3</v>
      </c>
      <c r="C46" s="10">
        <v>379</v>
      </c>
      <c r="D46" s="11">
        <f>C46*B46</f>
        <v>1137</v>
      </c>
    </row>
    <row r="47" ht="16.5" spans="1:4">
      <c r="A47" s="9">
        <v>45327.8333333333</v>
      </c>
      <c r="B47" s="10">
        <v>1</v>
      </c>
      <c r="C47" s="10">
        <v>499</v>
      </c>
      <c r="D47" s="11">
        <f>C47*B47</f>
        <v>499</v>
      </c>
    </row>
    <row r="48" ht="16.5" spans="1:4">
      <c r="A48" s="9">
        <v>45328.5</v>
      </c>
      <c r="B48" s="10">
        <v>5</v>
      </c>
      <c r="C48" s="10">
        <v>799</v>
      </c>
      <c r="D48" s="11">
        <f>C48*B48</f>
        <v>3995</v>
      </c>
    </row>
    <row r="49" ht="16.5" spans="1:4">
      <c r="A49" s="9">
        <v>45329.375</v>
      </c>
      <c r="B49" s="10">
        <v>1</v>
      </c>
      <c r="C49" s="10">
        <v>349</v>
      </c>
      <c r="D49" s="11">
        <f>C49*B49</f>
        <v>349</v>
      </c>
    </row>
    <row r="50" ht="16.5" spans="1:4">
      <c r="A50" s="9">
        <v>45329.375</v>
      </c>
      <c r="B50" s="10">
        <v>1</v>
      </c>
      <c r="C50" s="10">
        <v>899</v>
      </c>
      <c r="D50" s="11">
        <f>C50*B50</f>
        <v>899</v>
      </c>
    </row>
    <row r="51" ht="16.5" spans="1:4">
      <c r="A51" s="9">
        <v>45329.5416666667</v>
      </c>
      <c r="B51" s="10">
        <v>4</v>
      </c>
      <c r="C51" s="10">
        <v>649</v>
      </c>
      <c r="D51" s="11">
        <f>C51*B51</f>
        <v>2596</v>
      </c>
    </row>
    <row r="52" ht="16.5" spans="1:4">
      <c r="A52" s="9">
        <v>45329.8333333333</v>
      </c>
      <c r="B52" s="10">
        <v>5</v>
      </c>
      <c r="C52" s="10">
        <v>199</v>
      </c>
      <c r="D52" s="11">
        <f>C52*B52</f>
        <v>995</v>
      </c>
    </row>
    <row r="53" ht="16.5" spans="1:4">
      <c r="A53" s="9">
        <v>45329.875</v>
      </c>
      <c r="B53" s="10">
        <v>5</v>
      </c>
      <c r="C53" s="10">
        <v>499</v>
      </c>
      <c r="D53" s="11">
        <f>C53*B53</f>
        <v>2495</v>
      </c>
    </row>
    <row r="54" ht="16.5" spans="1:4">
      <c r="A54" s="9">
        <v>45331.375</v>
      </c>
      <c r="B54" s="10">
        <v>1</v>
      </c>
      <c r="C54" s="10">
        <v>349</v>
      </c>
      <c r="D54" s="11">
        <f>C54*B54</f>
        <v>349</v>
      </c>
    </row>
    <row r="55" ht="16.5" spans="1:4">
      <c r="A55" s="9">
        <v>45331.75</v>
      </c>
      <c r="B55" s="10">
        <v>3</v>
      </c>
      <c r="C55" s="10">
        <v>599</v>
      </c>
      <c r="D55" s="11">
        <f>C55*B55</f>
        <v>1797</v>
      </c>
    </row>
    <row r="56" ht="16.5" spans="1:4">
      <c r="A56" s="9">
        <v>45331.875</v>
      </c>
      <c r="B56" s="10">
        <v>5</v>
      </c>
      <c r="C56" s="10">
        <v>1599</v>
      </c>
      <c r="D56" s="11">
        <f>C56*B56</f>
        <v>7995</v>
      </c>
    </row>
    <row r="57" ht="16.5" spans="1:4">
      <c r="A57" s="9">
        <v>45335.5416666667</v>
      </c>
      <c r="B57" s="10">
        <v>2</v>
      </c>
      <c r="C57" s="10">
        <v>399</v>
      </c>
      <c r="D57" s="11">
        <f>C57*B57</f>
        <v>798</v>
      </c>
    </row>
    <row r="58" ht="16.5" spans="1:4">
      <c r="A58" s="9">
        <v>45335.6666666667</v>
      </c>
      <c r="B58" s="10">
        <v>5</v>
      </c>
      <c r="C58" s="10">
        <v>99</v>
      </c>
      <c r="D58" s="11">
        <f>C58*B58</f>
        <v>495</v>
      </c>
    </row>
    <row r="59" ht="16.5" spans="1:4">
      <c r="A59" s="9">
        <v>45335.875</v>
      </c>
      <c r="B59" s="10">
        <v>2</v>
      </c>
      <c r="C59" s="10">
        <v>599</v>
      </c>
      <c r="D59" s="11">
        <f>C59*B59</f>
        <v>1198</v>
      </c>
    </row>
    <row r="60" ht="16.5" spans="1:4">
      <c r="A60" s="9">
        <v>45336.2916666667</v>
      </c>
      <c r="B60" s="10">
        <v>3</v>
      </c>
      <c r="C60" s="10">
        <v>349</v>
      </c>
      <c r="D60" s="11">
        <f>C60*B60</f>
        <v>1047</v>
      </c>
    </row>
    <row r="61" ht="16.5" spans="1:4">
      <c r="A61" s="9">
        <v>45336.4583333333</v>
      </c>
      <c r="B61" s="10">
        <v>2</v>
      </c>
      <c r="C61" s="10">
        <v>299</v>
      </c>
      <c r="D61" s="11">
        <f>C61*B61</f>
        <v>598</v>
      </c>
    </row>
    <row r="62" ht="16.5" spans="1:4">
      <c r="A62" s="9">
        <v>45336.7916666667</v>
      </c>
      <c r="B62" s="10">
        <v>4</v>
      </c>
      <c r="C62" s="10">
        <v>199</v>
      </c>
      <c r="D62" s="11">
        <f>C62*B62</f>
        <v>796</v>
      </c>
    </row>
    <row r="63" ht="16.5" spans="1:4">
      <c r="A63" s="9">
        <v>45337.9583333333</v>
      </c>
      <c r="B63" s="10">
        <v>3</v>
      </c>
      <c r="C63" s="10">
        <v>499</v>
      </c>
      <c r="D63" s="11">
        <f>C63*B63</f>
        <v>1497</v>
      </c>
    </row>
    <row r="64" ht="16.5" spans="1:4">
      <c r="A64" s="9">
        <v>45338.8333333333</v>
      </c>
      <c r="B64" s="10">
        <v>1</v>
      </c>
      <c r="C64" s="10">
        <v>299</v>
      </c>
      <c r="D64" s="11">
        <f>C64*B64</f>
        <v>299</v>
      </c>
    </row>
    <row r="65" ht="16.5" spans="1:4">
      <c r="A65" s="9">
        <v>45339.5</v>
      </c>
      <c r="B65" s="10">
        <v>4</v>
      </c>
      <c r="C65" s="10">
        <v>2999</v>
      </c>
      <c r="D65" s="11">
        <f>C65*B65</f>
        <v>11996</v>
      </c>
    </row>
    <row r="66" ht="16.5" spans="1:4">
      <c r="A66" s="9">
        <v>45340.75</v>
      </c>
      <c r="B66" s="10">
        <v>1</v>
      </c>
      <c r="C66" s="10">
        <v>699</v>
      </c>
      <c r="D66" s="11">
        <f>C66*B66</f>
        <v>699</v>
      </c>
    </row>
    <row r="67" ht="16.5" spans="1:4">
      <c r="A67" s="9">
        <v>45341.5</v>
      </c>
      <c r="B67" s="10">
        <v>4</v>
      </c>
      <c r="C67" s="10">
        <v>1299</v>
      </c>
      <c r="D67" s="11">
        <f>C67*B67</f>
        <v>5196</v>
      </c>
    </row>
    <row r="68" ht="16.5" spans="1:4">
      <c r="A68" s="9">
        <v>45342.2916666667</v>
      </c>
      <c r="B68" s="10">
        <v>2</v>
      </c>
      <c r="C68" s="10">
        <v>379</v>
      </c>
      <c r="D68" s="11">
        <f>C68*B68</f>
        <v>758</v>
      </c>
    </row>
    <row r="69" ht="16.5" spans="1:4">
      <c r="A69" s="9">
        <v>45342.75</v>
      </c>
      <c r="B69" s="10">
        <v>4</v>
      </c>
      <c r="C69" s="10">
        <v>1299</v>
      </c>
      <c r="D69" s="11">
        <f>C69*B69</f>
        <v>5196</v>
      </c>
    </row>
    <row r="70" ht="16.5" spans="1:4">
      <c r="A70" s="9">
        <v>45343.875</v>
      </c>
      <c r="B70" s="10">
        <v>1</v>
      </c>
      <c r="C70" s="10">
        <v>449</v>
      </c>
      <c r="D70" s="11">
        <f>C70*B70</f>
        <v>449</v>
      </c>
    </row>
    <row r="71" ht="16.5" spans="1:4">
      <c r="A71" s="9">
        <v>45347.5833333333</v>
      </c>
      <c r="B71" s="10">
        <v>3</v>
      </c>
      <c r="C71" s="10">
        <v>349</v>
      </c>
      <c r="D71" s="11">
        <f>C71*B71</f>
        <v>1047</v>
      </c>
    </row>
    <row r="72" ht="16.5" spans="1:4">
      <c r="A72" s="9">
        <v>45347.6666666667</v>
      </c>
      <c r="B72" s="10">
        <v>3</v>
      </c>
      <c r="C72" s="10">
        <v>499</v>
      </c>
      <c r="D72" s="11">
        <f>C72*B72</f>
        <v>1497</v>
      </c>
    </row>
    <row r="73" ht="16.5" spans="1:4">
      <c r="A73" s="9">
        <v>45347.75</v>
      </c>
      <c r="B73" s="10">
        <v>3</v>
      </c>
      <c r="C73" s="10">
        <v>499</v>
      </c>
      <c r="D73" s="11">
        <f>C73*B73</f>
        <v>1497</v>
      </c>
    </row>
    <row r="74" ht="16.5" spans="1:4">
      <c r="A74" s="9">
        <v>45347.7916666667</v>
      </c>
      <c r="B74" s="10">
        <v>4</v>
      </c>
      <c r="C74" s="10">
        <v>1199</v>
      </c>
      <c r="D74" s="11">
        <f>C74*B74</f>
        <v>4796</v>
      </c>
    </row>
    <row r="75" ht="16.5" spans="1:4">
      <c r="A75" s="9">
        <v>45348.4166666667</v>
      </c>
      <c r="B75" s="10">
        <v>4</v>
      </c>
      <c r="C75" s="10">
        <v>99</v>
      </c>
      <c r="D75" s="11">
        <f>C75*B75</f>
        <v>396</v>
      </c>
    </row>
    <row r="76" ht="16.5" spans="1:4">
      <c r="A76" s="9">
        <v>45348.9166666667</v>
      </c>
      <c r="B76" s="10">
        <v>5</v>
      </c>
      <c r="C76" s="10">
        <v>199</v>
      </c>
      <c r="D76" s="11">
        <f>C76*B76</f>
        <v>995</v>
      </c>
    </row>
    <row r="77" ht="16.5" spans="1:4">
      <c r="A77" s="9">
        <v>45350.5416666667</v>
      </c>
      <c r="B77" s="10">
        <v>4</v>
      </c>
      <c r="C77" s="10">
        <v>349</v>
      </c>
      <c r="D77" s="11">
        <f>C77*B77</f>
        <v>1396</v>
      </c>
    </row>
    <row r="78" ht="16.5" spans="1:4">
      <c r="A78" s="9">
        <v>45351.2916666667</v>
      </c>
      <c r="B78" s="10">
        <v>1</v>
      </c>
      <c r="C78" s="10">
        <v>1599</v>
      </c>
      <c r="D78" s="11">
        <f>C78*B78</f>
        <v>1599</v>
      </c>
    </row>
    <row r="79" ht="16.5" spans="1:4">
      <c r="A79" s="9">
        <v>45351.5</v>
      </c>
      <c r="B79" s="10">
        <v>1</v>
      </c>
      <c r="C79" s="10">
        <v>1599</v>
      </c>
      <c r="D79" s="11">
        <f>C79*B79</f>
        <v>1599</v>
      </c>
    </row>
    <row r="80" ht="16.5" spans="1:4">
      <c r="A80" s="9">
        <v>45352.4166666667</v>
      </c>
      <c r="B80" s="10">
        <v>3</v>
      </c>
      <c r="C80" s="10">
        <v>399</v>
      </c>
      <c r="D80" s="11">
        <f>C80*B80</f>
        <v>1197</v>
      </c>
    </row>
    <row r="81" ht="16.5" spans="1:4">
      <c r="A81" s="9">
        <v>45352.6666666667</v>
      </c>
      <c r="B81" s="10">
        <v>5</v>
      </c>
      <c r="C81" s="10">
        <v>199</v>
      </c>
      <c r="D81" s="11">
        <f>C81*B81</f>
        <v>995</v>
      </c>
    </row>
    <row r="82" ht="16.5" spans="1:4">
      <c r="A82" s="9">
        <v>45353.625</v>
      </c>
      <c r="B82" s="10">
        <v>5</v>
      </c>
      <c r="C82" s="10">
        <v>399</v>
      </c>
      <c r="D82" s="11">
        <f>C82*B82</f>
        <v>1995</v>
      </c>
    </row>
    <row r="83" ht="16.5" spans="1:4">
      <c r="A83" s="9">
        <v>45353.6666666667</v>
      </c>
      <c r="B83" s="10">
        <v>1</v>
      </c>
      <c r="C83" s="10">
        <v>399</v>
      </c>
      <c r="D83" s="11">
        <f>C83*B83</f>
        <v>399</v>
      </c>
    </row>
    <row r="84" ht="16.5" spans="1:4">
      <c r="A84" s="9">
        <v>45354.375</v>
      </c>
      <c r="B84" s="10">
        <v>2</v>
      </c>
      <c r="C84" s="10">
        <v>199</v>
      </c>
      <c r="D84" s="11">
        <f>C84*B84</f>
        <v>398</v>
      </c>
    </row>
    <row r="85" ht="16.5" spans="1:4">
      <c r="A85" s="9">
        <v>45355.7083333333</v>
      </c>
      <c r="B85" s="10">
        <v>1</v>
      </c>
      <c r="C85" s="10">
        <v>199</v>
      </c>
      <c r="D85" s="11">
        <f>C85*B85</f>
        <v>199</v>
      </c>
    </row>
    <row r="86" ht="16.5" spans="1:4">
      <c r="A86" s="9">
        <v>45357.875</v>
      </c>
      <c r="B86" s="10">
        <v>2</v>
      </c>
      <c r="C86" s="10">
        <v>199</v>
      </c>
      <c r="D86" s="11">
        <f>C86*B86</f>
        <v>398</v>
      </c>
    </row>
    <row r="87" ht="16.5" spans="1:4">
      <c r="A87" s="9">
        <v>45359.5</v>
      </c>
      <c r="B87" s="10">
        <v>3</v>
      </c>
      <c r="C87" s="10">
        <v>599</v>
      </c>
      <c r="D87" s="11">
        <f>C87*B87</f>
        <v>1797</v>
      </c>
    </row>
    <row r="88" ht="16.5" spans="1:4">
      <c r="A88" s="9">
        <v>45359.9166666667</v>
      </c>
      <c r="B88" s="10">
        <v>3</v>
      </c>
      <c r="C88" s="10">
        <v>399</v>
      </c>
      <c r="D88" s="11">
        <f>C88*B88</f>
        <v>1197</v>
      </c>
    </row>
    <row r="89" ht="16.5" spans="1:4">
      <c r="A89" s="9">
        <v>45360.5</v>
      </c>
      <c r="B89" s="10">
        <v>1</v>
      </c>
      <c r="C89" s="10">
        <v>349</v>
      </c>
      <c r="D89" s="11">
        <f>C89*B89</f>
        <v>349</v>
      </c>
    </row>
    <row r="90" ht="16.5" spans="1:4">
      <c r="A90" s="9">
        <v>45360.7083333333</v>
      </c>
      <c r="B90" s="10">
        <v>2</v>
      </c>
      <c r="C90" s="10">
        <v>349</v>
      </c>
      <c r="D90" s="11">
        <f>C90*B90</f>
        <v>698</v>
      </c>
    </row>
    <row r="91" ht="16.5" spans="1:4">
      <c r="A91" s="9">
        <v>45363.75</v>
      </c>
      <c r="B91" s="10">
        <v>2</v>
      </c>
      <c r="C91" s="10">
        <v>499</v>
      </c>
      <c r="D91" s="11">
        <f>C91*B91</f>
        <v>998</v>
      </c>
    </row>
    <row r="92" ht="16.5" spans="1:4">
      <c r="A92" s="9">
        <v>45363.9166666667</v>
      </c>
      <c r="B92" s="10">
        <v>5</v>
      </c>
      <c r="C92" s="10">
        <v>1199</v>
      </c>
      <c r="D92" s="11">
        <f>C92*B92</f>
        <v>5995</v>
      </c>
    </row>
    <row r="93" ht="16.5" spans="1:4">
      <c r="A93" s="9">
        <v>45367.4166666667</v>
      </c>
      <c r="B93" s="10">
        <v>1</v>
      </c>
      <c r="C93" s="10">
        <v>349</v>
      </c>
      <c r="D93" s="11">
        <f>C93*B93</f>
        <v>349</v>
      </c>
    </row>
    <row r="94" ht="16.5" spans="1:4">
      <c r="A94" s="9">
        <v>45367.7916666667</v>
      </c>
      <c r="B94" s="10">
        <v>2</v>
      </c>
      <c r="C94" s="10">
        <v>399</v>
      </c>
      <c r="D94" s="11">
        <f>C94*B94</f>
        <v>798</v>
      </c>
    </row>
    <row r="95" ht="16.5" spans="1:4">
      <c r="A95" s="9">
        <v>45367.9583333333</v>
      </c>
      <c r="B95" s="10">
        <v>2</v>
      </c>
      <c r="C95" s="10">
        <v>349</v>
      </c>
      <c r="D95" s="11">
        <f>C95*B95</f>
        <v>698</v>
      </c>
    </row>
    <row r="96" ht="16.5" spans="1:4">
      <c r="A96" s="9">
        <v>45368.4166666667</v>
      </c>
      <c r="B96" s="10">
        <v>4</v>
      </c>
      <c r="C96" s="10">
        <v>2499</v>
      </c>
      <c r="D96" s="11">
        <f>C96*B96</f>
        <v>9996</v>
      </c>
    </row>
    <row r="97" ht="16.5" spans="1:4">
      <c r="A97" s="9">
        <v>45368.5416666667</v>
      </c>
      <c r="B97" s="10">
        <v>5</v>
      </c>
      <c r="C97" s="10">
        <v>2999</v>
      </c>
      <c r="D97" s="11">
        <f>C97*B97</f>
        <v>14995</v>
      </c>
    </row>
    <row r="98" ht="16.5" spans="1:4">
      <c r="A98" s="9">
        <v>45370.75</v>
      </c>
      <c r="B98" s="10">
        <v>3</v>
      </c>
      <c r="C98" s="10">
        <v>1199</v>
      </c>
      <c r="D98" s="11">
        <f>C98*B98</f>
        <v>3597</v>
      </c>
    </row>
    <row r="99" ht="16.5" spans="1:4">
      <c r="A99" s="9">
        <v>45372.3333333333</v>
      </c>
      <c r="B99" s="10">
        <v>4</v>
      </c>
      <c r="C99" s="10">
        <v>1199</v>
      </c>
      <c r="D99" s="11">
        <f>C99*B99</f>
        <v>4796</v>
      </c>
    </row>
    <row r="100" ht="16.5" spans="1:4">
      <c r="A100" s="9">
        <v>45373.5416666667</v>
      </c>
      <c r="B100" s="10">
        <v>4</v>
      </c>
      <c r="C100" s="10">
        <v>1199</v>
      </c>
      <c r="D100" s="11">
        <f>C100*B100</f>
        <v>4796</v>
      </c>
    </row>
    <row r="101" ht="16.5" spans="1:4">
      <c r="A101" s="9">
        <v>45373.6666666667</v>
      </c>
      <c r="B101" s="10">
        <v>1</v>
      </c>
      <c r="C101" s="10">
        <v>449</v>
      </c>
      <c r="D101" s="11">
        <f>C101*B101</f>
        <v>449</v>
      </c>
    </row>
    <row r="102" ht="16.5" spans="1:4">
      <c r="A102" s="9">
        <v>45373.6666666667</v>
      </c>
      <c r="B102" s="10">
        <v>2</v>
      </c>
      <c r="C102" s="10">
        <v>299</v>
      </c>
      <c r="D102" s="11">
        <f>C102*B102</f>
        <v>598</v>
      </c>
    </row>
    <row r="103" ht="16.5" spans="1:4">
      <c r="A103" s="9">
        <v>45374.5416666667</v>
      </c>
      <c r="B103" s="10">
        <v>2</v>
      </c>
      <c r="C103" s="10">
        <v>649</v>
      </c>
      <c r="D103" s="11">
        <f>C103*B103</f>
        <v>1298</v>
      </c>
    </row>
    <row r="104" ht="16.5" spans="1:4">
      <c r="A104" s="9">
        <v>45374.7916666667</v>
      </c>
      <c r="B104" s="10">
        <v>4</v>
      </c>
      <c r="C104" s="10">
        <v>899</v>
      </c>
      <c r="D104" s="11">
        <f>C104*B104</f>
        <v>3596</v>
      </c>
    </row>
    <row r="105" ht="16.5" spans="1:4">
      <c r="A105" s="9">
        <v>45374.9166666667</v>
      </c>
      <c r="B105" s="10">
        <v>2</v>
      </c>
      <c r="C105" s="10">
        <v>799</v>
      </c>
      <c r="D105" s="11">
        <f>C105*B105</f>
        <v>1598</v>
      </c>
    </row>
    <row r="106" ht="16.5" spans="1:4">
      <c r="A106" s="9">
        <v>45375.9583333333</v>
      </c>
      <c r="B106" s="10">
        <v>4</v>
      </c>
      <c r="C106" s="10">
        <v>399</v>
      </c>
      <c r="D106" s="11">
        <f>C106*B106</f>
        <v>1596</v>
      </c>
    </row>
    <row r="107" ht="16.5" spans="1:4">
      <c r="A107" s="9">
        <v>45377.4583333333</v>
      </c>
      <c r="B107" s="10">
        <v>5</v>
      </c>
      <c r="C107" s="10">
        <v>699</v>
      </c>
      <c r="D107" s="11">
        <f>C107*B107</f>
        <v>3495</v>
      </c>
    </row>
    <row r="108" ht="16.5" spans="1:4">
      <c r="A108" s="9">
        <v>45378.625</v>
      </c>
      <c r="B108" s="10">
        <v>3</v>
      </c>
      <c r="C108" s="10">
        <v>899</v>
      </c>
      <c r="D108" s="11">
        <f>C108*B108</f>
        <v>2697</v>
      </c>
    </row>
    <row r="109" ht="16.5" spans="1:4">
      <c r="A109" s="9">
        <v>45378.625</v>
      </c>
      <c r="B109" s="10">
        <v>2</v>
      </c>
      <c r="C109" s="10">
        <v>2999</v>
      </c>
      <c r="D109" s="11">
        <f>C109*B109</f>
        <v>5998</v>
      </c>
    </row>
    <row r="110" ht="16.5" spans="1:4">
      <c r="A110" s="9">
        <v>45378.7916666667</v>
      </c>
      <c r="B110" s="10">
        <v>2</v>
      </c>
      <c r="C110" s="10">
        <v>2999</v>
      </c>
      <c r="D110" s="11">
        <f>C110*B110</f>
        <v>5998</v>
      </c>
    </row>
    <row r="111" ht="16.5" spans="1:4">
      <c r="A111" s="9">
        <v>45378.7916666667</v>
      </c>
      <c r="B111" s="10">
        <v>1</v>
      </c>
      <c r="C111" s="10">
        <v>379</v>
      </c>
      <c r="D111" s="11">
        <f>C111*B111</f>
        <v>379</v>
      </c>
    </row>
    <row r="112" ht="16.5" spans="1:4">
      <c r="A112" s="9">
        <v>45381.7916666667</v>
      </c>
      <c r="B112" s="10">
        <v>1</v>
      </c>
      <c r="C112" s="10">
        <v>349</v>
      </c>
      <c r="D112" s="11">
        <f>C112*B112</f>
        <v>349</v>
      </c>
    </row>
    <row r="113" ht="16.5" spans="1:4">
      <c r="A113" s="9">
        <v>45382.375</v>
      </c>
      <c r="B113" s="10">
        <v>1</v>
      </c>
      <c r="C113" s="10">
        <v>699</v>
      </c>
      <c r="D113" s="11">
        <f>C113*B113</f>
        <v>699</v>
      </c>
    </row>
    <row r="114" ht="16.5" spans="1:4">
      <c r="A114" s="9">
        <v>45383.4583333333</v>
      </c>
      <c r="B114" s="10">
        <v>2</v>
      </c>
      <c r="C114" s="10">
        <v>199</v>
      </c>
      <c r="D114" s="11">
        <f>C114*B114</f>
        <v>398</v>
      </c>
    </row>
    <row r="115" ht="16.5" spans="1:4">
      <c r="A115" s="9">
        <v>45383.875</v>
      </c>
      <c r="B115" s="10">
        <v>1</v>
      </c>
      <c r="C115" s="10">
        <v>199</v>
      </c>
      <c r="D115" s="11">
        <f>C115*B115</f>
        <v>199</v>
      </c>
    </row>
    <row r="116" ht="16.5" spans="1:4">
      <c r="A116" s="9">
        <v>45385.6666666667</v>
      </c>
      <c r="B116" s="10">
        <v>5</v>
      </c>
      <c r="C116" s="10">
        <v>399</v>
      </c>
      <c r="D116" s="11">
        <f>C116*B116</f>
        <v>1995</v>
      </c>
    </row>
    <row r="117" ht="16.5" spans="1:4">
      <c r="A117" s="9">
        <v>45389.75</v>
      </c>
      <c r="B117" s="10">
        <v>1</v>
      </c>
      <c r="C117" s="10">
        <v>349</v>
      </c>
      <c r="D117" s="11">
        <f>C117*B117</f>
        <v>349</v>
      </c>
    </row>
    <row r="118" ht="16.5" spans="1:4">
      <c r="A118" s="9">
        <v>45390.75</v>
      </c>
      <c r="B118" s="10">
        <v>1</v>
      </c>
      <c r="C118" s="10">
        <v>649</v>
      </c>
      <c r="D118" s="11">
        <f>C118*B118</f>
        <v>649</v>
      </c>
    </row>
    <row r="119" ht="16.5" spans="1:4">
      <c r="A119" s="9">
        <v>45391.625</v>
      </c>
      <c r="B119" s="10">
        <v>5</v>
      </c>
      <c r="C119" s="10">
        <v>199</v>
      </c>
      <c r="D119" s="11">
        <f>C119*B119</f>
        <v>995</v>
      </c>
    </row>
    <row r="120" ht="16.5" spans="1:4">
      <c r="A120" s="9">
        <v>45392.5</v>
      </c>
      <c r="B120" s="10">
        <v>1</v>
      </c>
      <c r="C120" s="10">
        <v>449</v>
      </c>
      <c r="D120" s="11">
        <f>C120*B120</f>
        <v>449</v>
      </c>
    </row>
    <row r="121" ht="16.5" spans="1:4">
      <c r="A121" s="9">
        <v>45393.3333333333</v>
      </c>
      <c r="B121" s="10">
        <v>3</v>
      </c>
      <c r="C121" s="10">
        <v>499</v>
      </c>
      <c r="D121" s="11">
        <f>C121*B121</f>
        <v>1497</v>
      </c>
    </row>
    <row r="122" ht="16.5" spans="1:4">
      <c r="A122" s="9">
        <v>45394.6666666667</v>
      </c>
      <c r="B122" s="10">
        <v>3</v>
      </c>
      <c r="C122" s="10">
        <v>199</v>
      </c>
      <c r="D122" s="11">
        <f>C122*B122</f>
        <v>597</v>
      </c>
    </row>
    <row r="123" ht="16.5" spans="1:4">
      <c r="A123" s="9">
        <v>45396.4583333333</v>
      </c>
      <c r="B123" s="10">
        <v>4</v>
      </c>
      <c r="C123" s="10">
        <v>699</v>
      </c>
      <c r="D123" s="11">
        <f>C123*B123</f>
        <v>2796</v>
      </c>
    </row>
    <row r="124" ht="16.5" spans="1:4">
      <c r="A124" s="9">
        <v>45397.9166666667</v>
      </c>
      <c r="B124" s="10">
        <v>2</v>
      </c>
      <c r="C124" s="10">
        <v>899</v>
      </c>
      <c r="D124" s="11">
        <f>C124*B124</f>
        <v>1798</v>
      </c>
    </row>
    <row r="125" ht="16.5" spans="1:4">
      <c r="A125" s="9">
        <v>45398.5416666667</v>
      </c>
      <c r="B125" s="10">
        <v>2</v>
      </c>
      <c r="C125" s="10">
        <v>399</v>
      </c>
      <c r="D125" s="11">
        <f>C125*B125</f>
        <v>798</v>
      </c>
    </row>
    <row r="126" ht="16.5" spans="1:4">
      <c r="A126" s="9">
        <v>45398.5833333333</v>
      </c>
      <c r="B126" s="10">
        <v>4</v>
      </c>
      <c r="C126" s="10">
        <v>449</v>
      </c>
      <c r="D126" s="11">
        <f>C126*B126</f>
        <v>1796</v>
      </c>
    </row>
    <row r="127" ht="16.5" spans="1:4">
      <c r="A127" s="9">
        <v>45400.5416666667</v>
      </c>
      <c r="B127" s="10">
        <v>2</v>
      </c>
      <c r="C127" s="10">
        <v>699</v>
      </c>
      <c r="D127" s="11">
        <f>C127*B127</f>
        <v>1398</v>
      </c>
    </row>
    <row r="128" ht="16.5" spans="1:4">
      <c r="A128" s="9">
        <v>45403.9583333333</v>
      </c>
      <c r="B128" s="10">
        <v>3</v>
      </c>
      <c r="C128" s="10">
        <v>349</v>
      </c>
      <c r="D128" s="11">
        <f>C128*B128</f>
        <v>1047</v>
      </c>
    </row>
    <row r="129" ht="16.5" spans="1:4">
      <c r="A129" s="9">
        <v>45404.2916666667</v>
      </c>
      <c r="B129" s="10">
        <v>1</v>
      </c>
      <c r="C129" s="10">
        <v>1199</v>
      </c>
      <c r="D129" s="11">
        <f>C129*B129</f>
        <v>1199</v>
      </c>
    </row>
    <row r="130" ht="16.5" spans="1:4">
      <c r="A130" s="9">
        <v>45405.8333333333</v>
      </c>
      <c r="B130" s="10">
        <v>5</v>
      </c>
      <c r="C130" s="10">
        <v>399</v>
      </c>
      <c r="D130" s="11">
        <f>C130*B130</f>
        <v>1995</v>
      </c>
    </row>
    <row r="131" ht="16.5" spans="1:4">
      <c r="A131" s="9">
        <v>45407.3333333333</v>
      </c>
      <c r="B131" s="10">
        <v>3</v>
      </c>
      <c r="C131" s="10">
        <v>199</v>
      </c>
      <c r="D131" s="11">
        <f>C131*B131</f>
        <v>597</v>
      </c>
    </row>
    <row r="132" ht="16.5" spans="1:4">
      <c r="A132" s="9">
        <v>45407.4583333333</v>
      </c>
      <c r="B132" s="10">
        <v>5</v>
      </c>
      <c r="C132" s="10">
        <v>349</v>
      </c>
      <c r="D132" s="11">
        <f>C132*B132</f>
        <v>1745</v>
      </c>
    </row>
    <row r="133" ht="16.5" spans="1:4">
      <c r="A133" s="9">
        <v>45408.9166666667</v>
      </c>
      <c r="B133" s="10">
        <v>5</v>
      </c>
      <c r="C133" s="10">
        <v>2999</v>
      </c>
      <c r="D133" s="11">
        <f>C133*B133</f>
        <v>14995</v>
      </c>
    </row>
    <row r="134" ht="16.5" spans="1:4">
      <c r="A134" s="9">
        <v>45410.625</v>
      </c>
      <c r="B134" s="10">
        <v>1</v>
      </c>
      <c r="C134" s="10">
        <v>199</v>
      </c>
      <c r="D134" s="11">
        <f>C134*B134</f>
        <v>199</v>
      </c>
    </row>
    <row r="135" ht="16.5" spans="1:4">
      <c r="A135" s="9">
        <v>45410.7083333333</v>
      </c>
      <c r="B135" s="10">
        <v>3</v>
      </c>
      <c r="C135" s="10">
        <v>799</v>
      </c>
      <c r="D135" s="11">
        <f>C135*B135</f>
        <v>2397</v>
      </c>
    </row>
    <row r="136" ht="16.5" spans="1:4">
      <c r="A136" s="9">
        <v>45410.75</v>
      </c>
      <c r="B136" s="10">
        <v>2</v>
      </c>
      <c r="C136" s="10">
        <v>349</v>
      </c>
      <c r="D136" s="11">
        <f>C136*B136</f>
        <v>698</v>
      </c>
    </row>
    <row r="137" ht="16.5" spans="1:4">
      <c r="A137" s="9">
        <v>45410.875</v>
      </c>
      <c r="B137" s="10">
        <v>1</v>
      </c>
      <c r="C137" s="10">
        <v>349</v>
      </c>
      <c r="D137" s="11">
        <f>C137*B137</f>
        <v>349</v>
      </c>
    </row>
    <row r="138" ht="16.5" spans="1:4">
      <c r="A138" s="9">
        <v>45413.5416666667</v>
      </c>
      <c r="B138" s="10">
        <v>4</v>
      </c>
      <c r="C138" s="10">
        <v>499</v>
      </c>
      <c r="D138" s="11">
        <f>C138*B138</f>
        <v>1996</v>
      </c>
    </row>
    <row r="139" ht="16.5" spans="1:4">
      <c r="A139" s="9">
        <v>45413.7916666667</v>
      </c>
      <c r="B139" s="10">
        <v>4</v>
      </c>
      <c r="C139" s="10">
        <v>349</v>
      </c>
      <c r="D139" s="11">
        <f>C139*B139</f>
        <v>1396</v>
      </c>
    </row>
    <row r="140" ht="16.5" spans="1:4">
      <c r="A140" s="9">
        <v>45415.3333333333</v>
      </c>
      <c r="B140" s="10">
        <v>4</v>
      </c>
      <c r="C140" s="10">
        <v>349</v>
      </c>
      <c r="D140" s="11">
        <f>C140*B140</f>
        <v>1396</v>
      </c>
    </row>
    <row r="141" ht="16.5" spans="1:4">
      <c r="A141" s="9">
        <v>45415.7083333333</v>
      </c>
      <c r="B141" s="10">
        <v>2</v>
      </c>
      <c r="C141" s="10">
        <v>899</v>
      </c>
      <c r="D141" s="11">
        <f>C141*B141</f>
        <v>1798</v>
      </c>
    </row>
    <row r="142" ht="16.5" spans="1:4">
      <c r="A142" s="9">
        <v>45415.875</v>
      </c>
      <c r="B142" s="10">
        <v>2</v>
      </c>
      <c r="C142" s="10">
        <v>349</v>
      </c>
      <c r="D142" s="11">
        <f>C142*B142</f>
        <v>698</v>
      </c>
    </row>
    <row r="143" ht="16.5" spans="1:4">
      <c r="A143" s="9">
        <v>45416.75</v>
      </c>
      <c r="B143" s="10">
        <v>4</v>
      </c>
      <c r="C143" s="10">
        <v>349</v>
      </c>
      <c r="D143" s="11">
        <f>C143*B143</f>
        <v>1396</v>
      </c>
    </row>
    <row r="144" ht="16.5" spans="1:4">
      <c r="A144" s="9">
        <v>45418.375</v>
      </c>
      <c r="B144" s="10">
        <v>4</v>
      </c>
      <c r="C144" s="10">
        <v>499</v>
      </c>
      <c r="D144" s="11">
        <f>C144*B144</f>
        <v>1996</v>
      </c>
    </row>
    <row r="145" ht="16.5" spans="1:4">
      <c r="A145" s="9">
        <v>45418.6666666667</v>
      </c>
      <c r="B145" s="10">
        <v>4</v>
      </c>
      <c r="C145" s="10">
        <v>799</v>
      </c>
      <c r="D145" s="11">
        <f>C145*B145</f>
        <v>3196</v>
      </c>
    </row>
    <row r="146" ht="16.5" spans="1:4">
      <c r="A146" s="9">
        <v>45418.75</v>
      </c>
      <c r="B146" s="10">
        <v>1</v>
      </c>
      <c r="C146" s="10">
        <v>399</v>
      </c>
      <c r="D146" s="11">
        <f>C146*B146</f>
        <v>399</v>
      </c>
    </row>
    <row r="147" ht="16.5" spans="1:4">
      <c r="A147" s="9">
        <v>45418.8333333333</v>
      </c>
      <c r="B147" s="10">
        <v>1</v>
      </c>
      <c r="C147" s="10">
        <v>349</v>
      </c>
      <c r="D147" s="11">
        <f>C147*B147</f>
        <v>349</v>
      </c>
    </row>
    <row r="148" ht="16.5" spans="1:4">
      <c r="A148" s="9">
        <v>45421.7083333333</v>
      </c>
      <c r="B148" s="10">
        <v>2</v>
      </c>
      <c r="C148" s="10">
        <v>349</v>
      </c>
      <c r="D148" s="11">
        <f>C148*B148</f>
        <v>698</v>
      </c>
    </row>
    <row r="149" ht="16.5" spans="1:4">
      <c r="A149" s="9">
        <v>45421.8333333333</v>
      </c>
      <c r="B149" s="10">
        <v>5</v>
      </c>
      <c r="C149" s="10">
        <v>379</v>
      </c>
      <c r="D149" s="11">
        <f>C149*B149</f>
        <v>1895</v>
      </c>
    </row>
    <row r="150" ht="16.5" spans="1:4">
      <c r="A150" s="9">
        <v>45422.4583333333</v>
      </c>
      <c r="B150" s="10">
        <v>2</v>
      </c>
      <c r="C150" s="10">
        <v>349</v>
      </c>
      <c r="D150" s="11">
        <f>C150*B150</f>
        <v>698</v>
      </c>
    </row>
    <row r="151" ht="16.5" spans="1:4">
      <c r="A151" s="9">
        <v>45422.625</v>
      </c>
      <c r="B151" s="10">
        <v>2</v>
      </c>
      <c r="C151" s="10">
        <v>599</v>
      </c>
      <c r="D151" s="11">
        <f>C151*B151</f>
        <v>1198</v>
      </c>
    </row>
    <row r="152" ht="16.5" spans="1:4">
      <c r="A152" s="9">
        <v>45423.4166666667</v>
      </c>
      <c r="B152" s="10">
        <v>1</v>
      </c>
      <c r="C152" s="10">
        <v>449</v>
      </c>
      <c r="D152" s="11">
        <f>C152*B152</f>
        <v>449</v>
      </c>
    </row>
    <row r="153" ht="16.5" spans="1:4">
      <c r="A153" s="9">
        <v>45426.5416666667</v>
      </c>
      <c r="B153" s="10">
        <v>5</v>
      </c>
      <c r="C153" s="10">
        <v>199</v>
      </c>
      <c r="D153" s="11">
        <f>C153*B153</f>
        <v>995</v>
      </c>
    </row>
    <row r="154" ht="16.5" spans="1:4">
      <c r="A154" s="9">
        <v>45426.6666666667</v>
      </c>
      <c r="B154" s="10">
        <v>2</v>
      </c>
      <c r="C154" s="10">
        <v>499</v>
      </c>
      <c r="D154" s="11">
        <f>C154*B154</f>
        <v>998</v>
      </c>
    </row>
    <row r="155" ht="16.5" spans="1:4">
      <c r="A155" s="9">
        <v>45426.875</v>
      </c>
      <c r="B155" s="10">
        <v>1</v>
      </c>
      <c r="C155" s="10">
        <v>899</v>
      </c>
      <c r="D155" s="11">
        <f>C155*B155</f>
        <v>899</v>
      </c>
    </row>
    <row r="156" ht="16.5" spans="1:4">
      <c r="A156" s="9">
        <v>45429.2916666667</v>
      </c>
      <c r="B156" s="10">
        <v>5</v>
      </c>
      <c r="C156" s="10">
        <v>799</v>
      </c>
      <c r="D156" s="11">
        <f>C156*B156</f>
        <v>3995</v>
      </c>
    </row>
    <row r="157" ht="16.5" spans="1:4">
      <c r="A157" s="9">
        <v>45429.375</v>
      </c>
      <c r="B157" s="10">
        <v>1</v>
      </c>
      <c r="C157" s="10">
        <v>449</v>
      </c>
      <c r="D157" s="11">
        <f>C157*B157</f>
        <v>449</v>
      </c>
    </row>
    <row r="158" ht="16.5" spans="1:4">
      <c r="A158" s="9">
        <v>45429.75</v>
      </c>
      <c r="B158" s="10">
        <v>4</v>
      </c>
      <c r="C158" s="10">
        <v>349</v>
      </c>
      <c r="D158" s="11">
        <f>C158*B158</f>
        <v>1396</v>
      </c>
    </row>
    <row r="159" ht="16.5" spans="1:4">
      <c r="A159" s="9">
        <v>45432.9583333333</v>
      </c>
      <c r="B159" s="10">
        <v>3</v>
      </c>
      <c r="C159" s="10">
        <v>199</v>
      </c>
      <c r="D159" s="11">
        <f>C159*B159</f>
        <v>597</v>
      </c>
    </row>
    <row r="160" ht="16.5" spans="1:4">
      <c r="A160" s="9">
        <v>45433.7083333333</v>
      </c>
      <c r="B160" s="10">
        <v>2</v>
      </c>
      <c r="C160" s="10">
        <v>899</v>
      </c>
      <c r="D160" s="11">
        <f>C160*B160</f>
        <v>1798</v>
      </c>
    </row>
    <row r="161" ht="16.5" spans="1:4">
      <c r="A161" s="9">
        <v>45434.8333333333</v>
      </c>
      <c r="B161" s="10">
        <v>4</v>
      </c>
      <c r="C161" s="10">
        <v>349</v>
      </c>
      <c r="D161" s="11">
        <f>C161*B161</f>
        <v>1396</v>
      </c>
    </row>
    <row r="162" ht="16.5" spans="1:4">
      <c r="A162" s="9">
        <v>45435.4166666667</v>
      </c>
      <c r="B162" s="10">
        <v>2</v>
      </c>
      <c r="C162" s="10">
        <v>379</v>
      </c>
      <c r="D162" s="11">
        <f>C162*B162</f>
        <v>758</v>
      </c>
    </row>
    <row r="163" ht="16.5" spans="1:4">
      <c r="A163" s="9">
        <v>45435.7083333333</v>
      </c>
      <c r="B163" s="10">
        <v>2</v>
      </c>
      <c r="C163" s="10">
        <v>299</v>
      </c>
      <c r="D163" s="11">
        <f>C163*B163</f>
        <v>598</v>
      </c>
    </row>
    <row r="164" ht="16.5" spans="1:4">
      <c r="A164" s="9">
        <v>45435.7916666667</v>
      </c>
      <c r="B164" s="10">
        <v>1</v>
      </c>
      <c r="C164" s="10">
        <v>399</v>
      </c>
      <c r="D164" s="11">
        <f>C164*B164</f>
        <v>399</v>
      </c>
    </row>
    <row r="165" ht="16.5" spans="1:4">
      <c r="A165" s="9">
        <v>45436.5</v>
      </c>
      <c r="B165" s="10">
        <v>1</v>
      </c>
      <c r="C165" s="10">
        <v>199</v>
      </c>
      <c r="D165" s="11">
        <f>C165*B165</f>
        <v>199</v>
      </c>
    </row>
    <row r="166" ht="16.5" spans="1:4">
      <c r="A166" s="9">
        <v>45437.7916666667</v>
      </c>
      <c r="B166" s="10">
        <v>1</v>
      </c>
      <c r="C166" s="10">
        <v>99</v>
      </c>
      <c r="D166" s="11">
        <f>C166*B166</f>
        <v>99</v>
      </c>
    </row>
    <row r="167" ht="16.5" spans="1:4">
      <c r="A167" s="9">
        <v>45438.375</v>
      </c>
      <c r="B167" s="10">
        <v>4</v>
      </c>
      <c r="C167" s="10">
        <v>1299</v>
      </c>
      <c r="D167" s="11">
        <f>C167*B167</f>
        <v>5196</v>
      </c>
    </row>
    <row r="168" ht="16.5" spans="1:4">
      <c r="A168" s="9">
        <v>45438.9166666667</v>
      </c>
      <c r="B168" s="10">
        <v>2</v>
      </c>
      <c r="C168" s="10">
        <v>199</v>
      </c>
      <c r="D168" s="11">
        <f>C168*B168</f>
        <v>398</v>
      </c>
    </row>
    <row r="169" ht="16.5" spans="1:4">
      <c r="A169" s="9">
        <v>45439.9583333333</v>
      </c>
      <c r="B169" s="10">
        <v>2</v>
      </c>
      <c r="C169" s="10">
        <v>499</v>
      </c>
      <c r="D169" s="11">
        <f>C169*B169</f>
        <v>998</v>
      </c>
    </row>
    <row r="170" ht="16.5" spans="1:4">
      <c r="A170" s="9">
        <v>45440.7916666667</v>
      </c>
      <c r="B170" s="10">
        <v>1</v>
      </c>
      <c r="C170" s="10">
        <v>499</v>
      </c>
      <c r="D170" s="11">
        <f>C170*B170</f>
        <v>499</v>
      </c>
    </row>
    <row r="171" ht="16.5" spans="1:4">
      <c r="A171" s="9">
        <v>45441.625</v>
      </c>
      <c r="B171" s="10">
        <v>1</v>
      </c>
      <c r="C171" s="10">
        <v>299</v>
      </c>
      <c r="D171" s="11">
        <f>C171*B171</f>
        <v>299</v>
      </c>
    </row>
    <row r="172" ht="16.5" spans="1:4">
      <c r="A172" s="9">
        <v>45443.7916666667</v>
      </c>
      <c r="B172" s="10">
        <v>1</v>
      </c>
      <c r="C172" s="10">
        <v>499</v>
      </c>
      <c r="D172" s="11">
        <f>C172*B172</f>
        <v>499</v>
      </c>
    </row>
    <row r="173" ht="16.5" spans="1:4">
      <c r="A173" s="9">
        <v>45445.4583333333</v>
      </c>
      <c r="B173" s="10">
        <v>3</v>
      </c>
      <c r="C173" s="10">
        <v>1199</v>
      </c>
      <c r="D173" s="11">
        <f>C173*B173</f>
        <v>3597</v>
      </c>
    </row>
    <row r="174" ht="16.5" spans="1:4">
      <c r="A174" s="9">
        <v>45445.4583333333</v>
      </c>
      <c r="B174" s="10">
        <v>4</v>
      </c>
      <c r="C174" s="10">
        <v>349</v>
      </c>
      <c r="D174" s="11">
        <f>C174*B174</f>
        <v>1396</v>
      </c>
    </row>
    <row r="175" ht="16.5" spans="1:4">
      <c r="A175" s="9">
        <v>45445.9166666667</v>
      </c>
      <c r="B175" s="10">
        <v>5</v>
      </c>
      <c r="C175" s="10">
        <v>2999</v>
      </c>
      <c r="D175" s="11">
        <f>C175*B175</f>
        <v>14995</v>
      </c>
    </row>
    <row r="176" ht="16.5" spans="1:4">
      <c r="A176" s="9">
        <v>45447.2916666667</v>
      </c>
      <c r="B176" s="10">
        <v>1</v>
      </c>
      <c r="C176" s="10">
        <v>649</v>
      </c>
      <c r="D176" s="11">
        <f>C176*B176</f>
        <v>649</v>
      </c>
    </row>
    <row r="177" ht="16.5" spans="1:4">
      <c r="A177" s="9">
        <v>45448.375</v>
      </c>
      <c r="B177" s="10">
        <v>5</v>
      </c>
      <c r="C177" s="10">
        <v>349</v>
      </c>
      <c r="D177" s="11">
        <f>C177*B177</f>
        <v>1745</v>
      </c>
    </row>
    <row r="178" ht="16.5" spans="1:4">
      <c r="A178" s="9">
        <v>45448.5833333333</v>
      </c>
      <c r="B178" s="10">
        <v>2</v>
      </c>
      <c r="C178" s="10">
        <v>99</v>
      </c>
      <c r="D178" s="11">
        <f>C178*B178</f>
        <v>198</v>
      </c>
    </row>
    <row r="179" ht="16.5" spans="1:4">
      <c r="A179" s="9">
        <v>45449.2916666667</v>
      </c>
      <c r="B179" s="10">
        <v>5</v>
      </c>
      <c r="C179" s="10">
        <v>699</v>
      </c>
      <c r="D179" s="11">
        <f>C179*B179</f>
        <v>3495</v>
      </c>
    </row>
    <row r="180" ht="16.5" spans="1:4">
      <c r="A180" s="9">
        <v>45450.7916666667</v>
      </c>
      <c r="B180" s="10">
        <v>2</v>
      </c>
      <c r="C180" s="10">
        <v>249</v>
      </c>
      <c r="D180" s="11">
        <f>C180*B180</f>
        <v>498</v>
      </c>
    </row>
    <row r="181" ht="16.5" spans="1:4">
      <c r="A181" s="9">
        <v>45450.875</v>
      </c>
      <c r="B181" s="10">
        <v>4</v>
      </c>
      <c r="C181" s="10">
        <v>199</v>
      </c>
      <c r="D181" s="11">
        <f>C181*B181</f>
        <v>796</v>
      </c>
    </row>
    <row r="182" ht="16.5" spans="1:4">
      <c r="A182" s="9">
        <v>45452.5</v>
      </c>
      <c r="B182" s="10">
        <v>1</v>
      </c>
      <c r="C182" s="10">
        <v>499</v>
      </c>
      <c r="D182" s="11">
        <f>C182*B182</f>
        <v>499</v>
      </c>
    </row>
    <row r="183" ht="16.5" spans="1:4">
      <c r="A183" s="9">
        <v>45453.6666666667</v>
      </c>
      <c r="B183" s="10">
        <v>1</v>
      </c>
      <c r="C183" s="10">
        <v>499</v>
      </c>
      <c r="D183" s="11">
        <f>C183*B183</f>
        <v>499</v>
      </c>
    </row>
    <row r="184" ht="16.5" spans="1:4">
      <c r="A184" s="9">
        <v>45455.625</v>
      </c>
      <c r="B184" s="10">
        <v>4</v>
      </c>
      <c r="C184" s="10">
        <v>99</v>
      </c>
      <c r="D184" s="11">
        <f>C184*B184</f>
        <v>396</v>
      </c>
    </row>
    <row r="185" ht="16.5" spans="1:4">
      <c r="A185" s="9">
        <v>45459.2916666667</v>
      </c>
      <c r="B185" s="10">
        <v>5</v>
      </c>
      <c r="C185" s="10">
        <v>1299</v>
      </c>
      <c r="D185" s="11">
        <f>C185*B185</f>
        <v>6495</v>
      </c>
    </row>
    <row r="186" ht="16.5" spans="1:4">
      <c r="A186" s="9">
        <v>45460.2916666667</v>
      </c>
      <c r="B186" s="10">
        <v>1</v>
      </c>
      <c r="C186" s="10">
        <v>349</v>
      </c>
      <c r="D186" s="11">
        <f>C186*B186</f>
        <v>349</v>
      </c>
    </row>
    <row r="187" ht="16.5" spans="1:4">
      <c r="A187" s="9">
        <v>45460.8333333333</v>
      </c>
      <c r="B187" s="10">
        <v>3</v>
      </c>
      <c r="C187" s="10">
        <v>799</v>
      </c>
      <c r="D187" s="11">
        <f>C187*B187</f>
        <v>2397</v>
      </c>
    </row>
    <row r="188" ht="16.5" spans="1:4">
      <c r="A188" s="9">
        <v>45461.6666666667</v>
      </c>
      <c r="B188" s="10">
        <v>1</v>
      </c>
      <c r="C188" s="10">
        <v>199</v>
      </c>
      <c r="D188" s="11">
        <f>C188*B188</f>
        <v>199</v>
      </c>
    </row>
    <row r="189" ht="16.5" spans="1:4">
      <c r="A189" s="9">
        <v>45462.875</v>
      </c>
      <c r="B189" s="10">
        <v>1</v>
      </c>
      <c r="C189" s="10">
        <v>349</v>
      </c>
      <c r="D189" s="11">
        <f>C189*B189</f>
        <v>349</v>
      </c>
    </row>
    <row r="190" ht="16.5" spans="1:4">
      <c r="A190" s="9">
        <v>45463.625</v>
      </c>
      <c r="B190" s="10">
        <v>2</v>
      </c>
      <c r="C190" s="10">
        <v>199</v>
      </c>
      <c r="D190" s="11">
        <f>C190*B190</f>
        <v>398</v>
      </c>
    </row>
    <row r="191" ht="16.5" spans="1:4">
      <c r="A191" s="9">
        <v>45464.625</v>
      </c>
      <c r="B191" s="10">
        <v>5</v>
      </c>
      <c r="C191" s="10">
        <v>299</v>
      </c>
      <c r="D191" s="11">
        <f>C191*B191</f>
        <v>1495</v>
      </c>
    </row>
    <row r="192" ht="16.5" spans="1:4">
      <c r="A192" s="9">
        <v>45466.2916666667</v>
      </c>
      <c r="B192" s="10">
        <v>5</v>
      </c>
      <c r="C192" s="10">
        <v>899</v>
      </c>
      <c r="D192" s="11">
        <f>C192*B192</f>
        <v>4495</v>
      </c>
    </row>
    <row r="193" ht="16.5" spans="1:4">
      <c r="A193" s="9">
        <v>45467.5416666667</v>
      </c>
      <c r="B193" s="10">
        <v>1</v>
      </c>
      <c r="C193" s="10">
        <v>1299</v>
      </c>
      <c r="D193" s="11">
        <f>C193*B193</f>
        <v>1299</v>
      </c>
    </row>
    <row r="194" ht="16.5" spans="1:4">
      <c r="A194" s="9">
        <v>45467.5416666667</v>
      </c>
      <c r="B194" s="10">
        <v>4</v>
      </c>
      <c r="C194" s="10">
        <v>699</v>
      </c>
      <c r="D194" s="11">
        <f>C194*B194</f>
        <v>2796</v>
      </c>
    </row>
    <row r="195" ht="16.5" spans="1:4">
      <c r="A195" s="9">
        <v>45468.6666666667</v>
      </c>
      <c r="B195" s="10">
        <v>4</v>
      </c>
      <c r="C195" s="10">
        <v>399</v>
      </c>
      <c r="D195" s="11">
        <f>C195*B195</f>
        <v>1596</v>
      </c>
    </row>
    <row r="196" ht="16.5" spans="1:4">
      <c r="A196" s="9">
        <v>45469.7916666667</v>
      </c>
      <c r="B196" s="10">
        <v>5</v>
      </c>
      <c r="C196" s="10">
        <v>349</v>
      </c>
      <c r="D196" s="11">
        <f>C196*B196</f>
        <v>1745</v>
      </c>
    </row>
    <row r="197" ht="16.5" spans="1:4">
      <c r="A197" s="9">
        <v>45470.8333333333</v>
      </c>
      <c r="B197" s="10">
        <v>1</v>
      </c>
      <c r="C197" s="10">
        <v>1599</v>
      </c>
      <c r="D197" s="11">
        <f>C197*B197</f>
        <v>1599</v>
      </c>
    </row>
    <row r="198" ht="16.5" spans="1:4">
      <c r="A198" s="9">
        <v>45472.3333333333</v>
      </c>
      <c r="B198" s="10">
        <v>2</v>
      </c>
      <c r="C198" s="10">
        <v>399</v>
      </c>
      <c r="D198" s="11">
        <f>C198*B198</f>
        <v>798</v>
      </c>
    </row>
    <row r="199" ht="16.5" spans="1:4">
      <c r="A199" s="9">
        <v>45472.8333333333</v>
      </c>
      <c r="B199" s="10">
        <v>5</v>
      </c>
      <c r="C199" s="10">
        <v>1199</v>
      </c>
      <c r="D199" s="11">
        <f>C199*B199</f>
        <v>5995</v>
      </c>
    </row>
    <row r="200" ht="16.5" spans="1:4">
      <c r="A200" s="9">
        <v>45473.6666666667</v>
      </c>
      <c r="B200" s="10">
        <v>1</v>
      </c>
      <c r="C200" s="10">
        <v>799</v>
      </c>
      <c r="D200" s="11">
        <f>C200*B200</f>
        <v>799</v>
      </c>
    </row>
    <row r="201" ht="16.5" spans="1:4">
      <c r="A201" s="9">
        <v>45473.75</v>
      </c>
      <c r="B201" s="10">
        <v>5</v>
      </c>
      <c r="C201" s="10">
        <v>349</v>
      </c>
      <c r="D201" s="11">
        <f>C201*B201</f>
        <v>1745</v>
      </c>
    </row>
  </sheetData>
  <autoFilter xmlns:etc="http://www.wps.cn/officeDocument/2017/etCustomData" ref="A1:D201" etc:filterBottomFollowUsedRange="0">
    <sortState ref="A2:D201">
      <sortCondition ref="A1"/>
    </sortState>
    <extLst/>
  </autoFilter>
  <mergeCells count="1">
    <mergeCell ref="E1:F1"/>
  </mergeCells>
  <conditionalFormatting sqref="E1">
    <cfRule type="expression" dxfId="10" priority="2">
      <formula>MOD(ROW(),2)=0</formula>
    </cfRule>
  </conditionalFormatting>
  <conditionalFormatting sqref="A1:D201">
    <cfRule type="expression" dxfId="10" priority="3">
      <formula>MOD(ROW(),2)=0</formula>
    </cfRule>
  </conditionalFormatting>
  <conditionalFormatting sqref="E2:F10">
    <cfRule type="expression" dxfId="10" priority="1">
      <formula>MOD(ROW(),2)=0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Problem Statement</vt:lpstr>
      <vt:lpstr>RawOrders</vt:lpstr>
      <vt:lpstr>Discounts</vt:lpstr>
      <vt:lpstr>1</vt:lpstr>
      <vt:lpstr>2</vt:lpstr>
      <vt:lpstr>3</vt:lpstr>
      <vt:lpstr>4</vt:lpstr>
      <vt:lpstr>5</vt:lpstr>
      <vt:lpstr>6</vt:lpstr>
      <vt:lpstr>7</vt:lpstr>
      <vt:lpstr>8</vt:lpstr>
      <vt:lpstr>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Pratham</cp:lastModifiedBy>
  <dcterms:created xsi:type="dcterms:W3CDTF">2026-06-19T11:29:00Z</dcterms:created>
  <dcterms:modified xsi:type="dcterms:W3CDTF">2026-06-24T06:09:54Z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35A990A278F44FEA881151CC0D0CCA86_12</vt:lpwstr>
  </property>
</Properties>
</file>